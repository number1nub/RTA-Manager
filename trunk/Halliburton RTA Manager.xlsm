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Manager'!$E$6:$E$1477,'RTA Manager'!$I$6:$I$1477,'RTA Manager'!$K$6:$Q$1477,'RTA Manager'!$S$6:$W$1477,'RTA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Main[#All]</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Manager'!$B$5:$AA$1477</definedName>
  </definedNames>
  <calcPr calcId="145621"/>
</workbook>
</file>

<file path=xl/calcChain.xml><?xml version="1.0" encoding="utf-8"?>
<calcChain xmlns="http://schemas.openxmlformats.org/spreadsheetml/2006/main">
  <c r="H6" i="4" l="1"/>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1416"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1026"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1447"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67"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243"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448"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449" i="4"/>
  <c r="H1146" i="4"/>
  <c r="H1147" i="4"/>
  <c r="H1148" i="4"/>
  <c r="H1149" i="4"/>
  <c r="H1150" i="4"/>
  <c r="H1151" i="4"/>
  <c r="H1152" i="4"/>
  <c r="H1153" i="4"/>
  <c r="H1450" i="4"/>
  <c r="H1155" i="4"/>
  <c r="H1156" i="4"/>
  <c r="H1157" i="4"/>
  <c r="H1452" i="4"/>
  <c r="H1159" i="4"/>
  <c r="H1160" i="4"/>
  <c r="H1161" i="4"/>
  <c r="H1162" i="4"/>
  <c r="H1163" i="4"/>
  <c r="H1164" i="4"/>
  <c r="H1165" i="4"/>
  <c r="H1166" i="4"/>
  <c r="H1167" i="4"/>
  <c r="H1168" i="4"/>
  <c r="H1169" i="4"/>
  <c r="H1170" i="4"/>
  <c r="H1171" i="4"/>
  <c r="H1172" i="4"/>
  <c r="H1173" i="4"/>
  <c r="H1174" i="4"/>
  <c r="H1453"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535"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931"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454" i="4"/>
  <c r="H1279" i="4"/>
  <c r="H1280" i="4"/>
  <c r="H1281" i="4"/>
  <c r="H1282" i="4"/>
  <c r="H1283" i="4"/>
  <c r="H1456"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457" i="4"/>
  <c r="H1343" i="4"/>
  <c r="H1344" i="4"/>
  <c r="H1345" i="4"/>
  <c r="H1346" i="4"/>
  <c r="H1347" i="4"/>
  <c r="H1348" i="4"/>
  <c r="H1349" i="4"/>
  <c r="H1350" i="4"/>
  <c r="H1351" i="4"/>
  <c r="H1352" i="4"/>
  <c r="H1353" i="4"/>
  <c r="H1458" i="4"/>
  <c r="H1355" i="4"/>
  <c r="H1356" i="4"/>
  <c r="H1357" i="4"/>
  <c r="H1358" i="4"/>
  <c r="H1359" i="4"/>
  <c r="H1360" i="4"/>
  <c r="H1361" i="4"/>
  <c r="H1362" i="4"/>
  <c r="H1363" i="4"/>
  <c r="H1364" i="4"/>
  <c r="H1365" i="4"/>
  <c r="H1366" i="4"/>
  <c r="H1367" i="4"/>
  <c r="H1368" i="4"/>
  <c r="H1369" i="4"/>
  <c r="H1370" i="4"/>
  <c r="H1421" i="4"/>
  <c r="H1372" i="4"/>
  <c r="H1373" i="4"/>
  <c r="H1374" i="4"/>
  <c r="H1375" i="4"/>
  <c r="H1376" i="4"/>
  <c r="H1434" i="4"/>
  <c r="H1378" i="4"/>
  <c r="H1379" i="4"/>
  <c r="H1380" i="4"/>
  <c r="H1381" i="4"/>
  <c r="H1382" i="4"/>
  <c r="H1383" i="4"/>
  <c r="H1467" i="4"/>
  <c r="H1385" i="4"/>
  <c r="H1386" i="4"/>
  <c r="H1469" i="4"/>
  <c r="H1388" i="4"/>
  <c r="H1389" i="4"/>
  <c r="H1390" i="4"/>
  <c r="H1391" i="4"/>
  <c r="H1392" i="4"/>
  <c r="H1393" i="4"/>
  <c r="H1394" i="4"/>
  <c r="H1395" i="4"/>
  <c r="H1396" i="4"/>
  <c r="H1397" i="4"/>
  <c r="H1398" i="4"/>
  <c r="H1399" i="4"/>
  <c r="H1400" i="4"/>
  <c r="H1401" i="4"/>
  <c r="H1402" i="4"/>
  <c r="H1403" i="4"/>
  <c r="H1404" i="4"/>
  <c r="H1405" i="4"/>
  <c r="H1445" i="4"/>
  <c r="H1407" i="4"/>
  <c r="H1408" i="4"/>
  <c r="H1409" i="4"/>
  <c r="H1410" i="4"/>
  <c r="H1411" i="4"/>
  <c r="H1412" i="4"/>
  <c r="H1413" i="4"/>
  <c r="H1414" i="4"/>
  <c r="H1415" i="4"/>
  <c r="H1342" i="4"/>
  <c r="H1278" i="4"/>
  <c r="H505" i="4"/>
  <c r="H1419" i="4"/>
  <c r="H1387" i="4"/>
  <c r="H1145" i="4"/>
  <c r="H1422" i="4"/>
  <c r="H1423" i="4"/>
  <c r="H1424" i="4"/>
  <c r="H1425" i="4"/>
  <c r="H1426" i="4"/>
  <c r="H1427" i="4"/>
  <c r="H1428" i="4"/>
  <c r="H1429" i="4"/>
  <c r="H1430" i="4"/>
  <c r="H1431" i="4"/>
  <c r="H1432" i="4"/>
  <c r="H1433" i="4"/>
  <c r="H1112" i="4"/>
  <c r="H1435" i="4"/>
  <c r="H1436" i="4"/>
  <c r="H1437" i="4"/>
  <c r="H1438" i="4"/>
  <c r="H1439" i="4"/>
  <c r="H1440" i="4"/>
  <c r="H1441" i="4"/>
  <c r="H1442" i="4"/>
  <c r="H1443" i="4"/>
  <c r="H1444" i="4"/>
  <c r="H1284" i="4"/>
  <c r="H1446" i="4"/>
  <c r="H1377" i="4"/>
  <c r="H1354" i="4"/>
  <c r="H1384" i="4"/>
  <c r="H1154" i="4"/>
  <c r="H1451" i="4"/>
  <c r="H1371" i="4"/>
  <c r="H1418" i="4"/>
  <c r="H1406" i="4"/>
  <c r="H1455" i="4"/>
  <c r="H1417" i="4"/>
  <c r="H1158" i="4"/>
  <c r="H1420" i="4"/>
  <c r="H1459" i="4"/>
  <c r="H1460" i="4"/>
  <c r="H1461" i="4"/>
  <c r="H1462" i="4"/>
  <c r="H1463" i="4"/>
  <c r="H1464" i="4"/>
  <c r="H1465" i="4"/>
  <c r="H1466" i="4"/>
  <c r="H1212" i="4"/>
  <c r="H1468" i="4"/>
  <c r="H1175" i="4"/>
  <c r="H1470" i="4"/>
  <c r="H1471" i="4"/>
  <c r="H1472" i="4"/>
  <c r="H1473" i="4"/>
  <c r="H1474" i="4"/>
  <c r="H1475" i="4"/>
  <c r="H1476" i="4"/>
  <c r="H1477"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1416"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1026"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1447"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67"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243"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448"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449" i="4"/>
  <c r="M1146" i="4"/>
  <c r="M1147" i="4"/>
  <c r="M1148" i="4"/>
  <c r="M1149" i="4"/>
  <c r="M1150" i="4"/>
  <c r="M1151" i="4"/>
  <c r="M1152" i="4"/>
  <c r="M1153" i="4"/>
  <c r="M1450" i="4"/>
  <c r="M1155" i="4"/>
  <c r="M1156" i="4"/>
  <c r="M1157" i="4"/>
  <c r="M1452" i="4"/>
  <c r="M1159" i="4"/>
  <c r="M1160" i="4"/>
  <c r="M1161" i="4"/>
  <c r="M1162" i="4"/>
  <c r="M1163" i="4"/>
  <c r="M1164" i="4"/>
  <c r="M1165" i="4"/>
  <c r="M1166" i="4"/>
  <c r="M1167" i="4"/>
  <c r="M1168" i="4"/>
  <c r="M1169" i="4"/>
  <c r="M1170" i="4"/>
  <c r="M1171" i="4"/>
  <c r="M1172" i="4"/>
  <c r="M1173" i="4"/>
  <c r="M1174" i="4"/>
  <c r="M1453"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535"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931"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454" i="4"/>
  <c r="M1279" i="4"/>
  <c r="M1280" i="4"/>
  <c r="M1281" i="4"/>
  <c r="M1282" i="4"/>
  <c r="M1283" i="4"/>
  <c r="M1456"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457" i="4"/>
  <c r="M1343" i="4"/>
  <c r="M1344" i="4"/>
  <c r="M1345" i="4"/>
  <c r="M1346" i="4"/>
  <c r="M1347" i="4"/>
  <c r="M1348" i="4"/>
  <c r="M1349" i="4"/>
  <c r="M1350" i="4"/>
  <c r="M1351" i="4"/>
  <c r="M1352" i="4"/>
  <c r="M1353" i="4"/>
  <c r="M1458" i="4"/>
  <c r="M1355" i="4"/>
  <c r="M1356" i="4"/>
  <c r="M1357" i="4"/>
  <c r="M1358" i="4"/>
  <c r="M1359" i="4"/>
  <c r="M1360" i="4"/>
  <c r="M1361" i="4"/>
  <c r="M1362" i="4"/>
  <c r="M1363" i="4"/>
  <c r="M1364" i="4"/>
  <c r="M1365" i="4"/>
  <c r="M1366" i="4"/>
  <c r="M1367" i="4"/>
  <c r="M1368" i="4"/>
  <c r="M1369" i="4"/>
  <c r="M1370" i="4"/>
  <c r="M1421" i="4"/>
  <c r="M1372" i="4"/>
  <c r="M1373" i="4"/>
  <c r="M1374" i="4"/>
  <c r="M1375" i="4"/>
  <c r="M1376" i="4"/>
  <c r="M1434" i="4"/>
  <c r="M1378" i="4"/>
  <c r="M1379" i="4"/>
  <c r="M1380" i="4"/>
  <c r="M1381" i="4"/>
  <c r="M1382" i="4"/>
  <c r="M1383" i="4"/>
  <c r="M1467" i="4"/>
  <c r="M1385" i="4"/>
  <c r="M1386" i="4"/>
  <c r="M1469" i="4"/>
  <c r="M1388" i="4"/>
  <c r="M1389" i="4"/>
  <c r="M1390" i="4"/>
  <c r="M1391" i="4"/>
  <c r="M1392" i="4"/>
  <c r="M1393" i="4"/>
  <c r="M1394" i="4"/>
  <c r="M1395" i="4"/>
  <c r="M1396" i="4"/>
  <c r="M1397" i="4"/>
  <c r="M1398" i="4"/>
  <c r="M1399" i="4"/>
  <c r="M1400" i="4"/>
  <c r="M1401" i="4"/>
  <c r="M1402" i="4"/>
  <c r="M1403" i="4"/>
  <c r="M1404" i="4"/>
  <c r="M1405" i="4"/>
  <c r="M1445" i="4"/>
  <c r="M1407" i="4"/>
  <c r="M1408" i="4"/>
  <c r="M1409" i="4"/>
  <c r="M1410" i="4"/>
  <c r="M1411" i="4"/>
  <c r="M1412" i="4"/>
  <c r="M1413" i="4"/>
  <c r="M1414" i="4"/>
  <c r="M1415" i="4"/>
  <c r="M1342" i="4"/>
  <c r="M1278" i="4"/>
  <c r="M505" i="4"/>
  <c r="M1419" i="4"/>
  <c r="M1387" i="4"/>
  <c r="M1145" i="4"/>
  <c r="M1422" i="4"/>
  <c r="M1423" i="4"/>
  <c r="M1424" i="4"/>
  <c r="M1425" i="4"/>
  <c r="M1426" i="4"/>
  <c r="M1427" i="4"/>
  <c r="M1428" i="4"/>
  <c r="M1429" i="4"/>
  <c r="M1430" i="4"/>
  <c r="M1431" i="4"/>
  <c r="M1432" i="4"/>
  <c r="M1433" i="4"/>
  <c r="M1112" i="4"/>
  <c r="M1435" i="4"/>
  <c r="M1436" i="4"/>
  <c r="M1437" i="4"/>
  <c r="M1438" i="4"/>
  <c r="M1439" i="4"/>
  <c r="M1440" i="4"/>
  <c r="M1441" i="4"/>
  <c r="M1442" i="4"/>
  <c r="M1443" i="4"/>
  <c r="M1444" i="4"/>
  <c r="M1284" i="4"/>
  <c r="M1446" i="4"/>
  <c r="M1377" i="4"/>
  <c r="M1354" i="4"/>
  <c r="M1384" i="4"/>
  <c r="M1154" i="4"/>
  <c r="M1451" i="4"/>
  <c r="M1371" i="4"/>
  <c r="M1418" i="4"/>
  <c r="M1406" i="4"/>
  <c r="M1455" i="4"/>
  <c r="M1417" i="4"/>
  <c r="M1158" i="4"/>
  <c r="M1420" i="4"/>
  <c r="M1459" i="4"/>
  <c r="M1460" i="4"/>
  <c r="M1461" i="4"/>
  <c r="M1462" i="4"/>
  <c r="M1463" i="4"/>
  <c r="M1464" i="4"/>
  <c r="M1465" i="4"/>
  <c r="M1466" i="4"/>
  <c r="M1212" i="4"/>
  <c r="M1468" i="4"/>
  <c r="M1175" i="4"/>
  <c r="M1470" i="4"/>
  <c r="M1471" i="4"/>
  <c r="M1472" i="4"/>
  <c r="M1473" i="4"/>
  <c r="M1474" i="4"/>
  <c r="M1475" i="4"/>
  <c r="M1476" i="4"/>
  <c r="M1477"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1416"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1026"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1447"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67"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243"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448"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449" i="4"/>
  <c r="N1146" i="4"/>
  <c r="N1147" i="4"/>
  <c r="N1148" i="4"/>
  <c r="N1149" i="4"/>
  <c r="N1150" i="4"/>
  <c r="N1151" i="4"/>
  <c r="N1152" i="4"/>
  <c r="N1153" i="4"/>
  <c r="N1450" i="4"/>
  <c r="N1155" i="4"/>
  <c r="N1156" i="4"/>
  <c r="N1157" i="4"/>
  <c r="N1452" i="4"/>
  <c r="N1159" i="4"/>
  <c r="N1160" i="4"/>
  <c r="N1161" i="4"/>
  <c r="N1162" i="4"/>
  <c r="N1163" i="4"/>
  <c r="N1164" i="4"/>
  <c r="N1165" i="4"/>
  <c r="N1166" i="4"/>
  <c r="N1167" i="4"/>
  <c r="N1168" i="4"/>
  <c r="N1169" i="4"/>
  <c r="N1170" i="4"/>
  <c r="N1171" i="4"/>
  <c r="N1172" i="4"/>
  <c r="N1173" i="4"/>
  <c r="N1174" i="4"/>
  <c r="N1453"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1204" i="4"/>
  <c r="N1205" i="4"/>
  <c r="N1206" i="4"/>
  <c r="N1207" i="4"/>
  <c r="N1208" i="4"/>
  <c r="N1209" i="4"/>
  <c r="N1210" i="4"/>
  <c r="N1211" i="4"/>
  <c r="N535" i="4"/>
  <c r="N1213" i="4"/>
  <c r="N1214" i="4"/>
  <c r="N1215" i="4"/>
  <c r="N1216" i="4"/>
  <c r="N1217" i="4"/>
  <c r="N1218" i="4"/>
  <c r="N1219" i="4"/>
  <c r="N1220" i="4"/>
  <c r="N1221" i="4"/>
  <c r="N1222" i="4"/>
  <c r="N1223" i="4"/>
  <c r="N1224" i="4"/>
  <c r="N1225" i="4"/>
  <c r="N1226" i="4"/>
  <c r="N1227" i="4"/>
  <c r="N1228" i="4"/>
  <c r="N1229" i="4"/>
  <c r="N1230" i="4"/>
  <c r="N1231" i="4"/>
  <c r="N1232" i="4"/>
  <c r="N1233" i="4"/>
  <c r="N1234" i="4"/>
  <c r="N1235" i="4"/>
  <c r="N1236" i="4"/>
  <c r="N1237" i="4"/>
  <c r="N1238" i="4"/>
  <c r="N1239" i="4"/>
  <c r="N1240" i="4"/>
  <c r="N1241" i="4"/>
  <c r="N1242" i="4"/>
  <c r="N931"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454" i="4"/>
  <c r="N1279" i="4"/>
  <c r="N1280" i="4"/>
  <c r="N1281" i="4"/>
  <c r="N1282" i="4"/>
  <c r="N1283" i="4"/>
  <c r="N1456" i="4"/>
  <c r="N1285" i="4"/>
  <c r="N1286" i="4"/>
  <c r="N1287" i="4"/>
  <c r="N1288" i="4"/>
  <c r="N1289" i="4"/>
  <c r="N1290" i="4"/>
  <c r="N1291" i="4"/>
  <c r="N1292" i="4"/>
  <c r="N1293" i="4"/>
  <c r="N1294" i="4"/>
  <c r="N1295" i="4"/>
  <c r="N1296" i="4"/>
  <c r="N1297" i="4"/>
  <c r="N1298" i="4"/>
  <c r="N1299" i="4"/>
  <c r="N1300" i="4"/>
  <c r="N1301" i="4"/>
  <c r="N1302" i="4"/>
  <c r="N1303" i="4"/>
  <c r="N1304" i="4"/>
  <c r="N1305" i="4"/>
  <c r="N1306" i="4"/>
  <c r="N1307" i="4"/>
  <c r="N1308" i="4"/>
  <c r="N1309" i="4"/>
  <c r="N1310" i="4"/>
  <c r="N1311" i="4"/>
  <c r="N1312" i="4"/>
  <c r="N1313"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457" i="4"/>
  <c r="N1343" i="4"/>
  <c r="N1344" i="4"/>
  <c r="N1345" i="4"/>
  <c r="N1346" i="4"/>
  <c r="N1347" i="4"/>
  <c r="N1348" i="4"/>
  <c r="N1349" i="4"/>
  <c r="N1350" i="4"/>
  <c r="N1351" i="4"/>
  <c r="N1352" i="4"/>
  <c r="N1353" i="4"/>
  <c r="N1458" i="4"/>
  <c r="N1355" i="4"/>
  <c r="N1356" i="4"/>
  <c r="N1357" i="4"/>
  <c r="N1358" i="4"/>
  <c r="N1359" i="4"/>
  <c r="N1360" i="4"/>
  <c r="N1361" i="4"/>
  <c r="N1362" i="4"/>
  <c r="N1363" i="4"/>
  <c r="N1364" i="4"/>
  <c r="N1365" i="4"/>
  <c r="N1366" i="4"/>
  <c r="N1367" i="4"/>
  <c r="N1368" i="4"/>
  <c r="N1369" i="4"/>
  <c r="N1370" i="4"/>
  <c r="N1421" i="4"/>
  <c r="N1372" i="4"/>
  <c r="N1373" i="4"/>
  <c r="N1374" i="4"/>
  <c r="N1375" i="4"/>
  <c r="N1376" i="4"/>
  <c r="N1434" i="4"/>
  <c r="N1378" i="4"/>
  <c r="N1379" i="4"/>
  <c r="N1380" i="4"/>
  <c r="N1381" i="4"/>
  <c r="N1382" i="4"/>
  <c r="N1383" i="4"/>
  <c r="N1467" i="4"/>
  <c r="N1385" i="4"/>
  <c r="N1386" i="4"/>
  <c r="N1469" i="4"/>
  <c r="N1388" i="4"/>
  <c r="N1389" i="4"/>
  <c r="N1390" i="4"/>
  <c r="N1391" i="4"/>
  <c r="N1392" i="4"/>
  <c r="N1393" i="4"/>
  <c r="N1394" i="4"/>
  <c r="N1395" i="4"/>
  <c r="N1396" i="4"/>
  <c r="N1397" i="4"/>
  <c r="N1398" i="4"/>
  <c r="N1399" i="4"/>
  <c r="N1400" i="4"/>
  <c r="N1401" i="4"/>
  <c r="N1402" i="4"/>
  <c r="N1403" i="4"/>
  <c r="N1404" i="4"/>
  <c r="N1405" i="4"/>
  <c r="N1445" i="4"/>
  <c r="N1407" i="4"/>
  <c r="N1408" i="4"/>
  <c r="N1409" i="4"/>
  <c r="N1410" i="4"/>
  <c r="N1411" i="4"/>
  <c r="N1412" i="4"/>
  <c r="N1413" i="4"/>
  <c r="N1414" i="4"/>
  <c r="N1415" i="4"/>
  <c r="N1342" i="4"/>
  <c r="N1278" i="4"/>
  <c r="N505" i="4"/>
  <c r="N1419" i="4"/>
  <c r="N1387" i="4"/>
  <c r="N1145" i="4"/>
  <c r="N1422" i="4"/>
  <c r="N1423" i="4"/>
  <c r="N1424" i="4"/>
  <c r="N1425" i="4"/>
  <c r="N1426" i="4"/>
  <c r="N1427" i="4"/>
  <c r="N1428" i="4"/>
  <c r="N1429" i="4"/>
  <c r="N1430" i="4"/>
  <c r="N1431" i="4"/>
  <c r="N1432" i="4"/>
  <c r="N1433" i="4"/>
  <c r="N1112" i="4"/>
  <c r="N1435" i="4"/>
  <c r="N1436" i="4"/>
  <c r="N1437" i="4"/>
  <c r="N1438" i="4"/>
  <c r="N1439" i="4"/>
  <c r="N1440" i="4"/>
  <c r="N1441" i="4"/>
  <c r="N1442" i="4"/>
  <c r="N1443" i="4"/>
  <c r="N1444" i="4"/>
  <c r="N1284" i="4"/>
  <c r="N1446" i="4"/>
  <c r="N1377" i="4"/>
  <c r="N1354" i="4"/>
  <c r="N1384" i="4"/>
  <c r="N1154" i="4"/>
  <c r="N1451" i="4"/>
  <c r="N1371" i="4"/>
  <c r="N1418" i="4"/>
  <c r="N1406" i="4"/>
  <c r="N1455" i="4"/>
  <c r="N1417" i="4"/>
  <c r="N1158" i="4"/>
  <c r="N1420" i="4"/>
  <c r="N1459" i="4"/>
  <c r="N1460" i="4"/>
  <c r="N1461" i="4"/>
  <c r="N1462" i="4"/>
  <c r="N1463" i="4"/>
  <c r="N1464" i="4"/>
  <c r="N1465" i="4"/>
  <c r="N1466" i="4"/>
  <c r="N1212" i="4"/>
  <c r="N1468" i="4"/>
  <c r="N1175" i="4"/>
  <c r="N1470" i="4"/>
  <c r="N1471" i="4"/>
  <c r="N1472" i="4"/>
  <c r="N1473" i="4"/>
  <c r="N1474" i="4"/>
  <c r="N1475" i="4"/>
  <c r="N1476" i="4"/>
  <c r="N1477"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1416"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1026"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1447"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67"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243"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448"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449" i="4"/>
  <c r="O1146" i="4"/>
  <c r="O1147" i="4"/>
  <c r="O1148" i="4"/>
  <c r="O1149" i="4"/>
  <c r="O1150" i="4"/>
  <c r="O1151" i="4"/>
  <c r="O1152" i="4"/>
  <c r="O1153" i="4"/>
  <c r="O1450" i="4"/>
  <c r="O1155" i="4"/>
  <c r="O1156" i="4"/>
  <c r="O1157" i="4"/>
  <c r="O1452" i="4"/>
  <c r="O1159" i="4"/>
  <c r="O1160" i="4"/>
  <c r="O1161" i="4"/>
  <c r="O1162" i="4"/>
  <c r="O1163" i="4"/>
  <c r="O1164" i="4"/>
  <c r="O1165" i="4"/>
  <c r="O1166" i="4"/>
  <c r="O1167" i="4"/>
  <c r="O1168" i="4"/>
  <c r="O1169" i="4"/>
  <c r="O1170" i="4"/>
  <c r="O1171" i="4"/>
  <c r="O1172" i="4"/>
  <c r="O1173" i="4"/>
  <c r="O1174" i="4"/>
  <c r="O1453"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535"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931"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454" i="4"/>
  <c r="O1279" i="4"/>
  <c r="O1280" i="4"/>
  <c r="O1281" i="4"/>
  <c r="O1282" i="4"/>
  <c r="O1283" i="4"/>
  <c r="O1456"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457" i="4"/>
  <c r="O1343" i="4"/>
  <c r="O1344" i="4"/>
  <c r="O1345" i="4"/>
  <c r="O1346" i="4"/>
  <c r="O1347" i="4"/>
  <c r="O1348" i="4"/>
  <c r="O1349" i="4"/>
  <c r="O1350" i="4"/>
  <c r="O1351" i="4"/>
  <c r="O1352" i="4"/>
  <c r="O1353" i="4"/>
  <c r="O1458" i="4"/>
  <c r="O1355" i="4"/>
  <c r="O1356" i="4"/>
  <c r="O1357" i="4"/>
  <c r="O1358" i="4"/>
  <c r="O1359" i="4"/>
  <c r="O1360" i="4"/>
  <c r="O1361" i="4"/>
  <c r="O1362" i="4"/>
  <c r="O1363" i="4"/>
  <c r="O1364" i="4"/>
  <c r="O1365" i="4"/>
  <c r="O1366" i="4"/>
  <c r="O1367" i="4"/>
  <c r="O1368" i="4"/>
  <c r="O1369" i="4"/>
  <c r="O1370" i="4"/>
  <c r="O1421" i="4"/>
  <c r="O1372" i="4"/>
  <c r="O1373" i="4"/>
  <c r="O1374" i="4"/>
  <c r="O1375" i="4"/>
  <c r="O1376" i="4"/>
  <c r="O1434" i="4"/>
  <c r="O1378" i="4"/>
  <c r="O1379" i="4"/>
  <c r="O1380" i="4"/>
  <c r="O1381" i="4"/>
  <c r="O1382" i="4"/>
  <c r="O1383" i="4"/>
  <c r="O1467" i="4"/>
  <c r="O1385" i="4"/>
  <c r="O1386" i="4"/>
  <c r="O1469" i="4"/>
  <c r="O1388" i="4"/>
  <c r="O1389" i="4"/>
  <c r="O1390" i="4"/>
  <c r="O1391" i="4"/>
  <c r="O1392" i="4"/>
  <c r="O1393" i="4"/>
  <c r="O1394" i="4"/>
  <c r="O1395" i="4"/>
  <c r="O1396" i="4"/>
  <c r="O1397" i="4"/>
  <c r="O1398" i="4"/>
  <c r="O1399" i="4"/>
  <c r="O1400" i="4"/>
  <c r="O1401" i="4"/>
  <c r="O1402" i="4"/>
  <c r="O1403" i="4"/>
  <c r="O1404" i="4"/>
  <c r="O1405" i="4"/>
  <c r="O1445" i="4"/>
  <c r="O1407" i="4"/>
  <c r="O1408" i="4"/>
  <c r="O1409" i="4"/>
  <c r="O1410" i="4"/>
  <c r="O1411" i="4"/>
  <c r="O1412" i="4"/>
  <c r="O1413" i="4"/>
  <c r="O1414" i="4"/>
  <c r="O1415" i="4"/>
  <c r="O1342" i="4"/>
  <c r="O1278" i="4"/>
  <c r="O505" i="4"/>
  <c r="O1419" i="4"/>
  <c r="O1387" i="4"/>
  <c r="O1145" i="4"/>
  <c r="O1422" i="4"/>
  <c r="O1423" i="4"/>
  <c r="O1424" i="4"/>
  <c r="O1425" i="4"/>
  <c r="O1426" i="4"/>
  <c r="O1427" i="4"/>
  <c r="O1428" i="4"/>
  <c r="O1429" i="4"/>
  <c r="O1430" i="4"/>
  <c r="O1431" i="4"/>
  <c r="O1432" i="4"/>
  <c r="O1433" i="4"/>
  <c r="O1112" i="4"/>
  <c r="O1435" i="4"/>
  <c r="O1436" i="4"/>
  <c r="O1437" i="4"/>
  <c r="O1438" i="4"/>
  <c r="O1439" i="4"/>
  <c r="O1440" i="4"/>
  <c r="O1441" i="4"/>
  <c r="O1442" i="4"/>
  <c r="O1443" i="4"/>
  <c r="O1444" i="4"/>
  <c r="O1284" i="4"/>
  <c r="O1446" i="4"/>
  <c r="O1377" i="4"/>
  <c r="O1354" i="4"/>
  <c r="O1384" i="4"/>
  <c r="O1154" i="4"/>
  <c r="O1451" i="4"/>
  <c r="O1371" i="4"/>
  <c r="O1418" i="4"/>
  <c r="O1406" i="4"/>
  <c r="O1455" i="4"/>
  <c r="O1417" i="4"/>
  <c r="O1158" i="4"/>
  <c r="O1420" i="4"/>
  <c r="O1459" i="4"/>
  <c r="O1460" i="4"/>
  <c r="O1461" i="4"/>
  <c r="O1462" i="4"/>
  <c r="O1463" i="4"/>
  <c r="O1464" i="4"/>
  <c r="O1465" i="4"/>
  <c r="O1466" i="4"/>
  <c r="O1212" i="4"/>
  <c r="O1468" i="4"/>
  <c r="O1175" i="4"/>
  <c r="O1470" i="4"/>
  <c r="O1471" i="4"/>
  <c r="O1472" i="4"/>
  <c r="O1473" i="4"/>
  <c r="O1474" i="4"/>
  <c r="O1475" i="4"/>
  <c r="O1476" i="4"/>
  <c r="O1477"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1416"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1026"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1447"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67"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243"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448"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449" i="4"/>
  <c r="P1146" i="4"/>
  <c r="P1147" i="4"/>
  <c r="P1148" i="4"/>
  <c r="P1149" i="4"/>
  <c r="P1150" i="4"/>
  <c r="P1151" i="4"/>
  <c r="P1152" i="4"/>
  <c r="P1153" i="4"/>
  <c r="P1450" i="4"/>
  <c r="P1155" i="4"/>
  <c r="P1156" i="4"/>
  <c r="P1157" i="4"/>
  <c r="P1452" i="4"/>
  <c r="P1159" i="4"/>
  <c r="P1160" i="4"/>
  <c r="P1161" i="4"/>
  <c r="P1162" i="4"/>
  <c r="P1163" i="4"/>
  <c r="P1164" i="4"/>
  <c r="P1165" i="4"/>
  <c r="P1166" i="4"/>
  <c r="P1167" i="4"/>
  <c r="P1168" i="4"/>
  <c r="P1169" i="4"/>
  <c r="P1170" i="4"/>
  <c r="P1171" i="4"/>
  <c r="P1172" i="4"/>
  <c r="P1173" i="4"/>
  <c r="P1174" i="4"/>
  <c r="P1453"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1204" i="4"/>
  <c r="P1205" i="4"/>
  <c r="P1206" i="4"/>
  <c r="P1207" i="4"/>
  <c r="P1208" i="4"/>
  <c r="P1209" i="4"/>
  <c r="P1210" i="4"/>
  <c r="P1211" i="4"/>
  <c r="P535" i="4"/>
  <c r="P1213" i="4"/>
  <c r="P1214" i="4"/>
  <c r="P1215" i="4"/>
  <c r="P1216" i="4"/>
  <c r="P1217" i="4"/>
  <c r="P1218" i="4"/>
  <c r="P1219" i="4"/>
  <c r="P1220" i="4"/>
  <c r="P1221" i="4"/>
  <c r="P1222" i="4"/>
  <c r="P1223" i="4"/>
  <c r="P1224" i="4"/>
  <c r="P1225" i="4"/>
  <c r="P1226" i="4"/>
  <c r="P1227" i="4"/>
  <c r="P1228" i="4"/>
  <c r="P1229" i="4"/>
  <c r="P1230" i="4"/>
  <c r="P1231" i="4"/>
  <c r="P1232" i="4"/>
  <c r="P1233" i="4"/>
  <c r="P1234" i="4"/>
  <c r="P1235" i="4"/>
  <c r="P1236" i="4"/>
  <c r="P1237" i="4"/>
  <c r="P1238" i="4"/>
  <c r="P1239" i="4"/>
  <c r="P1240" i="4"/>
  <c r="P1241" i="4"/>
  <c r="P1242" i="4"/>
  <c r="P931"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454" i="4"/>
  <c r="P1279" i="4"/>
  <c r="P1280" i="4"/>
  <c r="P1281" i="4"/>
  <c r="P1282" i="4"/>
  <c r="P1283" i="4"/>
  <c r="P1456"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457" i="4"/>
  <c r="P1343" i="4"/>
  <c r="P1344" i="4"/>
  <c r="P1345" i="4"/>
  <c r="P1346" i="4"/>
  <c r="P1347" i="4"/>
  <c r="P1348" i="4"/>
  <c r="P1349" i="4"/>
  <c r="P1350" i="4"/>
  <c r="P1351" i="4"/>
  <c r="P1352" i="4"/>
  <c r="P1353" i="4"/>
  <c r="P1458" i="4"/>
  <c r="P1355" i="4"/>
  <c r="P1356" i="4"/>
  <c r="P1357" i="4"/>
  <c r="P1358" i="4"/>
  <c r="P1359" i="4"/>
  <c r="P1360" i="4"/>
  <c r="P1361" i="4"/>
  <c r="P1362" i="4"/>
  <c r="P1363" i="4"/>
  <c r="P1364" i="4"/>
  <c r="P1365" i="4"/>
  <c r="P1366" i="4"/>
  <c r="P1367" i="4"/>
  <c r="P1368" i="4"/>
  <c r="P1369" i="4"/>
  <c r="P1370" i="4"/>
  <c r="P1421" i="4"/>
  <c r="P1372" i="4"/>
  <c r="P1373" i="4"/>
  <c r="P1374" i="4"/>
  <c r="P1375" i="4"/>
  <c r="P1376" i="4"/>
  <c r="P1434" i="4"/>
  <c r="P1378" i="4"/>
  <c r="P1379" i="4"/>
  <c r="P1380" i="4"/>
  <c r="P1381" i="4"/>
  <c r="P1382" i="4"/>
  <c r="P1383" i="4"/>
  <c r="P1467" i="4"/>
  <c r="P1385" i="4"/>
  <c r="P1386" i="4"/>
  <c r="P1469" i="4"/>
  <c r="P1388" i="4"/>
  <c r="P1389" i="4"/>
  <c r="P1390" i="4"/>
  <c r="P1391" i="4"/>
  <c r="P1392" i="4"/>
  <c r="P1393" i="4"/>
  <c r="P1394" i="4"/>
  <c r="P1395" i="4"/>
  <c r="P1396" i="4"/>
  <c r="P1397" i="4"/>
  <c r="P1398" i="4"/>
  <c r="P1399" i="4"/>
  <c r="P1400" i="4"/>
  <c r="P1401" i="4"/>
  <c r="P1402" i="4"/>
  <c r="P1403" i="4"/>
  <c r="P1404" i="4"/>
  <c r="P1405" i="4"/>
  <c r="P1445" i="4"/>
  <c r="P1407" i="4"/>
  <c r="P1408" i="4"/>
  <c r="P1409" i="4"/>
  <c r="P1410" i="4"/>
  <c r="P1411" i="4"/>
  <c r="P1412" i="4"/>
  <c r="P1413" i="4"/>
  <c r="P1414" i="4"/>
  <c r="P1415" i="4"/>
  <c r="P1342" i="4"/>
  <c r="P1278" i="4"/>
  <c r="P505" i="4"/>
  <c r="P1419" i="4"/>
  <c r="P1387" i="4"/>
  <c r="P1145" i="4"/>
  <c r="P1422" i="4"/>
  <c r="P1423" i="4"/>
  <c r="P1424" i="4"/>
  <c r="P1425" i="4"/>
  <c r="P1426" i="4"/>
  <c r="P1427" i="4"/>
  <c r="P1428" i="4"/>
  <c r="P1429" i="4"/>
  <c r="P1430" i="4"/>
  <c r="P1431" i="4"/>
  <c r="P1432" i="4"/>
  <c r="P1433" i="4"/>
  <c r="P1112" i="4"/>
  <c r="P1435" i="4"/>
  <c r="P1436" i="4"/>
  <c r="P1437" i="4"/>
  <c r="P1438" i="4"/>
  <c r="P1439" i="4"/>
  <c r="P1440" i="4"/>
  <c r="P1441" i="4"/>
  <c r="P1442" i="4"/>
  <c r="P1443" i="4"/>
  <c r="P1444" i="4"/>
  <c r="P1284" i="4"/>
  <c r="P1446" i="4"/>
  <c r="P1377" i="4"/>
  <c r="P1354" i="4"/>
  <c r="P1384" i="4"/>
  <c r="P1154" i="4"/>
  <c r="P1451" i="4"/>
  <c r="P1371" i="4"/>
  <c r="P1418" i="4"/>
  <c r="P1406" i="4"/>
  <c r="P1455" i="4"/>
  <c r="P1417" i="4"/>
  <c r="P1158" i="4"/>
  <c r="P1420" i="4"/>
  <c r="P1459" i="4"/>
  <c r="P1460" i="4"/>
  <c r="P1461" i="4"/>
  <c r="P1462" i="4"/>
  <c r="P1463" i="4"/>
  <c r="P1464" i="4"/>
  <c r="P1465" i="4"/>
  <c r="P1466" i="4"/>
  <c r="P1212" i="4"/>
  <c r="P1468" i="4"/>
  <c r="P1175" i="4"/>
  <c r="P1470" i="4"/>
  <c r="P1471" i="4"/>
  <c r="P1472" i="4"/>
  <c r="P1473" i="4"/>
  <c r="P1474" i="4"/>
  <c r="P1475" i="4"/>
  <c r="P1476" i="4"/>
  <c r="P1477" i="4"/>
  <c r="A6" i="4"/>
  <c r="A10" i="4"/>
  <c r="A14" i="4"/>
  <c r="A18" i="4"/>
  <c r="A22" i="4"/>
  <c r="A26" i="4"/>
  <c r="A30" i="4"/>
  <c r="A34" i="4"/>
  <c r="A38" i="4"/>
  <c r="A42" i="4"/>
  <c r="A46" i="4"/>
  <c r="A50" i="4"/>
  <c r="A54" i="4"/>
  <c r="A58" i="4"/>
  <c r="A62" i="4"/>
  <c r="A66" i="4"/>
  <c r="A70" i="4"/>
  <c r="A74" i="4"/>
  <c r="A78" i="4"/>
  <c r="A82" i="4"/>
  <c r="A86" i="4"/>
  <c r="A90" i="4"/>
  <c r="A94" i="4"/>
  <c r="A98" i="4"/>
  <c r="A102" i="4"/>
  <c r="A106" i="4"/>
  <c r="A110" i="4"/>
  <c r="A114" i="4"/>
  <c r="A118" i="4"/>
  <c r="A122" i="4"/>
  <c r="A126" i="4"/>
  <c r="A130" i="4"/>
  <c r="A134" i="4"/>
  <c r="A138" i="4"/>
  <c r="A142" i="4"/>
  <c r="A146" i="4"/>
  <c r="A150" i="4"/>
  <c r="A154" i="4"/>
  <c r="A158" i="4"/>
  <c r="A162" i="4"/>
  <c r="A166" i="4"/>
  <c r="A170" i="4"/>
  <c r="A174" i="4"/>
  <c r="A178" i="4"/>
  <c r="A182" i="4"/>
  <c r="A186" i="4"/>
  <c r="A190" i="4"/>
  <c r="A194" i="4"/>
  <c r="A198" i="4"/>
  <c r="A202" i="4"/>
  <c r="A206" i="4"/>
  <c r="A210" i="4"/>
  <c r="A214" i="4"/>
  <c r="A218" i="4"/>
  <c r="A222" i="4"/>
  <c r="A226" i="4"/>
  <c r="A230" i="4"/>
  <c r="A234" i="4"/>
  <c r="A238" i="4"/>
  <c r="A242" i="4"/>
  <c r="A246" i="4"/>
  <c r="A250" i="4"/>
  <c r="A254" i="4"/>
  <c r="A258" i="4"/>
  <c r="A262" i="4"/>
  <c r="A266" i="4"/>
  <c r="A270" i="4"/>
  <c r="A274" i="4"/>
  <c r="A278" i="4"/>
  <c r="A282" i="4"/>
  <c r="A286" i="4"/>
  <c r="A290" i="4"/>
  <c r="A294" i="4"/>
  <c r="A298" i="4"/>
  <c r="A302" i="4"/>
  <c r="A306" i="4"/>
  <c r="A310" i="4"/>
  <c r="A314" i="4"/>
  <c r="A318" i="4"/>
  <c r="A322" i="4"/>
  <c r="A326" i="4"/>
  <c r="A330" i="4"/>
  <c r="A334" i="4"/>
  <c r="A338" i="4"/>
  <c r="A342" i="4"/>
  <c r="A346" i="4"/>
  <c r="A350" i="4"/>
  <c r="A354" i="4"/>
  <c r="A358" i="4"/>
  <c r="A362" i="4"/>
  <c r="A366" i="4"/>
  <c r="A370" i="4"/>
  <c r="A374" i="4"/>
  <c r="A378" i="4"/>
  <c r="A382"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7" i="4"/>
  <c r="A11" i="4"/>
  <c r="A15" i="4"/>
  <c r="A19" i="4"/>
  <c r="A23" i="4"/>
  <c r="A27" i="4"/>
  <c r="A31" i="4"/>
  <c r="A35" i="4"/>
  <c r="A39" i="4"/>
  <c r="A43" i="4"/>
  <c r="A47" i="4"/>
  <c r="A51" i="4"/>
  <c r="A55" i="4"/>
  <c r="A59" i="4"/>
  <c r="A63" i="4"/>
  <c r="A67" i="4"/>
  <c r="A71" i="4"/>
  <c r="A75" i="4"/>
  <c r="A79" i="4"/>
  <c r="A83" i="4"/>
  <c r="A87" i="4"/>
  <c r="A91" i="4"/>
  <c r="A95" i="4"/>
  <c r="A99" i="4"/>
  <c r="A103" i="4"/>
  <c r="A107" i="4"/>
  <c r="A111" i="4"/>
  <c r="A115" i="4"/>
  <c r="A119" i="4"/>
  <c r="A123" i="4"/>
  <c r="A127" i="4"/>
  <c r="A131" i="4"/>
  <c r="A135" i="4"/>
  <c r="A139" i="4"/>
  <c r="A143" i="4"/>
  <c r="A147" i="4"/>
  <c r="A151" i="4"/>
  <c r="A155" i="4"/>
  <c r="A159" i="4"/>
  <c r="A163" i="4"/>
  <c r="A167" i="4"/>
  <c r="A171" i="4"/>
  <c r="A175" i="4"/>
  <c r="A179" i="4"/>
  <c r="A183" i="4"/>
  <c r="A187" i="4"/>
  <c r="A191" i="4"/>
  <c r="A195" i="4"/>
  <c r="A199" i="4"/>
  <c r="A203" i="4"/>
  <c r="A207" i="4"/>
  <c r="A211" i="4"/>
  <c r="A215" i="4"/>
  <c r="A219" i="4"/>
  <c r="A223" i="4"/>
  <c r="A227" i="4"/>
  <c r="A231" i="4"/>
  <c r="A235" i="4"/>
  <c r="A239" i="4"/>
  <c r="A243" i="4"/>
  <c r="A247" i="4"/>
  <c r="A251" i="4"/>
  <c r="A255" i="4"/>
  <c r="A259" i="4"/>
  <c r="A263" i="4"/>
  <c r="A267" i="4"/>
  <c r="A271" i="4"/>
  <c r="A275" i="4"/>
  <c r="A279" i="4"/>
  <c r="A283" i="4"/>
  <c r="A287" i="4"/>
  <c r="A291" i="4"/>
  <c r="A295" i="4"/>
  <c r="A299" i="4"/>
  <c r="A303" i="4"/>
  <c r="A307" i="4"/>
  <c r="A311" i="4"/>
  <c r="A315" i="4"/>
  <c r="A319" i="4"/>
  <c r="A323" i="4"/>
  <c r="A327" i="4"/>
  <c r="A8" i="4"/>
  <c r="A12" i="4"/>
  <c r="A16" i="4"/>
  <c r="A20" i="4"/>
  <c r="A24" i="4"/>
  <c r="A28" i="4"/>
  <c r="A32" i="4"/>
  <c r="A36" i="4"/>
  <c r="A40" i="4"/>
  <c r="A44" i="4"/>
  <c r="A48" i="4"/>
  <c r="A52" i="4"/>
  <c r="A56" i="4"/>
  <c r="A60" i="4"/>
  <c r="A64" i="4"/>
  <c r="A68" i="4"/>
  <c r="A72" i="4"/>
  <c r="A76" i="4"/>
  <c r="A80" i="4"/>
  <c r="A84" i="4"/>
  <c r="A88" i="4"/>
  <c r="A92" i="4"/>
  <c r="A96" i="4"/>
  <c r="A100" i="4"/>
  <c r="A104" i="4"/>
  <c r="A108" i="4"/>
  <c r="A112" i="4"/>
  <c r="A116" i="4"/>
  <c r="A120" i="4"/>
  <c r="A124" i="4"/>
  <c r="A128" i="4"/>
  <c r="A132" i="4"/>
  <c r="A136" i="4"/>
  <c r="A140" i="4"/>
  <c r="A144" i="4"/>
  <c r="A148" i="4"/>
  <c r="A152" i="4"/>
  <c r="A156" i="4"/>
  <c r="A160" i="4"/>
  <c r="A164" i="4"/>
  <c r="A168" i="4"/>
  <c r="A172" i="4"/>
  <c r="A176" i="4"/>
  <c r="A180" i="4"/>
  <c r="A184" i="4"/>
  <c r="A188" i="4"/>
  <c r="A192" i="4"/>
  <c r="A196" i="4"/>
  <c r="A200" i="4"/>
  <c r="A204" i="4"/>
  <c r="A208" i="4"/>
  <c r="A212" i="4"/>
  <c r="A216" i="4"/>
  <c r="A220" i="4"/>
  <c r="A224" i="4"/>
  <c r="A228" i="4"/>
  <c r="A232" i="4"/>
  <c r="A236" i="4"/>
  <c r="A240" i="4"/>
  <c r="A244" i="4"/>
  <c r="A248" i="4"/>
  <c r="A252" i="4"/>
  <c r="A256" i="4"/>
  <c r="A260" i="4"/>
  <c r="A264" i="4"/>
  <c r="A268" i="4"/>
  <c r="A272" i="4"/>
  <c r="A276" i="4"/>
  <c r="A280" i="4"/>
  <c r="A284" i="4"/>
  <c r="A288" i="4"/>
  <c r="A292" i="4"/>
  <c r="A296" i="4"/>
  <c r="A300" i="4"/>
  <c r="A304" i="4"/>
  <c r="A308" i="4"/>
  <c r="A312" i="4"/>
  <c r="A316" i="4"/>
  <c r="A320" i="4"/>
  <c r="A324" i="4"/>
  <c r="A9" i="4"/>
  <c r="A25" i="4"/>
  <c r="A41" i="4"/>
  <c r="A57" i="4"/>
  <c r="A73" i="4"/>
  <c r="A89" i="4"/>
  <c r="A105" i="4"/>
  <c r="A121" i="4"/>
  <c r="A137" i="4"/>
  <c r="A153" i="4"/>
  <c r="A169" i="4"/>
  <c r="A185" i="4"/>
  <c r="A201" i="4"/>
  <c r="A217" i="4"/>
  <c r="A233" i="4"/>
  <c r="A249" i="4"/>
  <c r="A265" i="4"/>
  <c r="A281" i="4"/>
  <c r="A297" i="4"/>
  <c r="A313" i="4"/>
  <c r="A328" i="4"/>
  <c r="A333" i="4"/>
  <c r="A339" i="4"/>
  <c r="A344" i="4"/>
  <c r="A349" i="4"/>
  <c r="A355" i="4"/>
  <c r="A360" i="4"/>
  <c r="A365" i="4"/>
  <c r="A371" i="4"/>
  <c r="A376" i="4"/>
  <c r="A381" i="4"/>
  <c r="A387" i="4"/>
  <c r="A392" i="4"/>
  <c r="A397" i="4"/>
  <c r="A403" i="4"/>
  <c r="A408" i="4"/>
  <c r="A413" i="4"/>
  <c r="A419" i="4"/>
  <c r="A424" i="4"/>
  <c r="A429" i="4"/>
  <c r="A435" i="4"/>
  <c r="A440" i="4"/>
  <c r="A445" i="4"/>
  <c r="A451" i="4"/>
  <c r="A456" i="4"/>
  <c r="A461" i="4"/>
  <c r="A467" i="4"/>
  <c r="A472" i="4"/>
  <c r="A477" i="4"/>
  <c r="A483" i="4"/>
  <c r="A488" i="4"/>
  <c r="A493" i="4"/>
  <c r="A499" i="4"/>
  <c r="A504" i="4"/>
  <c r="A509" i="4"/>
  <c r="A514" i="4"/>
  <c r="A518" i="4"/>
  <c r="A522" i="4"/>
  <c r="A526" i="4"/>
  <c r="A530" i="4"/>
  <c r="A534" i="4"/>
  <c r="A538" i="4"/>
  <c r="A542" i="4"/>
  <c r="A546" i="4"/>
  <c r="A550" i="4"/>
  <c r="A554" i="4"/>
  <c r="A558" i="4"/>
  <c r="A562" i="4"/>
  <c r="A566" i="4"/>
  <c r="A570" i="4"/>
  <c r="A574" i="4"/>
  <c r="A578" i="4"/>
  <c r="A582" i="4"/>
  <c r="A586" i="4"/>
  <c r="A590" i="4"/>
  <c r="A594" i="4"/>
  <c r="A598" i="4"/>
  <c r="A602" i="4"/>
  <c r="A606" i="4"/>
  <c r="A610" i="4"/>
  <c r="A614" i="4"/>
  <c r="A618" i="4"/>
  <c r="A622" i="4"/>
  <c r="A626" i="4"/>
  <c r="A630" i="4"/>
  <c r="A634" i="4"/>
  <c r="A638" i="4"/>
  <c r="A642" i="4"/>
  <c r="A646" i="4"/>
  <c r="A650" i="4"/>
  <c r="A654" i="4"/>
  <c r="A658" i="4"/>
  <c r="A662" i="4"/>
  <c r="A666" i="4"/>
  <c r="A670" i="4"/>
  <c r="A674" i="4"/>
  <c r="A678" i="4"/>
  <c r="A682"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814" i="4"/>
  <c r="A818" i="4"/>
  <c r="A822" i="4"/>
  <c r="A826" i="4"/>
  <c r="A830" i="4"/>
  <c r="A834" i="4"/>
  <c r="A838" i="4"/>
  <c r="A842" i="4"/>
  <c r="A846" i="4"/>
  <c r="A850" i="4"/>
  <c r="A854" i="4"/>
  <c r="A858" i="4"/>
  <c r="A862" i="4"/>
  <c r="A866" i="4"/>
  <c r="A870" i="4"/>
  <c r="A874" i="4"/>
  <c r="A878" i="4"/>
  <c r="A882" i="4"/>
  <c r="A886" i="4"/>
  <c r="A890" i="4"/>
  <c r="A894" i="4"/>
  <c r="A898" i="4"/>
  <c r="A902" i="4"/>
  <c r="A906" i="4"/>
  <c r="A910" i="4"/>
  <c r="A914" i="4"/>
  <c r="A918" i="4"/>
  <c r="A922" i="4"/>
  <c r="A926" i="4"/>
  <c r="A930" i="4"/>
  <c r="A934" i="4"/>
  <c r="A938" i="4"/>
  <c r="A942" i="4"/>
  <c r="A946" i="4"/>
  <c r="A950" i="4"/>
  <c r="A954" i="4"/>
  <c r="A958" i="4"/>
  <c r="A962" i="4"/>
  <c r="A966" i="4"/>
  <c r="A970" i="4"/>
  <c r="A974" i="4"/>
  <c r="A978" i="4"/>
  <c r="A982" i="4"/>
  <c r="A986" i="4"/>
  <c r="A990" i="4"/>
  <c r="A994" i="4"/>
  <c r="A998" i="4"/>
  <c r="A1002" i="4"/>
  <c r="A1006" i="4"/>
  <c r="A1010" i="4"/>
  <c r="A1014" i="4"/>
  <c r="A1018" i="4"/>
  <c r="A1022" i="4"/>
  <c r="A1067" i="4"/>
  <c r="A1030" i="4"/>
  <c r="A1034" i="4"/>
  <c r="A1038" i="4"/>
  <c r="A1042" i="4"/>
  <c r="A1046" i="4"/>
  <c r="A1050" i="4"/>
  <c r="A1054" i="4"/>
  <c r="A1058" i="4"/>
  <c r="A1062" i="4"/>
  <c r="A1066" i="4"/>
  <c r="A1070" i="4"/>
  <c r="A1074" i="4"/>
  <c r="A1078" i="4"/>
  <c r="A1082" i="4"/>
  <c r="A1086" i="4"/>
  <c r="A1090" i="4"/>
  <c r="A1094" i="4"/>
  <c r="A1098" i="4"/>
  <c r="A1102" i="4"/>
  <c r="A1106" i="4"/>
  <c r="A1110" i="4"/>
  <c r="A1114" i="4"/>
  <c r="A1118" i="4"/>
  <c r="A13" i="4"/>
  <c r="A29" i="4"/>
  <c r="A45" i="4"/>
  <c r="A61" i="4"/>
  <c r="A77" i="4"/>
  <c r="A93" i="4"/>
  <c r="A109" i="4"/>
  <c r="A125" i="4"/>
  <c r="A141" i="4"/>
  <c r="A157" i="4"/>
  <c r="A173" i="4"/>
  <c r="A189" i="4"/>
  <c r="A205" i="4"/>
  <c r="A221" i="4"/>
  <c r="A237" i="4"/>
  <c r="A253" i="4"/>
  <c r="A269" i="4"/>
  <c r="A285" i="4"/>
  <c r="A301" i="4"/>
  <c r="A317" i="4"/>
  <c r="A329" i="4"/>
  <c r="A335" i="4"/>
  <c r="A340" i="4"/>
  <c r="A345" i="4"/>
  <c r="A351" i="4"/>
  <c r="A356" i="4"/>
  <c r="A361" i="4"/>
  <c r="A367" i="4"/>
  <c r="A372" i="4"/>
  <c r="A377" i="4"/>
  <c r="A383" i="4"/>
  <c r="A388" i="4"/>
  <c r="A393" i="4"/>
  <c r="A399" i="4"/>
  <c r="A404" i="4"/>
  <c r="A409" i="4"/>
  <c r="A415" i="4"/>
  <c r="A420" i="4"/>
  <c r="A425" i="4"/>
  <c r="A431" i="4"/>
  <c r="A436" i="4"/>
  <c r="A441" i="4"/>
  <c r="A447" i="4"/>
  <c r="A452" i="4"/>
  <c r="A457" i="4"/>
  <c r="A463" i="4"/>
  <c r="A468" i="4"/>
  <c r="A473" i="4"/>
  <c r="A479" i="4"/>
  <c r="A484" i="4"/>
  <c r="A489" i="4"/>
  <c r="A495" i="4"/>
  <c r="A500" i="4"/>
  <c r="A1416" i="4"/>
  <c r="A511" i="4"/>
  <c r="A515" i="4"/>
  <c r="A519" i="4"/>
  <c r="A523" i="4"/>
  <c r="A527" i="4"/>
  <c r="A531" i="4"/>
  <c r="A1026" i="4"/>
  <c r="A539" i="4"/>
  <c r="A543" i="4"/>
  <c r="A547" i="4"/>
  <c r="A551" i="4"/>
  <c r="A555" i="4"/>
  <c r="A559" i="4"/>
  <c r="A563" i="4"/>
  <c r="A567" i="4"/>
  <c r="A571" i="4"/>
  <c r="A575" i="4"/>
  <c r="A579" i="4"/>
  <c r="A583" i="4"/>
  <c r="A587" i="4"/>
  <c r="A591" i="4"/>
  <c r="A595" i="4"/>
  <c r="A599" i="4"/>
  <c r="A603" i="4"/>
  <c r="A607" i="4"/>
  <c r="A611" i="4"/>
  <c r="A615" i="4"/>
  <c r="A619" i="4"/>
  <c r="A623" i="4"/>
  <c r="A627" i="4"/>
  <c r="A631" i="4"/>
  <c r="A635" i="4"/>
  <c r="A639" i="4"/>
  <c r="A643" i="4"/>
  <c r="A647" i="4"/>
  <c r="A651" i="4"/>
  <c r="A655" i="4"/>
  <c r="A659" i="4"/>
  <c r="A663" i="4"/>
  <c r="A667" i="4"/>
  <c r="A671" i="4"/>
  <c r="A675" i="4"/>
  <c r="A679" i="4"/>
  <c r="A683"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17" i="4"/>
  <c r="A33" i="4"/>
  <c r="A49" i="4"/>
  <c r="A65" i="4"/>
  <c r="A81" i="4"/>
  <c r="A97" i="4"/>
  <c r="A113" i="4"/>
  <c r="A129" i="4"/>
  <c r="A145" i="4"/>
  <c r="A161" i="4"/>
  <c r="A177" i="4"/>
  <c r="A193" i="4"/>
  <c r="A209" i="4"/>
  <c r="A225" i="4"/>
  <c r="A241" i="4"/>
  <c r="A257" i="4"/>
  <c r="A273" i="4"/>
  <c r="A289" i="4"/>
  <c r="A305" i="4"/>
  <c r="A321" i="4"/>
  <c r="A331" i="4"/>
  <c r="A336" i="4"/>
  <c r="A341" i="4"/>
  <c r="A347" i="4"/>
  <c r="A352" i="4"/>
  <c r="A357" i="4"/>
  <c r="A363" i="4"/>
  <c r="A368" i="4"/>
  <c r="A373" i="4"/>
  <c r="A379" i="4"/>
  <c r="A384" i="4"/>
  <c r="A389" i="4"/>
  <c r="A395" i="4"/>
  <c r="A400" i="4"/>
  <c r="A405" i="4"/>
  <c r="A411" i="4"/>
  <c r="A416" i="4"/>
  <c r="A421" i="4"/>
  <c r="A427" i="4"/>
  <c r="A432" i="4"/>
  <c r="A437" i="4"/>
  <c r="A443" i="4"/>
  <c r="A448" i="4"/>
  <c r="A453" i="4"/>
  <c r="A459" i="4"/>
  <c r="A464" i="4"/>
  <c r="A469" i="4"/>
  <c r="A475" i="4"/>
  <c r="A480" i="4"/>
  <c r="A485" i="4"/>
  <c r="A491" i="4"/>
  <c r="A496" i="4"/>
  <c r="A501" i="4"/>
  <c r="A507"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616" i="4"/>
  <c r="A620" i="4"/>
  <c r="A624" i="4"/>
  <c r="A628" i="4"/>
  <c r="A632" i="4"/>
  <c r="A636" i="4"/>
  <c r="A640" i="4"/>
  <c r="A644" i="4"/>
  <c r="A648" i="4"/>
  <c r="A652" i="4"/>
  <c r="A656" i="4"/>
  <c r="A660" i="4"/>
  <c r="A664" i="4"/>
  <c r="A668" i="4"/>
  <c r="A672" i="4"/>
  <c r="A676" i="4"/>
  <c r="A680" i="4"/>
  <c r="A684"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21" i="4"/>
  <c r="A85" i="4"/>
  <c r="A149" i="4"/>
  <c r="A213" i="4"/>
  <c r="A277" i="4"/>
  <c r="A332" i="4"/>
  <c r="A353" i="4"/>
  <c r="A375" i="4"/>
  <c r="A396" i="4"/>
  <c r="A417" i="4"/>
  <c r="A439" i="4"/>
  <c r="A460" i="4"/>
  <c r="A481" i="4"/>
  <c r="A503" i="4"/>
  <c r="A521" i="4"/>
  <c r="A537" i="4"/>
  <c r="A553" i="4"/>
  <c r="A569" i="4"/>
  <c r="A585" i="4"/>
  <c r="A601" i="4"/>
  <c r="A617" i="4"/>
  <c r="A633" i="4"/>
  <c r="A649" i="4"/>
  <c r="A665" i="4"/>
  <c r="A681" i="4"/>
  <c r="A697" i="4"/>
  <c r="A713" i="4"/>
  <c r="A729" i="4"/>
  <c r="A745" i="4"/>
  <c r="A761" i="4"/>
  <c r="A777" i="4"/>
  <c r="A793" i="4"/>
  <c r="A804" i="4"/>
  <c r="A809" i="4"/>
  <c r="A815" i="4"/>
  <c r="A820" i="4"/>
  <c r="A825" i="4"/>
  <c r="A831" i="4"/>
  <c r="A836" i="4"/>
  <c r="A841" i="4"/>
  <c r="A847" i="4"/>
  <c r="A852" i="4"/>
  <c r="A857" i="4"/>
  <c r="A863" i="4"/>
  <c r="A868" i="4"/>
  <c r="A873" i="4"/>
  <c r="A879" i="4"/>
  <c r="A884" i="4"/>
  <c r="A889" i="4"/>
  <c r="A895" i="4"/>
  <c r="A900" i="4"/>
  <c r="A905" i="4"/>
  <c r="A911" i="4"/>
  <c r="A916" i="4"/>
  <c r="A921" i="4"/>
  <c r="A927" i="4"/>
  <c r="A932" i="4"/>
  <c r="A937" i="4"/>
  <c r="A943" i="4"/>
  <c r="A948" i="4"/>
  <c r="A953" i="4"/>
  <c r="A959" i="4"/>
  <c r="A964" i="4"/>
  <c r="A969" i="4"/>
  <c r="A975" i="4"/>
  <c r="A980" i="4"/>
  <c r="A985" i="4"/>
  <c r="A991" i="4"/>
  <c r="A996" i="4"/>
  <c r="A1001" i="4"/>
  <c r="A1007" i="4"/>
  <c r="A37" i="4"/>
  <c r="A101" i="4"/>
  <c r="A165" i="4"/>
  <c r="A229" i="4"/>
  <c r="A293" i="4"/>
  <c r="A337" i="4"/>
  <c r="A359" i="4"/>
  <c r="A380" i="4"/>
  <c r="A401" i="4"/>
  <c r="A423" i="4"/>
  <c r="A444" i="4"/>
  <c r="A465" i="4"/>
  <c r="A487" i="4"/>
  <c r="A508" i="4"/>
  <c r="A525" i="4"/>
  <c r="A541" i="4"/>
  <c r="A557" i="4"/>
  <c r="A573" i="4"/>
  <c r="A589" i="4"/>
  <c r="A605" i="4"/>
  <c r="A621" i="4"/>
  <c r="A637" i="4"/>
  <c r="A653" i="4"/>
  <c r="A669" i="4"/>
  <c r="A685" i="4"/>
  <c r="A701" i="4"/>
  <c r="A717" i="4"/>
  <c r="A733" i="4"/>
  <c r="A749" i="4"/>
  <c r="A765" i="4"/>
  <c r="A781" i="4"/>
  <c r="A797" i="4"/>
  <c r="A805" i="4"/>
  <c r="A811" i="4"/>
  <c r="A816" i="4"/>
  <c r="A821" i="4"/>
  <c r="A827" i="4"/>
  <c r="A832" i="4"/>
  <c r="A837" i="4"/>
  <c r="A843" i="4"/>
  <c r="A848" i="4"/>
  <c r="A853" i="4"/>
  <c r="A859" i="4"/>
  <c r="A864" i="4"/>
  <c r="A869" i="4"/>
  <c r="A875" i="4"/>
  <c r="A880" i="4"/>
  <c r="A885" i="4"/>
  <c r="A891" i="4"/>
  <c r="A896" i="4"/>
  <c r="A901" i="4"/>
  <c r="A907" i="4"/>
  <c r="A912" i="4"/>
  <c r="A917" i="4"/>
  <c r="A923" i="4"/>
  <c r="A928" i="4"/>
  <c r="A933" i="4"/>
  <c r="A939" i="4"/>
  <c r="A944" i="4"/>
  <c r="A949" i="4"/>
  <c r="A955" i="4"/>
  <c r="A960" i="4"/>
  <c r="A965" i="4"/>
  <c r="A971" i="4"/>
  <c r="A976" i="4"/>
  <c r="A53" i="4"/>
  <c r="A117" i="4"/>
  <c r="A181" i="4"/>
  <c r="A245" i="4"/>
  <c r="A309" i="4"/>
  <c r="A343" i="4"/>
  <c r="A364" i="4"/>
  <c r="A385" i="4"/>
  <c r="A407" i="4"/>
  <c r="A428" i="4"/>
  <c r="A449" i="4"/>
  <c r="A471" i="4"/>
  <c r="A492" i="4"/>
  <c r="A513" i="4"/>
  <c r="A529" i="4"/>
  <c r="A545" i="4"/>
  <c r="A561" i="4"/>
  <c r="A577" i="4"/>
  <c r="A593" i="4"/>
  <c r="A609" i="4"/>
  <c r="A625" i="4"/>
  <c r="A641" i="4"/>
  <c r="A657" i="4"/>
  <c r="A673" i="4"/>
  <c r="A689" i="4"/>
  <c r="A705" i="4"/>
  <c r="A721" i="4"/>
  <c r="A737" i="4"/>
  <c r="A753" i="4"/>
  <c r="A769" i="4"/>
  <c r="A785" i="4"/>
  <c r="A801" i="4"/>
  <c r="A807" i="4"/>
  <c r="A812" i="4"/>
  <c r="A817" i="4"/>
  <c r="A823" i="4"/>
  <c r="A828" i="4"/>
  <c r="A833" i="4"/>
  <c r="A839" i="4"/>
  <c r="A844" i="4"/>
  <c r="A849" i="4"/>
  <c r="A855" i="4"/>
  <c r="A860" i="4"/>
  <c r="A865" i="4"/>
  <c r="A871" i="4"/>
  <c r="A876" i="4"/>
  <c r="A881" i="4"/>
  <c r="A887" i="4"/>
  <c r="A892" i="4"/>
  <c r="A897" i="4"/>
  <c r="A903" i="4"/>
  <c r="A908" i="4"/>
  <c r="A913" i="4"/>
  <c r="A919" i="4"/>
  <c r="A924" i="4"/>
  <c r="A929" i="4"/>
  <c r="A935" i="4"/>
  <c r="A940" i="4"/>
  <c r="A945" i="4"/>
  <c r="A951" i="4"/>
  <c r="A956" i="4"/>
  <c r="A961" i="4"/>
  <c r="A967" i="4"/>
  <c r="A972" i="4"/>
  <c r="A977" i="4"/>
  <c r="A983" i="4"/>
  <c r="A988" i="4"/>
  <c r="A993" i="4"/>
  <c r="A999" i="4"/>
  <c r="A1004" i="4"/>
  <c r="A1009" i="4"/>
  <c r="A1015" i="4"/>
  <c r="A1020" i="4"/>
  <c r="A1025" i="4"/>
  <c r="A1031" i="4"/>
  <c r="A1036" i="4"/>
  <c r="A1041" i="4"/>
  <c r="A1047" i="4"/>
  <c r="A1052" i="4"/>
  <c r="A1057" i="4"/>
  <c r="A1063" i="4"/>
  <c r="A1068" i="4"/>
  <c r="A1073" i="4"/>
  <c r="A1079" i="4"/>
  <c r="A1084" i="4"/>
  <c r="A1089" i="4"/>
  <c r="A1095" i="4"/>
  <c r="A1100" i="4"/>
  <c r="A1105" i="4"/>
  <c r="A1111" i="4"/>
  <c r="A1116" i="4"/>
  <c r="A1121" i="4"/>
  <c r="A1125" i="4"/>
  <c r="A1129" i="4"/>
  <c r="A1133" i="4"/>
  <c r="A1137" i="4"/>
  <c r="A1141" i="4"/>
  <c r="A1449" i="4"/>
  <c r="A1149" i="4"/>
  <c r="A1153" i="4"/>
  <c r="A1157" i="4"/>
  <c r="A1161" i="4"/>
  <c r="A1165" i="4"/>
  <c r="A1169" i="4"/>
  <c r="A1173" i="4"/>
  <c r="A1177" i="4"/>
  <c r="A1181" i="4"/>
  <c r="A1185" i="4"/>
  <c r="A1189" i="4"/>
  <c r="A1193" i="4"/>
  <c r="A1197" i="4"/>
  <c r="A1201" i="4"/>
  <c r="A1205" i="4"/>
  <c r="A1209" i="4"/>
  <c r="A1213" i="4"/>
  <c r="A1217" i="4"/>
  <c r="A1221" i="4"/>
  <c r="A1225" i="4"/>
  <c r="A1229" i="4"/>
  <c r="A1233" i="4"/>
  <c r="A1237" i="4"/>
  <c r="A1241" i="4"/>
  <c r="A1245" i="4"/>
  <c r="A1249" i="4"/>
  <c r="A1253" i="4"/>
  <c r="A1257" i="4"/>
  <c r="A1261" i="4"/>
  <c r="A69" i="4"/>
  <c r="A325" i="4"/>
  <c r="A412" i="4"/>
  <c r="A497" i="4"/>
  <c r="A565" i="4"/>
  <c r="A629" i="4"/>
  <c r="A693" i="4"/>
  <c r="A757" i="4"/>
  <c r="A808" i="4"/>
  <c r="A829" i="4"/>
  <c r="A851" i="4"/>
  <c r="A872" i="4"/>
  <c r="A893" i="4"/>
  <c r="A915" i="4"/>
  <c r="A936" i="4"/>
  <c r="A957" i="4"/>
  <c r="A979" i="4"/>
  <c r="A989" i="4"/>
  <c r="A1000" i="4"/>
  <c r="A1011" i="4"/>
  <c r="A1017" i="4"/>
  <c r="A1024" i="4"/>
  <c r="A1032" i="4"/>
  <c r="A1039" i="4"/>
  <c r="A1045" i="4"/>
  <c r="A1053" i="4"/>
  <c r="A1060" i="4"/>
  <c r="A1243" i="4"/>
  <c r="A1075" i="4"/>
  <c r="A1081" i="4"/>
  <c r="A1088" i="4"/>
  <c r="A1096" i="4"/>
  <c r="A1103" i="4"/>
  <c r="A1109" i="4"/>
  <c r="A1117" i="4"/>
  <c r="A1123" i="4"/>
  <c r="A1128" i="4"/>
  <c r="A1134" i="4"/>
  <c r="A1139" i="4"/>
  <c r="A1144" i="4"/>
  <c r="A1150" i="4"/>
  <c r="A1155" i="4"/>
  <c r="A1160" i="4"/>
  <c r="A1166" i="4"/>
  <c r="A1171" i="4"/>
  <c r="A1176" i="4"/>
  <c r="A1182" i="4"/>
  <c r="A1187" i="4"/>
  <c r="A1192" i="4"/>
  <c r="A1198" i="4"/>
  <c r="A1203" i="4"/>
  <c r="A1208" i="4"/>
  <c r="A1214" i="4"/>
  <c r="A1219" i="4"/>
  <c r="A1224" i="4"/>
  <c r="A1230" i="4"/>
  <c r="A1235" i="4"/>
  <c r="A1240" i="4"/>
  <c r="A1246" i="4"/>
  <c r="A1251" i="4"/>
  <c r="A1256" i="4"/>
  <c r="A1262" i="4"/>
  <c r="A1266" i="4"/>
  <c r="A1270" i="4"/>
  <c r="A1274" i="4"/>
  <c r="A1454" i="4"/>
  <c r="A1282" i="4"/>
  <c r="A1286" i="4"/>
  <c r="A1290" i="4"/>
  <c r="A1294" i="4"/>
  <c r="A1298" i="4"/>
  <c r="A1302" i="4"/>
  <c r="A1306" i="4"/>
  <c r="A1310" i="4"/>
  <c r="A1314" i="4"/>
  <c r="A1318" i="4"/>
  <c r="A1322" i="4"/>
  <c r="A1326" i="4"/>
  <c r="A1330" i="4"/>
  <c r="A1334" i="4"/>
  <c r="A1338" i="4"/>
  <c r="A1457" i="4"/>
  <c r="A1346" i="4"/>
  <c r="A1350" i="4"/>
  <c r="A1458" i="4"/>
  <c r="A1358" i="4"/>
  <c r="A1362" i="4"/>
  <c r="A1366" i="4"/>
  <c r="A1370" i="4"/>
  <c r="A1374" i="4"/>
  <c r="A1378" i="4"/>
  <c r="A1382" i="4"/>
  <c r="A1386" i="4"/>
  <c r="A1390" i="4"/>
  <c r="A1394" i="4"/>
  <c r="A1398" i="4"/>
  <c r="A1402" i="4"/>
  <c r="A1445" i="4"/>
  <c r="A1410" i="4"/>
  <c r="A1414" i="4"/>
  <c r="A505" i="4"/>
  <c r="A1422" i="4"/>
  <c r="A1426" i="4"/>
  <c r="A1430" i="4"/>
  <c r="A1112" i="4"/>
  <c r="A1438" i="4"/>
  <c r="A1442" i="4"/>
  <c r="A1446" i="4"/>
  <c r="A1154" i="4"/>
  <c r="A1406" i="4"/>
  <c r="A1420" i="4"/>
  <c r="A1462" i="4"/>
  <c r="A1466" i="4"/>
  <c r="A1470" i="4"/>
  <c r="A1474" i="4"/>
  <c r="G6" i="4"/>
  <c r="G10" i="4"/>
  <c r="G14" i="4"/>
  <c r="G18" i="4"/>
  <c r="G22" i="4"/>
  <c r="G26" i="4"/>
  <c r="G30" i="4"/>
  <c r="G34" i="4"/>
  <c r="G38" i="4"/>
  <c r="G42" i="4"/>
  <c r="G46" i="4"/>
  <c r="G50" i="4"/>
  <c r="G54" i="4"/>
  <c r="G58" i="4"/>
  <c r="G62" i="4"/>
  <c r="G66" i="4"/>
  <c r="G70" i="4"/>
  <c r="G74" i="4"/>
  <c r="G78" i="4"/>
  <c r="G82" i="4"/>
  <c r="G86" i="4"/>
  <c r="G90" i="4"/>
  <c r="G94" i="4"/>
  <c r="G98" i="4"/>
  <c r="G102" i="4"/>
  <c r="G106" i="4"/>
  <c r="G110" i="4"/>
  <c r="G114" i="4"/>
  <c r="G118" i="4"/>
  <c r="G122" i="4"/>
  <c r="G126" i="4"/>
  <c r="G130" i="4"/>
  <c r="G134" i="4"/>
  <c r="G138" i="4"/>
  <c r="G142" i="4"/>
  <c r="G146" i="4"/>
  <c r="G150" i="4"/>
  <c r="G154" i="4"/>
  <c r="G158" i="4"/>
  <c r="G162" i="4"/>
  <c r="G166" i="4"/>
  <c r="G170" i="4"/>
  <c r="G174" i="4"/>
  <c r="G178" i="4"/>
  <c r="G182" i="4"/>
  <c r="G186" i="4"/>
  <c r="G190" i="4"/>
  <c r="G194" i="4"/>
  <c r="G198" i="4"/>
  <c r="G202" i="4"/>
  <c r="G206" i="4"/>
  <c r="G210" i="4"/>
  <c r="G214" i="4"/>
  <c r="G218" i="4"/>
  <c r="G222" i="4"/>
  <c r="G226" i="4"/>
  <c r="G230" i="4"/>
  <c r="G234" i="4"/>
  <c r="G238" i="4"/>
  <c r="G242" i="4"/>
  <c r="G246" i="4"/>
  <c r="G250" i="4"/>
  <c r="G254" i="4"/>
  <c r="G258" i="4"/>
  <c r="G262" i="4"/>
  <c r="G266" i="4"/>
  <c r="G270" i="4"/>
  <c r="G274" i="4"/>
  <c r="G278" i="4"/>
  <c r="G282" i="4"/>
  <c r="G286" i="4"/>
  <c r="G290" i="4"/>
  <c r="G294" i="4"/>
  <c r="G298" i="4"/>
  <c r="G302" i="4"/>
  <c r="G306" i="4"/>
  <c r="G310" i="4"/>
  <c r="G314" i="4"/>
  <c r="G318" i="4"/>
  <c r="G322" i="4"/>
  <c r="G326" i="4"/>
  <c r="G330" i="4"/>
  <c r="G334" i="4"/>
  <c r="G338" i="4"/>
  <c r="G342" i="4"/>
  <c r="G346" i="4"/>
  <c r="G350" i="4"/>
  <c r="G354" i="4"/>
  <c r="G358" i="4"/>
  <c r="G362" i="4"/>
  <c r="G366" i="4"/>
  <c r="G370" i="4"/>
  <c r="G374" i="4"/>
  <c r="G378" i="4"/>
  <c r="G382" i="4"/>
  <c r="G386" i="4"/>
  <c r="G390" i="4"/>
  <c r="G394" i="4"/>
  <c r="G398" i="4"/>
  <c r="G402" i="4"/>
  <c r="G406" i="4"/>
  <c r="G410" i="4"/>
  <c r="G414" i="4"/>
  <c r="G418" i="4"/>
  <c r="G422" i="4"/>
  <c r="G426"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A133" i="4"/>
  <c r="A348" i="4"/>
  <c r="A433" i="4"/>
  <c r="A517" i="4"/>
  <c r="A581" i="4"/>
  <c r="A645" i="4"/>
  <c r="A709" i="4"/>
  <c r="A773" i="4"/>
  <c r="A813" i="4"/>
  <c r="A835" i="4"/>
  <c r="A856" i="4"/>
  <c r="A877" i="4"/>
  <c r="A899" i="4"/>
  <c r="A920" i="4"/>
  <c r="A941" i="4"/>
  <c r="A963" i="4"/>
  <c r="A981" i="4"/>
  <c r="A992" i="4"/>
  <c r="A1003" i="4"/>
  <c r="A1012" i="4"/>
  <c r="A1019" i="4"/>
  <c r="A1027" i="4"/>
  <c r="A1033" i="4"/>
  <c r="A1040" i="4"/>
  <c r="A1048" i="4"/>
  <c r="A1055" i="4"/>
  <c r="A1061" i="4"/>
  <c r="A1069" i="4"/>
  <c r="A1076" i="4"/>
  <c r="A1083" i="4"/>
  <c r="A1091" i="4"/>
  <c r="A1097" i="4"/>
  <c r="A1104" i="4"/>
  <c r="A1448" i="4"/>
  <c r="A1119" i="4"/>
  <c r="A1124" i="4"/>
  <c r="A1130" i="4"/>
  <c r="A1135" i="4"/>
  <c r="A1140" i="4"/>
  <c r="A1146" i="4"/>
  <c r="A1151" i="4"/>
  <c r="A1156" i="4"/>
  <c r="A1162" i="4"/>
  <c r="A1167" i="4"/>
  <c r="A1172" i="4"/>
  <c r="A1178" i="4"/>
  <c r="A1183" i="4"/>
  <c r="A1188" i="4"/>
  <c r="A1194" i="4"/>
  <c r="A1199" i="4"/>
  <c r="A1204" i="4"/>
  <c r="A1210" i="4"/>
  <c r="A1215" i="4"/>
  <c r="A1220" i="4"/>
  <c r="A1226" i="4"/>
  <c r="A1231" i="4"/>
  <c r="A1236" i="4"/>
  <c r="A1242" i="4"/>
  <c r="A1247" i="4"/>
  <c r="A1252" i="4"/>
  <c r="A1258" i="4"/>
  <c r="A1263" i="4"/>
  <c r="A1267" i="4"/>
  <c r="A1271" i="4"/>
  <c r="A1275" i="4"/>
  <c r="A1279" i="4"/>
  <c r="A1283" i="4"/>
  <c r="A1287" i="4"/>
  <c r="A1291" i="4"/>
  <c r="A1295" i="4"/>
  <c r="A1299" i="4"/>
  <c r="A1303" i="4"/>
  <c r="A1307" i="4"/>
  <c r="A1311" i="4"/>
  <c r="A1315" i="4"/>
  <c r="A1319" i="4"/>
  <c r="A1323" i="4"/>
  <c r="A1327" i="4"/>
  <c r="A1331" i="4"/>
  <c r="A1335" i="4"/>
  <c r="A1339" i="4"/>
  <c r="A1343" i="4"/>
  <c r="A1347" i="4"/>
  <c r="A1351" i="4"/>
  <c r="A1355" i="4"/>
  <c r="A1359" i="4"/>
  <c r="A1363" i="4"/>
  <c r="A1367" i="4"/>
  <c r="A1421" i="4"/>
  <c r="A1375" i="4"/>
  <c r="A1379" i="4"/>
  <c r="A1383" i="4"/>
  <c r="A1469" i="4"/>
  <c r="A1391" i="4"/>
  <c r="A1395" i="4"/>
  <c r="A1399" i="4"/>
  <c r="A1403" i="4"/>
  <c r="A1407" i="4"/>
  <c r="A1411" i="4"/>
  <c r="A1415" i="4"/>
  <c r="A1419" i="4"/>
  <c r="A1423" i="4"/>
  <c r="A1427" i="4"/>
  <c r="A1431" i="4"/>
  <c r="A1435" i="4"/>
  <c r="A1439" i="4"/>
  <c r="A1443" i="4"/>
  <c r="A1377" i="4"/>
  <c r="A1451" i="4"/>
  <c r="A1455" i="4"/>
  <c r="A1459" i="4"/>
  <c r="A1463" i="4"/>
  <c r="A1212" i="4"/>
  <c r="A1471" i="4"/>
  <c r="A1475" i="4"/>
  <c r="G7" i="4"/>
  <c r="G11" i="4"/>
  <c r="G15" i="4"/>
  <c r="G19" i="4"/>
  <c r="G23" i="4"/>
  <c r="G27" i="4"/>
  <c r="G31" i="4"/>
  <c r="G35" i="4"/>
  <c r="G39" i="4"/>
  <c r="G43" i="4"/>
  <c r="G47" i="4"/>
  <c r="G51" i="4"/>
  <c r="G55" i="4"/>
  <c r="G59" i="4"/>
  <c r="G63" i="4"/>
  <c r="G67" i="4"/>
  <c r="G71" i="4"/>
  <c r="G75" i="4"/>
  <c r="G79" i="4"/>
  <c r="G83" i="4"/>
  <c r="G87" i="4"/>
  <c r="G91" i="4"/>
  <c r="G95" i="4"/>
  <c r="G99" i="4"/>
  <c r="G103" i="4"/>
  <c r="G107" i="4"/>
  <c r="G111" i="4"/>
  <c r="G115" i="4"/>
  <c r="G119" i="4"/>
  <c r="G123" i="4"/>
  <c r="A197" i="4"/>
  <c r="A369" i="4"/>
  <c r="A455" i="4"/>
  <c r="A533" i="4"/>
  <c r="A597" i="4"/>
  <c r="A661" i="4"/>
  <c r="A725" i="4"/>
  <c r="A789" i="4"/>
  <c r="A819" i="4"/>
  <c r="A840" i="4"/>
  <c r="A861" i="4"/>
  <c r="A883" i="4"/>
  <c r="A904" i="4"/>
  <c r="A925" i="4"/>
  <c r="A947" i="4"/>
  <c r="A968" i="4"/>
  <c r="A984" i="4"/>
  <c r="A995" i="4"/>
  <c r="A1005" i="4"/>
  <c r="A1013" i="4"/>
  <c r="A1021" i="4"/>
  <c r="A1028" i="4"/>
  <c r="A1035" i="4"/>
  <c r="A1043" i="4"/>
  <c r="A1049" i="4"/>
  <c r="A1056" i="4"/>
  <c r="A1064" i="4"/>
  <c r="A1071" i="4"/>
  <c r="A1077" i="4"/>
  <c r="A1085" i="4"/>
  <c r="A1092" i="4"/>
  <c r="A1099" i="4"/>
  <c r="A1107" i="4"/>
  <c r="A1113" i="4"/>
  <c r="A1120" i="4"/>
  <c r="A1126" i="4"/>
  <c r="A1131" i="4"/>
  <c r="A1136" i="4"/>
  <c r="A1142" i="4"/>
  <c r="A1147" i="4"/>
  <c r="A1152" i="4"/>
  <c r="A1452" i="4"/>
  <c r="A1163" i="4"/>
  <c r="A1168" i="4"/>
  <c r="A1174" i="4"/>
  <c r="A1179" i="4"/>
  <c r="A1184" i="4"/>
  <c r="A1190" i="4"/>
  <c r="A1195" i="4"/>
  <c r="A1200" i="4"/>
  <c r="A1206" i="4"/>
  <c r="A1211" i="4"/>
  <c r="A1216" i="4"/>
  <c r="A1222" i="4"/>
  <c r="A1227" i="4"/>
  <c r="A1232" i="4"/>
  <c r="A1238" i="4"/>
  <c r="A931" i="4"/>
  <c r="A1248" i="4"/>
  <c r="A1254" i="4"/>
  <c r="A1259" i="4"/>
  <c r="A1264" i="4"/>
  <c r="A1268" i="4"/>
  <c r="A1272" i="4"/>
  <c r="A1276" i="4"/>
  <c r="A1280" i="4"/>
  <c r="A1456" i="4"/>
  <c r="A1288" i="4"/>
  <c r="A1292" i="4"/>
  <c r="A1296" i="4"/>
  <c r="A1300" i="4"/>
  <c r="A1304" i="4"/>
  <c r="A1308" i="4"/>
  <c r="A1312" i="4"/>
  <c r="A1316" i="4"/>
  <c r="A1320" i="4"/>
  <c r="A1324" i="4"/>
  <c r="A1328" i="4"/>
  <c r="A1332" i="4"/>
  <c r="A1336" i="4"/>
  <c r="A1340" i="4"/>
  <c r="A1344" i="4"/>
  <c r="A1348" i="4"/>
  <c r="A1352" i="4"/>
  <c r="A1356" i="4"/>
  <c r="A1360" i="4"/>
  <c r="A1364" i="4"/>
  <c r="A1368" i="4"/>
  <c r="A1372" i="4"/>
  <c r="A1376" i="4"/>
  <c r="A1380" i="4"/>
  <c r="A1467" i="4"/>
  <c r="A1388" i="4"/>
  <c r="A1392" i="4"/>
  <c r="A1396" i="4"/>
  <c r="A1400" i="4"/>
  <c r="A1404" i="4"/>
  <c r="A1408" i="4"/>
  <c r="A1412" i="4"/>
  <c r="A1342" i="4"/>
  <c r="A1387" i="4"/>
  <c r="A1424" i="4"/>
  <c r="A1428" i="4"/>
  <c r="A1432" i="4"/>
  <c r="A1436" i="4"/>
  <c r="A1440" i="4"/>
  <c r="A1444" i="4"/>
  <c r="A1354" i="4"/>
  <c r="A1371" i="4"/>
  <c r="A1417" i="4"/>
  <c r="A1460" i="4"/>
  <c r="A1464" i="4"/>
  <c r="A1468" i="4"/>
  <c r="A1472" i="4"/>
  <c r="A1476" i="4"/>
  <c r="G8" i="4"/>
  <c r="G12" i="4"/>
  <c r="G16" i="4"/>
  <c r="G20" i="4"/>
  <c r="G24" i="4"/>
  <c r="G28" i="4"/>
  <c r="G32" i="4"/>
  <c r="G36" i="4"/>
  <c r="G40" i="4"/>
  <c r="G44" i="4"/>
  <c r="G48" i="4"/>
  <c r="G52" i="4"/>
  <c r="G56" i="4"/>
  <c r="G60" i="4"/>
  <c r="G64" i="4"/>
  <c r="G68" i="4"/>
  <c r="G72" i="4"/>
  <c r="G76" i="4"/>
  <c r="G80" i="4"/>
  <c r="G84" i="4"/>
  <c r="G88" i="4"/>
  <c r="G92" i="4"/>
  <c r="G96" i="4"/>
  <c r="G100" i="4"/>
  <c r="G104" i="4"/>
  <c r="G108" i="4"/>
  <c r="G112" i="4"/>
  <c r="G116" i="4"/>
  <c r="A261" i="4"/>
  <c r="A613" i="4"/>
  <c r="A824" i="4"/>
  <c r="A909" i="4"/>
  <c r="A987" i="4"/>
  <c r="A1023" i="4"/>
  <c r="A1051" i="4"/>
  <c r="A1080" i="4"/>
  <c r="A1108" i="4"/>
  <c r="A1132" i="4"/>
  <c r="A1450" i="4"/>
  <c r="A1453" i="4"/>
  <c r="A1196" i="4"/>
  <c r="A1218" i="4"/>
  <c r="A1239" i="4"/>
  <c r="A1260" i="4"/>
  <c r="A1277" i="4"/>
  <c r="A1293" i="4"/>
  <c r="A1309" i="4"/>
  <c r="A1325" i="4"/>
  <c r="A1341" i="4"/>
  <c r="A1357" i="4"/>
  <c r="A1373" i="4"/>
  <c r="A1389" i="4"/>
  <c r="A1405" i="4"/>
  <c r="A1145" i="4"/>
  <c r="A1437" i="4"/>
  <c r="A1418" i="4"/>
  <c r="A1175" i="4"/>
  <c r="G13" i="4"/>
  <c r="G29" i="4"/>
  <c r="G45" i="4"/>
  <c r="G61" i="4"/>
  <c r="G77" i="4"/>
  <c r="G93" i="4"/>
  <c r="G109" i="4"/>
  <c r="G121" i="4"/>
  <c r="G128" i="4"/>
  <c r="G133" i="4"/>
  <c r="G139" i="4"/>
  <c r="G144" i="4"/>
  <c r="G149" i="4"/>
  <c r="G155" i="4"/>
  <c r="G160" i="4"/>
  <c r="G165" i="4"/>
  <c r="G171" i="4"/>
  <c r="G176" i="4"/>
  <c r="G181" i="4"/>
  <c r="G187" i="4"/>
  <c r="G192" i="4"/>
  <c r="G197" i="4"/>
  <c r="G203" i="4"/>
  <c r="G208" i="4"/>
  <c r="G213" i="4"/>
  <c r="G219" i="4"/>
  <c r="G224" i="4"/>
  <c r="G229" i="4"/>
  <c r="G235" i="4"/>
  <c r="G240" i="4"/>
  <c r="G245" i="4"/>
  <c r="G251" i="4"/>
  <c r="G256" i="4"/>
  <c r="G261" i="4"/>
  <c r="G267" i="4"/>
  <c r="G272" i="4"/>
  <c r="G277" i="4"/>
  <c r="G283" i="4"/>
  <c r="G288" i="4"/>
  <c r="G293" i="4"/>
  <c r="G299" i="4"/>
  <c r="G304" i="4"/>
  <c r="G309" i="4"/>
  <c r="G315" i="4"/>
  <c r="G320" i="4"/>
  <c r="G325" i="4"/>
  <c r="G331" i="4"/>
  <c r="G336" i="4"/>
  <c r="G341" i="4"/>
  <c r="G347" i="4"/>
  <c r="G352" i="4"/>
  <c r="G357" i="4"/>
  <c r="G363" i="4"/>
  <c r="G368" i="4"/>
  <c r="G373" i="4"/>
  <c r="G379" i="4"/>
  <c r="G384" i="4"/>
  <c r="G389" i="4"/>
  <c r="G395" i="4"/>
  <c r="G400" i="4"/>
  <c r="G405" i="4"/>
  <c r="G411" i="4"/>
  <c r="G416" i="4"/>
  <c r="G421" i="4"/>
  <c r="G427" i="4"/>
  <c r="G432" i="4"/>
  <c r="G437" i="4"/>
  <c r="G443" i="4"/>
  <c r="G448" i="4"/>
  <c r="G453" i="4"/>
  <c r="G459" i="4"/>
  <c r="G464" i="4"/>
  <c r="G469" i="4"/>
  <c r="G475" i="4"/>
  <c r="G480" i="4"/>
  <c r="G485" i="4"/>
  <c r="G491" i="4"/>
  <c r="G496" i="4"/>
  <c r="G501" i="4"/>
  <c r="G507" i="4"/>
  <c r="G512" i="4"/>
  <c r="G517" i="4"/>
  <c r="G523" i="4"/>
  <c r="G528" i="4"/>
  <c r="G533" i="4"/>
  <c r="G539" i="4"/>
  <c r="G544" i="4"/>
  <c r="G549" i="4"/>
  <c r="G555" i="4"/>
  <c r="G560" i="4"/>
  <c r="G565" i="4"/>
  <c r="G569" i="4"/>
  <c r="G573" i="4"/>
  <c r="G577" i="4"/>
  <c r="G581" i="4"/>
  <c r="G585" i="4"/>
  <c r="G589" i="4"/>
  <c r="G593" i="4"/>
  <c r="G597" i="4"/>
  <c r="G601" i="4"/>
  <c r="G605" i="4"/>
  <c r="G609" i="4"/>
  <c r="G613" i="4"/>
  <c r="G617" i="4"/>
  <c r="G621" i="4"/>
  <c r="G625" i="4"/>
  <c r="G629" i="4"/>
  <c r="G633" i="4"/>
  <c r="G637" i="4"/>
  <c r="G641" i="4"/>
  <c r="G645" i="4"/>
  <c r="G649" i="4"/>
  <c r="G653" i="4"/>
  <c r="G657" i="4"/>
  <c r="G661" i="4"/>
  <c r="G665" i="4"/>
  <c r="G669" i="4"/>
  <c r="G673" i="4"/>
  <c r="G677" i="4"/>
  <c r="G681"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3" i="4"/>
  <c r="G817" i="4"/>
  <c r="G821" i="4"/>
  <c r="G825" i="4"/>
  <c r="G829" i="4"/>
  <c r="G833" i="4"/>
  <c r="G837" i="4"/>
  <c r="G841" i="4"/>
  <c r="G845" i="4"/>
  <c r="G849" i="4"/>
  <c r="G853" i="4"/>
  <c r="G857" i="4"/>
  <c r="G861" i="4"/>
  <c r="G865" i="4"/>
  <c r="G869" i="4"/>
  <c r="G873" i="4"/>
  <c r="G877" i="4"/>
  <c r="G881" i="4"/>
  <c r="G885" i="4"/>
  <c r="G889" i="4"/>
  <c r="G893" i="4"/>
  <c r="G897" i="4"/>
  <c r="G901" i="4"/>
  <c r="G905" i="4"/>
  <c r="G909" i="4"/>
  <c r="G913" i="4"/>
  <c r="G917" i="4"/>
  <c r="G921" i="4"/>
  <c r="G925" i="4"/>
  <c r="G929" i="4"/>
  <c r="G933" i="4"/>
  <c r="G937" i="4"/>
  <c r="G941" i="4"/>
  <c r="G945" i="4"/>
  <c r="G949" i="4"/>
  <c r="G953" i="4"/>
  <c r="G957" i="4"/>
  <c r="G961" i="4"/>
  <c r="G965" i="4"/>
  <c r="G969" i="4"/>
  <c r="G973" i="4"/>
  <c r="G977" i="4"/>
  <c r="G981" i="4"/>
  <c r="G985" i="4"/>
  <c r="G989" i="4"/>
  <c r="G993" i="4"/>
  <c r="G997" i="4"/>
  <c r="G1001" i="4"/>
  <c r="G1005" i="4"/>
  <c r="G1009" i="4"/>
  <c r="G1013" i="4"/>
  <c r="G1017" i="4"/>
  <c r="G1021" i="4"/>
  <c r="G1025" i="4"/>
  <c r="G1029" i="4"/>
  <c r="G1033" i="4"/>
  <c r="G1037" i="4"/>
  <c r="G1041" i="4"/>
  <c r="G1045" i="4"/>
  <c r="G1049" i="4"/>
  <c r="G1053" i="4"/>
  <c r="G1057" i="4"/>
  <c r="G1061" i="4"/>
  <c r="G1065" i="4"/>
  <c r="G1069" i="4"/>
  <c r="G1073" i="4"/>
  <c r="G1077" i="4"/>
  <c r="G1081" i="4"/>
  <c r="G1085" i="4"/>
  <c r="G1089" i="4"/>
  <c r="G1093" i="4"/>
  <c r="G1097" i="4"/>
  <c r="G1101" i="4"/>
  <c r="G1105" i="4"/>
  <c r="G1109" i="4"/>
  <c r="G1113" i="4"/>
  <c r="G1117" i="4"/>
  <c r="G1121" i="4"/>
  <c r="G1125" i="4"/>
  <c r="G1129" i="4"/>
  <c r="G1133" i="4"/>
  <c r="G1137" i="4"/>
  <c r="G1141" i="4"/>
  <c r="G1449" i="4"/>
  <c r="G1149" i="4"/>
  <c r="G1153" i="4"/>
  <c r="G1157" i="4"/>
  <c r="G1161" i="4"/>
  <c r="G1165" i="4"/>
  <c r="G1169" i="4"/>
  <c r="G1173" i="4"/>
  <c r="G1177" i="4"/>
  <c r="G1181" i="4"/>
  <c r="G1185" i="4"/>
  <c r="G1189" i="4"/>
  <c r="G1193" i="4"/>
  <c r="G1197" i="4"/>
  <c r="G1201" i="4"/>
  <c r="G1205" i="4"/>
  <c r="G1209" i="4"/>
  <c r="G1213" i="4"/>
  <c r="G1217" i="4"/>
  <c r="G1221" i="4"/>
  <c r="G1225" i="4"/>
  <c r="G1229" i="4"/>
  <c r="G1233" i="4"/>
  <c r="G1237" i="4"/>
  <c r="G1241" i="4"/>
  <c r="G1245" i="4"/>
  <c r="G1249" i="4"/>
  <c r="G1253" i="4"/>
  <c r="G1257" i="4"/>
  <c r="G1261" i="4"/>
  <c r="G1265" i="4"/>
  <c r="G1269" i="4"/>
  <c r="G1273" i="4"/>
  <c r="G1277" i="4"/>
  <c r="G1281" i="4"/>
  <c r="G1285" i="4"/>
  <c r="G1289" i="4"/>
  <c r="G1293" i="4"/>
  <c r="G1297" i="4"/>
  <c r="G1301" i="4"/>
  <c r="G1305" i="4"/>
  <c r="G1309" i="4"/>
  <c r="G1313" i="4"/>
  <c r="G1317" i="4"/>
  <c r="G1321" i="4"/>
  <c r="G1325" i="4"/>
  <c r="G1329" i="4"/>
  <c r="G1333" i="4"/>
  <c r="G1337" i="4"/>
  <c r="G1341" i="4"/>
  <c r="G1345" i="4"/>
  <c r="G1349" i="4"/>
  <c r="G1353" i="4"/>
  <c r="G1357" i="4"/>
  <c r="G1361" i="4"/>
  <c r="G1365" i="4"/>
  <c r="G1369" i="4"/>
  <c r="G1373" i="4"/>
  <c r="G1434" i="4"/>
  <c r="G1381" i="4"/>
  <c r="G1385" i="4"/>
  <c r="G1389" i="4"/>
  <c r="G1393" i="4"/>
  <c r="G1397" i="4"/>
  <c r="G1401" i="4"/>
  <c r="G1405" i="4"/>
  <c r="G1409" i="4"/>
  <c r="G1413" i="4"/>
  <c r="G1278" i="4"/>
  <c r="G1145" i="4"/>
  <c r="G1425" i="4"/>
  <c r="G1429" i="4"/>
  <c r="G1433" i="4"/>
  <c r="G1437" i="4"/>
  <c r="G1441" i="4"/>
  <c r="G1284" i="4"/>
  <c r="G1384" i="4"/>
  <c r="G1418" i="4"/>
  <c r="G1158" i="4"/>
  <c r="G1461" i="4"/>
  <c r="G1465" i="4"/>
  <c r="G1175" i="4"/>
  <c r="G1473" i="4"/>
  <c r="G1477" i="4"/>
  <c r="A391" i="4"/>
  <c r="A677" i="4"/>
  <c r="A845" i="4"/>
  <c r="A1447" i="4"/>
  <c r="A997" i="4"/>
  <c r="A1029" i="4"/>
  <c r="A1059" i="4"/>
  <c r="A1087" i="4"/>
  <c r="A1115" i="4"/>
  <c r="A1138" i="4"/>
  <c r="A1159" i="4"/>
  <c r="A1180" i="4"/>
  <c r="A1202" i="4"/>
  <c r="A1223" i="4"/>
  <c r="A1244" i="4"/>
  <c r="A1265" i="4"/>
  <c r="A1281" i="4"/>
  <c r="A1297" i="4"/>
  <c r="A1313" i="4"/>
  <c r="A1329" i="4"/>
  <c r="A1345" i="4"/>
  <c r="A1361" i="4"/>
  <c r="A1434" i="4"/>
  <c r="A1393" i="4"/>
  <c r="A1409" i="4"/>
  <c r="A1425" i="4"/>
  <c r="A1441" i="4"/>
  <c r="A1158" i="4"/>
  <c r="A1473" i="4"/>
  <c r="G17" i="4"/>
  <c r="G33" i="4"/>
  <c r="G49" i="4"/>
  <c r="G65" i="4"/>
  <c r="G81" i="4"/>
  <c r="G97" i="4"/>
  <c r="G113" i="4"/>
  <c r="G124" i="4"/>
  <c r="G129" i="4"/>
  <c r="G135" i="4"/>
  <c r="G140" i="4"/>
  <c r="G145" i="4"/>
  <c r="G151" i="4"/>
  <c r="G156" i="4"/>
  <c r="G161" i="4"/>
  <c r="G167" i="4"/>
  <c r="G172" i="4"/>
  <c r="G177" i="4"/>
  <c r="G183" i="4"/>
  <c r="G188" i="4"/>
  <c r="G193" i="4"/>
  <c r="G199" i="4"/>
  <c r="G204" i="4"/>
  <c r="G209" i="4"/>
  <c r="G215" i="4"/>
  <c r="G220" i="4"/>
  <c r="G225" i="4"/>
  <c r="G231" i="4"/>
  <c r="G236" i="4"/>
  <c r="G241" i="4"/>
  <c r="G247" i="4"/>
  <c r="G252" i="4"/>
  <c r="G257" i="4"/>
  <c r="G263" i="4"/>
  <c r="G268" i="4"/>
  <c r="G273" i="4"/>
  <c r="G279" i="4"/>
  <c r="G284" i="4"/>
  <c r="G289" i="4"/>
  <c r="G295" i="4"/>
  <c r="G300" i="4"/>
  <c r="G305" i="4"/>
  <c r="G311" i="4"/>
  <c r="G316" i="4"/>
  <c r="G321" i="4"/>
  <c r="G327" i="4"/>
  <c r="G332" i="4"/>
  <c r="G337" i="4"/>
  <c r="G343" i="4"/>
  <c r="G348" i="4"/>
  <c r="G353" i="4"/>
  <c r="G359" i="4"/>
  <c r="G364" i="4"/>
  <c r="G369" i="4"/>
  <c r="G375" i="4"/>
  <c r="G380" i="4"/>
  <c r="G385" i="4"/>
  <c r="G391" i="4"/>
  <c r="G396" i="4"/>
  <c r="G401" i="4"/>
  <c r="G407" i="4"/>
  <c r="G412" i="4"/>
  <c r="G417" i="4"/>
  <c r="G423" i="4"/>
  <c r="G428" i="4"/>
  <c r="G433" i="4"/>
  <c r="G439" i="4"/>
  <c r="G444" i="4"/>
  <c r="G449" i="4"/>
  <c r="G455" i="4"/>
  <c r="G460" i="4"/>
  <c r="G465" i="4"/>
  <c r="G471" i="4"/>
  <c r="G476" i="4"/>
  <c r="G481" i="4"/>
  <c r="G487" i="4"/>
  <c r="G492" i="4"/>
  <c r="G497" i="4"/>
  <c r="G503" i="4"/>
  <c r="G508" i="4"/>
  <c r="G513" i="4"/>
  <c r="G519" i="4"/>
  <c r="G524" i="4"/>
  <c r="G529" i="4"/>
  <c r="G1026" i="4"/>
  <c r="G540" i="4"/>
  <c r="G545" i="4"/>
  <c r="G551" i="4"/>
  <c r="G556" i="4"/>
  <c r="G561" i="4"/>
  <c r="G566" i="4"/>
  <c r="G570" i="4"/>
  <c r="G574" i="4"/>
  <c r="G578" i="4"/>
  <c r="G582" i="4"/>
  <c r="G586" i="4"/>
  <c r="G590" i="4"/>
  <c r="G594" i="4"/>
  <c r="G598" i="4"/>
  <c r="G602" i="4"/>
  <c r="G606" i="4"/>
  <c r="G610" i="4"/>
  <c r="G614" i="4"/>
  <c r="G618" i="4"/>
  <c r="G622" i="4"/>
  <c r="G626" i="4"/>
  <c r="G630" i="4"/>
  <c r="G634" i="4"/>
  <c r="G638" i="4"/>
  <c r="G642" i="4"/>
  <c r="G646" i="4"/>
  <c r="G650" i="4"/>
  <c r="G654" i="4"/>
  <c r="G658" i="4"/>
  <c r="G662" i="4"/>
  <c r="G666" i="4"/>
  <c r="G670" i="4"/>
  <c r="G674" i="4"/>
  <c r="G678" i="4"/>
  <c r="G682" i="4"/>
  <c r="G686" i="4"/>
  <c r="G690" i="4"/>
  <c r="G694"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810" i="4"/>
  <c r="G814" i="4"/>
  <c r="G818" i="4"/>
  <c r="G822" i="4"/>
  <c r="G826" i="4"/>
  <c r="G830" i="4"/>
  <c r="G834" i="4"/>
  <c r="G838" i="4"/>
  <c r="G842" i="4"/>
  <c r="G846" i="4"/>
  <c r="G850" i="4"/>
  <c r="G854" i="4"/>
  <c r="G858" i="4"/>
  <c r="G862" i="4"/>
  <c r="G866" i="4"/>
  <c r="G870" i="4"/>
  <c r="G874" i="4"/>
  <c r="G878" i="4"/>
  <c r="G882" i="4"/>
  <c r="G886" i="4"/>
  <c r="G890" i="4"/>
  <c r="G894" i="4"/>
  <c r="G898" i="4"/>
  <c r="G902" i="4"/>
  <c r="G906" i="4"/>
  <c r="G910" i="4"/>
  <c r="G914" i="4"/>
  <c r="G918" i="4"/>
  <c r="G922" i="4"/>
  <c r="G926" i="4"/>
  <c r="G930" i="4"/>
  <c r="G934" i="4"/>
  <c r="G938" i="4"/>
  <c r="G942" i="4"/>
  <c r="G946" i="4"/>
  <c r="G950" i="4"/>
  <c r="G954" i="4"/>
  <c r="G958" i="4"/>
  <c r="G962" i="4"/>
  <c r="G966" i="4"/>
  <c r="G970" i="4"/>
  <c r="G974" i="4"/>
  <c r="G978" i="4"/>
  <c r="G982" i="4"/>
  <c r="G986" i="4"/>
  <c r="G990" i="4"/>
  <c r="G994" i="4"/>
  <c r="G998" i="4"/>
  <c r="G1002" i="4"/>
  <c r="G1006" i="4"/>
  <c r="G1010" i="4"/>
  <c r="G1014" i="4"/>
  <c r="G1018" i="4"/>
  <c r="G1022" i="4"/>
  <c r="G1067" i="4"/>
  <c r="G1030" i="4"/>
  <c r="G1034" i="4"/>
  <c r="G1038" i="4"/>
  <c r="G1042" i="4"/>
  <c r="G1046" i="4"/>
  <c r="G1050" i="4"/>
  <c r="G1054" i="4"/>
  <c r="G1058" i="4"/>
  <c r="G1062" i="4"/>
  <c r="G1066" i="4"/>
  <c r="G1070" i="4"/>
  <c r="G1074" i="4"/>
  <c r="G1078" i="4"/>
  <c r="G1082" i="4"/>
  <c r="G1086" i="4"/>
  <c r="G1090" i="4"/>
  <c r="G1094" i="4"/>
  <c r="G1098" i="4"/>
  <c r="G1102" i="4"/>
  <c r="G1106" i="4"/>
  <c r="A476" i="4"/>
  <c r="A741" i="4"/>
  <c r="A867" i="4"/>
  <c r="A952" i="4"/>
  <c r="A1008" i="4"/>
  <c r="A1037" i="4"/>
  <c r="A1065" i="4"/>
  <c r="A1093" i="4"/>
  <c r="A1122" i="4"/>
  <c r="A1143" i="4"/>
  <c r="A1164" i="4"/>
  <c r="A1186" i="4"/>
  <c r="A1207" i="4"/>
  <c r="A1228" i="4"/>
  <c r="A1250" i="4"/>
  <c r="A1269" i="4"/>
  <c r="A1285" i="4"/>
  <c r="A1301" i="4"/>
  <c r="A1317" i="4"/>
  <c r="A1333" i="4"/>
  <c r="A1349" i="4"/>
  <c r="A1365" i="4"/>
  <c r="A1381" i="4"/>
  <c r="A1397" i="4"/>
  <c r="A1413" i="4"/>
  <c r="A1429" i="4"/>
  <c r="A1284" i="4"/>
  <c r="A1461" i="4"/>
  <c r="A1477" i="4"/>
  <c r="G21" i="4"/>
  <c r="G37" i="4"/>
  <c r="G53" i="4"/>
  <c r="G69" i="4"/>
  <c r="G85" i="4"/>
  <c r="G101" i="4"/>
  <c r="G117" i="4"/>
  <c r="G125" i="4"/>
  <c r="G131" i="4"/>
  <c r="G136" i="4"/>
  <c r="G141" i="4"/>
  <c r="G147" i="4"/>
  <c r="G152" i="4"/>
  <c r="G157" i="4"/>
  <c r="G163" i="4"/>
  <c r="G168" i="4"/>
  <c r="G173" i="4"/>
  <c r="G179" i="4"/>
  <c r="G184" i="4"/>
  <c r="G189" i="4"/>
  <c r="G195" i="4"/>
  <c r="G200" i="4"/>
  <c r="G205" i="4"/>
  <c r="G211" i="4"/>
  <c r="G216" i="4"/>
  <c r="G221" i="4"/>
  <c r="G227" i="4"/>
  <c r="G232" i="4"/>
  <c r="G237" i="4"/>
  <c r="G243" i="4"/>
  <c r="G248" i="4"/>
  <c r="G253" i="4"/>
  <c r="G259" i="4"/>
  <c r="G264" i="4"/>
  <c r="G269" i="4"/>
  <c r="G275" i="4"/>
  <c r="G280" i="4"/>
  <c r="G285" i="4"/>
  <c r="G291" i="4"/>
  <c r="G296" i="4"/>
  <c r="G301" i="4"/>
  <c r="G307" i="4"/>
  <c r="G312" i="4"/>
  <c r="G317" i="4"/>
  <c r="G323" i="4"/>
  <c r="G328" i="4"/>
  <c r="G333" i="4"/>
  <c r="G339" i="4"/>
  <c r="G344" i="4"/>
  <c r="G349" i="4"/>
  <c r="G355" i="4"/>
  <c r="G360" i="4"/>
  <c r="G365" i="4"/>
  <c r="G371" i="4"/>
  <c r="G376" i="4"/>
  <c r="G381" i="4"/>
  <c r="G387" i="4"/>
  <c r="G392" i="4"/>
  <c r="G397" i="4"/>
  <c r="G403" i="4"/>
  <c r="G408" i="4"/>
  <c r="G413" i="4"/>
  <c r="G419" i="4"/>
  <c r="G424" i="4"/>
  <c r="G429" i="4"/>
  <c r="G435" i="4"/>
  <c r="G440" i="4"/>
  <c r="G445" i="4"/>
  <c r="G451" i="4"/>
  <c r="G456" i="4"/>
  <c r="G461" i="4"/>
  <c r="G467" i="4"/>
  <c r="G472" i="4"/>
  <c r="G477" i="4"/>
  <c r="G483" i="4"/>
  <c r="G488" i="4"/>
  <c r="G493" i="4"/>
  <c r="G499" i="4"/>
  <c r="G504" i="4"/>
  <c r="G509" i="4"/>
  <c r="G515" i="4"/>
  <c r="G520" i="4"/>
  <c r="G525" i="4"/>
  <c r="G531" i="4"/>
  <c r="G536" i="4"/>
  <c r="G541" i="4"/>
  <c r="G547" i="4"/>
  <c r="G552" i="4"/>
  <c r="G557" i="4"/>
  <c r="G563" i="4"/>
  <c r="G567" i="4"/>
  <c r="G571" i="4"/>
  <c r="G575" i="4"/>
  <c r="G579" i="4"/>
  <c r="G583" i="4"/>
  <c r="G587" i="4"/>
  <c r="G591" i="4"/>
  <c r="G595" i="4"/>
  <c r="G599" i="4"/>
  <c r="G603" i="4"/>
  <c r="G607" i="4"/>
  <c r="G611" i="4"/>
  <c r="G615" i="4"/>
  <c r="G619" i="4"/>
  <c r="G623" i="4"/>
  <c r="G627" i="4"/>
  <c r="G631" i="4"/>
  <c r="G635" i="4"/>
  <c r="G639" i="4"/>
  <c r="G643" i="4"/>
  <c r="G647" i="4"/>
  <c r="G651" i="4"/>
  <c r="G655" i="4"/>
  <c r="G659" i="4"/>
  <c r="G663" i="4"/>
  <c r="G667" i="4"/>
  <c r="G671" i="4"/>
  <c r="G675" i="4"/>
  <c r="G679" i="4"/>
  <c r="G683" i="4"/>
  <c r="G687" i="4"/>
  <c r="G691"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815" i="4"/>
  <c r="G819" i="4"/>
  <c r="G823" i="4"/>
  <c r="G827" i="4"/>
  <c r="G831" i="4"/>
  <c r="G835" i="4"/>
  <c r="G839" i="4"/>
  <c r="G843" i="4"/>
  <c r="G847" i="4"/>
  <c r="G851" i="4"/>
  <c r="G855" i="4"/>
  <c r="G859" i="4"/>
  <c r="G863" i="4"/>
  <c r="G867" i="4"/>
  <c r="G871" i="4"/>
  <c r="G875" i="4"/>
  <c r="G879" i="4"/>
  <c r="G883" i="4"/>
  <c r="G887" i="4"/>
  <c r="G891" i="4"/>
  <c r="G895" i="4"/>
  <c r="G899" i="4"/>
  <c r="G903" i="4"/>
  <c r="G907" i="4"/>
  <c r="G911" i="4"/>
  <c r="G915" i="4"/>
  <c r="G919" i="4"/>
  <c r="G923" i="4"/>
  <c r="G927" i="4"/>
  <c r="G1447" i="4"/>
  <c r="G935" i="4"/>
  <c r="G939" i="4"/>
  <c r="G943" i="4"/>
  <c r="G947" i="4"/>
  <c r="G951" i="4"/>
  <c r="G955" i="4"/>
  <c r="G959" i="4"/>
  <c r="G963" i="4"/>
  <c r="G967" i="4"/>
  <c r="G971" i="4"/>
  <c r="G975" i="4"/>
  <c r="G979" i="4"/>
  <c r="G983" i="4"/>
  <c r="G987" i="4"/>
  <c r="G991" i="4"/>
  <c r="G995" i="4"/>
  <c r="G999" i="4"/>
  <c r="G1003" i="4"/>
  <c r="G1007" i="4"/>
  <c r="G1011" i="4"/>
  <c r="G1015" i="4"/>
  <c r="G1019" i="4"/>
  <c r="G1023" i="4"/>
  <c r="G1027" i="4"/>
  <c r="G1031" i="4"/>
  <c r="G1035" i="4"/>
  <c r="G1039" i="4"/>
  <c r="G1043" i="4"/>
  <c r="G1047" i="4"/>
  <c r="G1051" i="4"/>
  <c r="G1055" i="4"/>
  <c r="G1059" i="4"/>
  <c r="G1063" i="4"/>
  <c r="G1243" i="4"/>
  <c r="G1071" i="4"/>
  <c r="G1075" i="4"/>
  <c r="G1079" i="4"/>
  <c r="G1083" i="4"/>
  <c r="A549" i="4"/>
  <c r="A1016" i="4"/>
  <c r="A1127" i="4"/>
  <c r="A535" i="4"/>
  <c r="A1289" i="4"/>
  <c r="A1353" i="4"/>
  <c r="A1278" i="4"/>
  <c r="G9" i="4"/>
  <c r="G73" i="4"/>
  <c r="G127" i="4"/>
  <c r="G148" i="4"/>
  <c r="G169" i="4"/>
  <c r="G191" i="4"/>
  <c r="G212" i="4"/>
  <c r="G233" i="4"/>
  <c r="G255" i="4"/>
  <c r="G276" i="4"/>
  <c r="G297" i="4"/>
  <c r="G319" i="4"/>
  <c r="G340" i="4"/>
  <c r="G361" i="4"/>
  <c r="G383" i="4"/>
  <c r="G404" i="4"/>
  <c r="G425" i="4"/>
  <c r="G447" i="4"/>
  <c r="G468" i="4"/>
  <c r="G489" i="4"/>
  <c r="G511" i="4"/>
  <c r="G532" i="4"/>
  <c r="G553" i="4"/>
  <c r="G572" i="4"/>
  <c r="G588" i="4"/>
  <c r="G604" i="4"/>
  <c r="G620" i="4"/>
  <c r="G636" i="4"/>
  <c r="G652" i="4"/>
  <c r="G668" i="4"/>
  <c r="G684" i="4"/>
  <c r="G700" i="4"/>
  <c r="G716" i="4"/>
  <c r="G732" i="4"/>
  <c r="G748" i="4"/>
  <c r="G764" i="4"/>
  <c r="G780" i="4"/>
  <c r="G796" i="4"/>
  <c r="G812" i="4"/>
  <c r="G828" i="4"/>
  <c r="G844" i="4"/>
  <c r="G860" i="4"/>
  <c r="G876" i="4"/>
  <c r="G892" i="4"/>
  <c r="G908" i="4"/>
  <c r="G924" i="4"/>
  <c r="G940" i="4"/>
  <c r="G956" i="4"/>
  <c r="G972" i="4"/>
  <c r="G988" i="4"/>
  <c r="G1004" i="4"/>
  <c r="G1020" i="4"/>
  <c r="G1036" i="4"/>
  <c r="G1052" i="4"/>
  <c r="G1068" i="4"/>
  <c r="G1084" i="4"/>
  <c r="G1092" i="4"/>
  <c r="G1100" i="4"/>
  <c r="G1108" i="4"/>
  <c r="G1114" i="4"/>
  <c r="G1119" i="4"/>
  <c r="G1124" i="4"/>
  <c r="G1130" i="4"/>
  <c r="G1135" i="4"/>
  <c r="G1140" i="4"/>
  <c r="G1146" i="4"/>
  <c r="G1151" i="4"/>
  <c r="G1156" i="4"/>
  <c r="G1162" i="4"/>
  <c r="G1167" i="4"/>
  <c r="G1172" i="4"/>
  <c r="G1178" i="4"/>
  <c r="G1183" i="4"/>
  <c r="G1188" i="4"/>
  <c r="G1194" i="4"/>
  <c r="G1199" i="4"/>
  <c r="G1204" i="4"/>
  <c r="G1210" i="4"/>
  <c r="G1215" i="4"/>
  <c r="G1220" i="4"/>
  <c r="G1226" i="4"/>
  <c r="G1231" i="4"/>
  <c r="G1236" i="4"/>
  <c r="G1242" i="4"/>
  <c r="G1247" i="4"/>
  <c r="G1252" i="4"/>
  <c r="G1258" i="4"/>
  <c r="G1263" i="4"/>
  <c r="G1268" i="4"/>
  <c r="G1274" i="4"/>
  <c r="G1279" i="4"/>
  <c r="G1456" i="4"/>
  <c r="G1290" i="4"/>
  <c r="G1295" i="4"/>
  <c r="G1300" i="4"/>
  <c r="G1306" i="4"/>
  <c r="G1311" i="4"/>
  <c r="G1316" i="4"/>
  <c r="G1322" i="4"/>
  <c r="G1327" i="4"/>
  <c r="G1332" i="4"/>
  <c r="G1338" i="4"/>
  <c r="G1343" i="4"/>
  <c r="G1348" i="4"/>
  <c r="G1458" i="4"/>
  <c r="G1359" i="4"/>
  <c r="G1364" i="4"/>
  <c r="G1370" i="4"/>
  <c r="G1375" i="4"/>
  <c r="G1380" i="4"/>
  <c r="G1386" i="4"/>
  <c r="G1391" i="4"/>
  <c r="G1396" i="4"/>
  <c r="G1402" i="4"/>
  <c r="G1407" i="4"/>
  <c r="G1412" i="4"/>
  <c r="G505" i="4"/>
  <c r="G1423" i="4"/>
  <c r="G1428" i="4"/>
  <c r="G1112" i="4"/>
  <c r="G1439" i="4"/>
  <c r="G1444" i="4"/>
  <c r="G1154" i="4"/>
  <c r="G1455" i="4"/>
  <c r="G1460" i="4"/>
  <c r="G1466" i="4"/>
  <c r="G1471" i="4"/>
  <c r="G1476" i="4"/>
  <c r="A803" i="4"/>
  <c r="A1044" i="4"/>
  <c r="A1148" i="4"/>
  <c r="A1234" i="4"/>
  <c r="A1305" i="4"/>
  <c r="A1369" i="4"/>
  <c r="A1433" i="4"/>
  <c r="G25" i="4"/>
  <c r="G89" i="4"/>
  <c r="G132" i="4"/>
  <c r="G153" i="4"/>
  <c r="G175" i="4"/>
  <c r="G196" i="4"/>
  <c r="G217" i="4"/>
  <c r="G239" i="4"/>
  <c r="G260" i="4"/>
  <c r="G281" i="4"/>
  <c r="G303" i="4"/>
  <c r="G324" i="4"/>
  <c r="G345" i="4"/>
  <c r="G367" i="4"/>
  <c r="G388" i="4"/>
  <c r="G409" i="4"/>
  <c r="G431" i="4"/>
  <c r="G452" i="4"/>
  <c r="G473" i="4"/>
  <c r="G495" i="4"/>
  <c r="G516" i="4"/>
  <c r="G537" i="4"/>
  <c r="G559" i="4"/>
  <c r="G576" i="4"/>
  <c r="G592" i="4"/>
  <c r="G608" i="4"/>
  <c r="G624" i="4"/>
  <c r="G640" i="4"/>
  <c r="G656" i="4"/>
  <c r="G672" i="4"/>
  <c r="G688" i="4"/>
  <c r="G704" i="4"/>
  <c r="G720" i="4"/>
  <c r="G736" i="4"/>
  <c r="G752" i="4"/>
  <c r="G768" i="4"/>
  <c r="G784" i="4"/>
  <c r="G800" i="4"/>
  <c r="G816" i="4"/>
  <c r="G832" i="4"/>
  <c r="G848" i="4"/>
  <c r="G864" i="4"/>
  <c r="G880" i="4"/>
  <c r="G896" i="4"/>
  <c r="G912" i="4"/>
  <c r="G928" i="4"/>
  <c r="G944" i="4"/>
  <c r="G960" i="4"/>
  <c r="G976" i="4"/>
  <c r="G992" i="4"/>
  <c r="G1008" i="4"/>
  <c r="G1024" i="4"/>
  <c r="G1040" i="4"/>
  <c r="G1056" i="4"/>
  <c r="G1072" i="4"/>
  <c r="G1087" i="4"/>
  <c r="G1095" i="4"/>
  <c r="G1103" i="4"/>
  <c r="G1110" i="4"/>
  <c r="G1115" i="4"/>
  <c r="G1120" i="4"/>
  <c r="G1126" i="4"/>
  <c r="G1131" i="4"/>
  <c r="G1136" i="4"/>
  <c r="G1142" i="4"/>
  <c r="G1147" i="4"/>
  <c r="G1152" i="4"/>
  <c r="G1452" i="4"/>
  <c r="G1163" i="4"/>
  <c r="G1168" i="4"/>
  <c r="G1174" i="4"/>
  <c r="G1179" i="4"/>
  <c r="G1184" i="4"/>
  <c r="G1190" i="4"/>
  <c r="G1195" i="4"/>
  <c r="G1200" i="4"/>
  <c r="G1206" i="4"/>
  <c r="G1211" i="4"/>
  <c r="G1216" i="4"/>
  <c r="G1222" i="4"/>
  <c r="G1227" i="4"/>
  <c r="G1232" i="4"/>
  <c r="G1238" i="4"/>
  <c r="G931" i="4"/>
  <c r="G1248" i="4"/>
  <c r="G1254" i="4"/>
  <c r="G1259" i="4"/>
  <c r="G1264" i="4"/>
  <c r="G1270" i="4"/>
  <c r="G1275" i="4"/>
  <c r="G1280" i="4"/>
  <c r="G1286" i="4"/>
  <c r="G1291" i="4"/>
  <c r="G1296" i="4"/>
  <c r="G1302" i="4"/>
  <c r="G1307" i="4"/>
  <c r="G1312" i="4"/>
  <c r="G1318" i="4"/>
  <c r="G1323" i="4"/>
  <c r="G1328" i="4"/>
  <c r="G1334" i="4"/>
  <c r="G1339" i="4"/>
  <c r="G1344" i="4"/>
  <c r="G1350" i="4"/>
  <c r="G1355" i="4"/>
  <c r="G1360" i="4"/>
  <c r="G1366" i="4"/>
  <c r="G1421" i="4"/>
  <c r="G1376" i="4"/>
  <c r="G1382" i="4"/>
  <c r="G1469" i="4"/>
  <c r="G1392" i="4"/>
  <c r="G1398" i="4"/>
  <c r="G1403" i="4"/>
  <c r="G1408" i="4"/>
  <c r="G1414" i="4"/>
  <c r="G1419" i="4"/>
  <c r="G1424" i="4"/>
  <c r="G1430" i="4"/>
  <c r="G1435" i="4"/>
  <c r="G1440" i="4"/>
  <c r="G1446" i="4"/>
  <c r="G1451" i="4"/>
  <c r="G1417" i="4"/>
  <c r="G1462" i="4"/>
  <c r="G1212" i="4"/>
  <c r="G1472" i="4"/>
  <c r="A888" i="4"/>
  <c r="A1072" i="4"/>
  <c r="A1170" i="4"/>
  <c r="A1255" i="4"/>
  <c r="A1321" i="4"/>
  <c r="A1385" i="4"/>
  <c r="A1384" i="4"/>
  <c r="G41" i="4"/>
  <c r="G105" i="4"/>
  <c r="G137" i="4"/>
  <c r="G159" i="4"/>
  <c r="G180" i="4"/>
  <c r="G201" i="4"/>
  <c r="G223" i="4"/>
  <c r="G244" i="4"/>
  <c r="G265" i="4"/>
  <c r="G287" i="4"/>
  <c r="G308" i="4"/>
  <c r="G329" i="4"/>
  <c r="G351" i="4"/>
  <c r="G372" i="4"/>
  <c r="G393" i="4"/>
  <c r="G415" i="4"/>
  <c r="G436" i="4"/>
  <c r="G457" i="4"/>
  <c r="G479" i="4"/>
  <c r="G500" i="4"/>
  <c r="G521" i="4"/>
  <c r="G543" i="4"/>
  <c r="G564" i="4"/>
  <c r="G580" i="4"/>
  <c r="G596" i="4"/>
  <c r="G612" i="4"/>
  <c r="G628" i="4"/>
  <c r="G644" i="4"/>
  <c r="G660" i="4"/>
  <c r="G676" i="4"/>
  <c r="G692" i="4"/>
  <c r="G708" i="4"/>
  <c r="G724" i="4"/>
  <c r="G740" i="4"/>
  <c r="G756" i="4"/>
  <c r="G772" i="4"/>
  <c r="G788" i="4"/>
  <c r="G804" i="4"/>
  <c r="G820" i="4"/>
  <c r="G836" i="4"/>
  <c r="G852" i="4"/>
  <c r="G868" i="4"/>
  <c r="G884" i="4"/>
  <c r="G900" i="4"/>
  <c r="G916" i="4"/>
  <c r="G932" i="4"/>
  <c r="G948" i="4"/>
  <c r="G964" i="4"/>
  <c r="G980" i="4"/>
  <c r="G996" i="4"/>
  <c r="G1012" i="4"/>
  <c r="G1028" i="4"/>
  <c r="G1044" i="4"/>
  <c r="G1060" i="4"/>
  <c r="G1076" i="4"/>
  <c r="G1088" i="4"/>
  <c r="G1096" i="4"/>
  <c r="G1104" i="4"/>
  <c r="G1111" i="4"/>
  <c r="G1116" i="4"/>
  <c r="G1122" i="4"/>
  <c r="G1127" i="4"/>
  <c r="G1132" i="4"/>
  <c r="G1138" i="4"/>
  <c r="G1143" i="4"/>
  <c r="G1148" i="4"/>
  <c r="G1450" i="4"/>
  <c r="G1159" i="4"/>
  <c r="G1164" i="4"/>
  <c r="G1170" i="4"/>
  <c r="G1453" i="4"/>
  <c r="G1180" i="4"/>
  <c r="G1186" i="4"/>
  <c r="G1191" i="4"/>
  <c r="G1196" i="4"/>
  <c r="G1202" i="4"/>
  <c r="G1207" i="4"/>
  <c r="G535" i="4"/>
  <c r="G1218" i="4"/>
  <c r="G1223" i="4"/>
  <c r="G1228" i="4"/>
  <c r="G1234" i="4"/>
  <c r="G1239" i="4"/>
  <c r="G1244" i="4"/>
  <c r="G1250" i="4"/>
  <c r="G1255" i="4"/>
  <c r="G1260" i="4"/>
  <c r="G1266" i="4"/>
  <c r="G1271" i="4"/>
  <c r="G1276" i="4"/>
  <c r="G1282" i="4"/>
  <c r="G1287" i="4"/>
  <c r="G1292" i="4"/>
  <c r="G1298" i="4"/>
  <c r="G1303" i="4"/>
  <c r="G1308" i="4"/>
  <c r="G1314" i="4"/>
  <c r="G1319" i="4"/>
  <c r="G1324" i="4"/>
  <c r="G1330" i="4"/>
  <c r="G1335" i="4"/>
  <c r="G1340" i="4"/>
  <c r="G1346" i="4"/>
  <c r="G1351" i="4"/>
  <c r="G1356" i="4"/>
  <c r="G1362" i="4"/>
  <c r="G1367" i="4"/>
  <c r="G1372" i="4"/>
  <c r="G1378" i="4"/>
  <c r="G1383" i="4"/>
  <c r="G1388" i="4"/>
  <c r="G1394" i="4"/>
  <c r="G1399" i="4"/>
  <c r="G1404" i="4"/>
  <c r="G1410" i="4"/>
  <c r="G1415" i="4"/>
  <c r="G1387" i="4"/>
  <c r="G1426" i="4"/>
  <c r="G1431" i="4"/>
  <c r="G1436" i="4"/>
  <c r="G1442" i="4"/>
  <c r="G1377" i="4"/>
  <c r="G1371" i="4"/>
  <c r="G1420" i="4"/>
  <c r="G1463" i="4"/>
  <c r="G1468" i="4"/>
  <c r="G1474" i="4"/>
  <c r="A973" i="4"/>
  <c r="A1101" i="4"/>
  <c r="A1191" i="4"/>
  <c r="A1273" i="4"/>
  <c r="A1337" i="4"/>
  <c r="A1401" i="4"/>
  <c r="A1465" i="4"/>
  <c r="G57" i="4"/>
  <c r="G120" i="4"/>
  <c r="G143" i="4"/>
  <c r="G164" i="4"/>
  <c r="G185" i="4"/>
  <c r="G207" i="4"/>
  <c r="G228" i="4"/>
  <c r="G249" i="4"/>
  <c r="G271" i="4"/>
  <c r="G292" i="4"/>
  <c r="G313" i="4"/>
  <c r="G335" i="4"/>
  <c r="G356" i="4"/>
  <c r="G377" i="4"/>
  <c r="G399" i="4"/>
  <c r="G420" i="4"/>
  <c r="G441" i="4"/>
  <c r="G463" i="4"/>
  <c r="G484" i="4"/>
  <c r="G1416" i="4"/>
  <c r="G527" i="4"/>
  <c r="G548" i="4"/>
  <c r="G568" i="4"/>
  <c r="G584" i="4"/>
  <c r="G600" i="4"/>
  <c r="G616" i="4"/>
  <c r="G632" i="4"/>
  <c r="G648" i="4"/>
  <c r="G664" i="4"/>
  <c r="G680" i="4"/>
  <c r="G696" i="4"/>
  <c r="G712" i="4"/>
  <c r="G728" i="4"/>
  <c r="G744" i="4"/>
  <c r="G760" i="4"/>
  <c r="G776" i="4"/>
  <c r="G792" i="4"/>
  <c r="G808" i="4"/>
  <c r="G824" i="4"/>
  <c r="G840" i="4"/>
  <c r="G856" i="4"/>
  <c r="G872" i="4"/>
  <c r="G888" i="4"/>
  <c r="G904" i="4"/>
  <c r="G920" i="4"/>
  <c r="G936" i="4"/>
  <c r="G952" i="4"/>
  <c r="G968" i="4"/>
  <c r="G984" i="4"/>
  <c r="G1000" i="4"/>
  <c r="G1016" i="4"/>
  <c r="G1032" i="4"/>
  <c r="G1048" i="4"/>
  <c r="G1064" i="4"/>
  <c r="G1080" i="4"/>
  <c r="G1091" i="4"/>
  <c r="G1099" i="4"/>
  <c r="G1107" i="4"/>
  <c r="G1448" i="4"/>
  <c r="G1118" i="4"/>
  <c r="G1123" i="4"/>
  <c r="G1128" i="4"/>
  <c r="G1134" i="4"/>
  <c r="G1139" i="4"/>
  <c r="G1144" i="4"/>
  <c r="G1150" i="4"/>
  <c r="G1155" i="4"/>
  <c r="G1160" i="4"/>
  <c r="G1166" i="4"/>
  <c r="G1171" i="4"/>
  <c r="G1176" i="4"/>
  <c r="G1182" i="4"/>
  <c r="G1187" i="4"/>
  <c r="G1192" i="4"/>
  <c r="G1198" i="4"/>
  <c r="G1203" i="4"/>
  <c r="G1208" i="4"/>
  <c r="G1214" i="4"/>
  <c r="G1219" i="4"/>
  <c r="G1224" i="4"/>
  <c r="G1230" i="4"/>
  <c r="G1235" i="4"/>
  <c r="G1240" i="4"/>
  <c r="G1246" i="4"/>
  <c r="G1251" i="4"/>
  <c r="G1256" i="4"/>
  <c r="G1262" i="4"/>
  <c r="G1267" i="4"/>
  <c r="G1272" i="4"/>
  <c r="G1454" i="4"/>
  <c r="G1283" i="4"/>
  <c r="G1288" i="4"/>
  <c r="G1294" i="4"/>
  <c r="G1299" i="4"/>
  <c r="G1304" i="4"/>
  <c r="G1310" i="4"/>
  <c r="G1315" i="4"/>
  <c r="G1320" i="4"/>
  <c r="G1326" i="4"/>
  <c r="G1331" i="4"/>
  <c r="G1336" i="4"/>
  <c r="G1457" i="4"/>
  <c r="G1347" i="4"/>
  <c r="G1352" i="4"/>
  <c r="G1358" i="4"/>
  <c r="G1363" i="4"/>
  <c r="G1368" i="4"/>
  <c r="G1374" i="4"/>
  <c r="G1379" i="4"/>
  <c r="G1467" i="4"/>
  <c r="G1390" i="4"/>
  <c r="G1395" i="4"/>
  <c r="G1400" i="4"/>
  <c r="G1445" i="4"/>
  <c r="G1411" i="4"/>
  <c r="G1342" i="4"/>
  <c r="G1422" i="4"/>
  <c r="G1427" i="4"/>
  <c r="G1432" i="4"/>
  <c r="G1438" i="4"/>
  <c r="G1443" i="4"/>
  <c r="G1464" i="4"/>
  <c r="G1354" i="4"/>
  <c r="G1470" i="4"/>
  <c r="G1406" i="4"/>
  <c r="G1475" i="4"/>
  <c r="G1459"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<sst xmlns="http://schemas.openxmlformats.org/spreadsheetml/2006/main" count="22362" uniqueCount="4000">
  <si>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</si>
  <si>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</si>
  <si>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</si>
  <si>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</si>
  <si>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</si>
  <si>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</si>
  <si>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</si>
  <si>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</si>
  <si>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</si>
  <si>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</si>
  <si>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</si>
  <si>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</si>
  <si>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</si>
  <si>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</si>
  <si>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</si>
  <si>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</si>
  <si>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</si>
  <si>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</si>
  <si>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</si>
  <si>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</si>
  <si>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</si>
  <si>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</si>
  <si>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</si>
  <si>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</si>
  <si>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</si>
  <si>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</si>
  <si>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</si>
  <si>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</si>
  <si>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</si>
  <si>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</si>
  <si>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</si>
  <si>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</si>
  <si>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</si>
  <si>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</si>
  <si>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</si>
  <si>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</si>
  <si>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</si>
  <si>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</si>
  <si>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</si>
  <si>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</si>
  <si>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</si>
  <si>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</si>
  <si>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</si>
  <si>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</si>
  <si>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</si>
  <si>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</si>
  <si>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</si>
  <si>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</si>
  <si>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</si>
  <si>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</si>
  <si>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</si>
  <si>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</si>
  <si>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</si>
  <si>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</si>
  <si>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</si>
  <si>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</si>
  <si>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</si>
  <si>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</si>
  <si>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</si>
  <si>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</si>
  <si>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</si>
  <si>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</si>
  <si>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</si>
  <si>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</si>
  <si>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</si>
  <si>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</si>
  <si>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</si>
  <si>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</si>
  <si>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</si>
  <si>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</si>
  <si>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</si>
  <si>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</si>
  <si>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</si>
  <si>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</si>
  <si>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</si>
  <si>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</si>
  <si>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</si>
  <si>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</si>
  <si>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</si>
  <si>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</si>
  <si>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</si>
  <si>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</si>
  <si>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</si>
  <si>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</si>
  <si>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</si>
  <si>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</si>
  <si>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</si>
  <si>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</si>
  <si>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</si>
  <si>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</si>
  <si>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</si>
  <si>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</si>
  <si>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</si>
  <si>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</si>
  <si>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</si>
  <si>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</si>
  <si>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</si>
  <si>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</si>
  <si>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</si>
  <si>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</si>
  <si>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</si>
  <si>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</si>
  <si>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</si>
  <si>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</si>
  <si>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</si>
  <si>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</si>
  <si>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</si>
  <si>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</si>
  <si>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</si>
  <si>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</si>
  <si>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</si>
  <si>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</si>
  <si>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</si>
  <si>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</si>
  <si>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</si>
  <si>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</si>
  <si>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</si>
  <si>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</si>
  <si>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</si>
  <si>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</si>
  <si>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</si>
  <si>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</si>
  <si>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</si>
  <si>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</si>
  <si>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</si>
  <si>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</si>
  <si>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</si>
  <si>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</si>
  <si>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</si>
  <si>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</si>
  <si>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</si>
  <si>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</si>
  <si>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</si>
  <si>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</si>
  <si>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</si>
  <si>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</si>
  <si>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</si>
  <si>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</si>
  <si>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</si>
  <si>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</si>
  <si>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</si>
  <si>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</si>
  <si>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</si>
  <si>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</si>
  <si>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</si>
  <si>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</si>
  <si>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</si>
  <si>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</si>
  <si>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</si>
  <si>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</si>
  <si>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</si>
  <si>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</si>
  <si>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</si>
  <si>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</si>
  <si>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</si>
  <si>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</si>
  <si>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</si>
  <si>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</si>
  <si>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</si>
  <si>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</si>
  <si>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</si>
  <si>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</si>
  <si>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</si>
  <si>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</si>
  <si>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</si>
  <si>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</si>
  <si>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</si>
  <si>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</si>
  <si>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</si>
  <si>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</si>
  <si>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</si>
  <si>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</si>
  <si>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</si>
  <si>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</si>
  <si>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</si>
  <si>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</si>
  <si>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</si>
  <si>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</si>
  <si>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</si>
  <si>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</si>
  <si>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</si>
  <si>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</si>
  <si>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</si>
  <si>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</si>
  <si>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</si>
  <si>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</si>
  <si>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</si>
  <si>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</si>
  <si>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</si>
  <si>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</si>
  <si>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</si>
  <si>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</si>
  <si>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</si>
  <si>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</si>
  <si>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</si>
  <si>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</si>
  <si>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</si>
  <si>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</si>
  <si>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</si>
  <si>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</si>
  <si>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</si>
  <si>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</si>
  <si>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</si>
  <si>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</si>
  <si>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</si>
  <si>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</si>
  <si>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</si>
  <si>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</si>
  <si>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</si>
  <si>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</si>
  <si>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</si>
  <si>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</si>
  <si>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</si>
  <si>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</si>
  <si>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</si>
  <si>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</si>
  <si>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</si>
  <si>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</si>
  <si>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</si>
  <si>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</si>
  <si>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</si>
  <si>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</si>
  <si>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</si>
  <si>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</si>
  <si>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</si>
  <si>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</si>
  <si>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</si>
  <si>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</si>
  <si>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</si>
  <si>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</si>
  <si>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</si>
  <si>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</si>
  <si>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</si>
  <si>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</si>
  <si>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</si>
  <si>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</si>
  <si>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</si>
  <si>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</si>
  <si>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</si>
  <si>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</si>
  <si>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</si>
  <si>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</si>
  <si>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</si>
  <si>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</si>
  <si>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</si>
  <si>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</si>
  <si>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</si>
  <si>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</si>
  <si>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</si>
  <si>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</si>
  <si>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</si>
  <si>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</si>
  <si>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</si>
  <si>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</si>
  <si>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</si>
  <si>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</si>
  <si>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</si>
  <si>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</si>
  <si>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</si>
  <si>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</si>
  <si>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</si>
  <si>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</si>
  <si>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</si>
  <si>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</si>
  <si>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</si>
  <si>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</si>
  <si>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</si>
  <si>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</si>
  <si>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</si>
  <si>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</si>
  <si>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</si>
  <si>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</si>
  <si>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</si>
  <si>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</si>
  <si>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</si>
  <si>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</si>
  <si>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</si>
  <si>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</si>
  <si>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</si>
  <si>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</si>
  <si>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</si>
  <si>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</si>
  <si>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</si>
  <si>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</si>
  <si>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</si>
  <si>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</si>
  <si>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</si>
  <si>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</si>
  <si>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</si>
  <si>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</si>
  <si>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</si>
  <si>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</si>
  <si>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</si>
  <si>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</si>
  <si>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</si>
  <si>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</si>
  <si>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</si>
  <si>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</si>
  <si>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</si>
  <si>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</si>
  <si>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</si>
  <si>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</si>
  <si>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</si>
  <si>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</si>
  <si>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</si>
  <si>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</si>
  <si>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</si>
  <si>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</si>
  <si>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</si>
  <si>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</si>
  <si>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</si>
  <si>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</si>
  <si>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</si>
  <si>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</si>
  <si>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</si>
  <si>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</si>
  <si>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</si>
  <si>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</si>
  <si>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</si>
  <si>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</si>
  <si>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</si>
  <si>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</si>
  <si>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</si>
  <si>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</si>
  <si>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</si>
  <si>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</si>
  <si>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</si>
  <si>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</si>
  <si>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</si>
  <si>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</si>
  <si>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</si>
  <si>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</si>
  <si>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</si>
  <si>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</si>
  <si>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</si>
  <si>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</si>
  <si>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</si>
  <si>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</si>
  <si>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</si>
  <si>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</si>
  <si>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</si>
  <si>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</si>
  <si>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</si>
  <si>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</si>
  <si>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</si>
  <si>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</si>
  <si>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</si>
  <si>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</si>
  <si>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</si>
  <si>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</si>
  <si>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</si>
  <si>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</si>
  <si>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</si>
  <si>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</si>
  <si>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</si>
  <si>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</si>
  <si>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</si>
  <si>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</si>
  <si>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</si>
  <si>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</si>
  <si>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</si>
  <si>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</si>
  <si>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</si>
  <si>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</si>
  <si>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</si>
  <si>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</si>
  <si>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</si>
  <si>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</si>
  <si>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</si>
  <si>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</si>
  <si>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</si>
  <si>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</si>
  <si>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</si>
  <si>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</si>
  <si>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</si>
  <si>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</si>
  <si>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</si>
  <si>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</si>
  <si>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</si>
  <si>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</si>
  <si>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</si>
  <si>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</si>
  <si>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</si>
  <si>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</si>
  <si>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</si>
  <si>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</si>
  <si>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</si>
  <si>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</si>
  <si>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</si>
  <si>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</si>
  <si>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</si>
  <si>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</si>
  <si>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</si>
  <si>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</si>
  <si>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</si>
  <si>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</si>
  <si>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</si>
  <si>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</si>
  <si>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</si>
  <si>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</si>
  <si>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</si>
  <si>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</si>
  <si>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</si>
  <si>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</si>
  <si>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</si>
  <si>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</si>
  <si>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</si>
  <si>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</si>
  <si>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</si>
  <si>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</si>
  <si>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</si>
  <si>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</si>
  <si>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</si>
  <si>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</si>
  <si>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</si>
  <si>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</si>
  <si>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</si>
  <si>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</si>
  <si>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</si>
  <si>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</si>
  <si>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</si>
  <si>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</si>
  <si>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</si>
  <si>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</si>
  <si>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</si>
  <si>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</si>
  <si>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</si>
  <si>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</si>
  <si>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</si>
  <si>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</si>
  <si>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</si>
  <si>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</si>
  <si>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</si>
  <si>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</si>
  <si>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</si>
  <si>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</si>
  <si>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</si>
  <si>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</si>
  <si>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</si>
  <si>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</si>
  <si>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</si>
  <si>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</si>
  <si>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</si>
  <si>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</si>
  <si>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</si>
  <si>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</si>
  <si>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</si>
  <si>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</si>
  <si>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</si>
  <si>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</si>
  <si>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</si>
  <si>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</si>
  <si>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</si>
  <si>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</si>
  <si>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</si>
  <si>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</si>
  <si>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</si>
  <si>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</si>
  <si>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</si>
  <si>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</si>
  <si>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</si>
  <si>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</si>
  <si>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</si>
  <si>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</si>
  <si>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</si>
  <si>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</si>
  <si>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</si>
  <si>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</si>
  <si>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</si>
  <si>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</si>
  <si>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</si>
  <si>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</si>
  <si>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</si>
  <si>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</si>
  <si>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</si>
  <si>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</si>
  <si>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</si>
  <si>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</si>
  <si>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</si>
  <si>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</si>
  <si>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</si>
  <si>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</si>
  <si>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</si>
  <si>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</si>
  <si>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</si>
  <si>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</si>
  <si>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</si>
  <si>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</si>
  <si>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</si>
  <si>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</si>
  <si>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</si>
  <si>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</si>
  <si>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</si>
  <si>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</si>
  <si>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</si>
  <si>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</si>
  <si>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</si>
  <si>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</si>
  <si>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</si>
  <si>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</si>
  <si>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</si>
  <si>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</si>
  <si>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</si>
  <si>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</si>
  <si>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</si>
  <si>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</si>
  <si>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</si>
  <si>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</si>
  <si>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</si>
  <si>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</si>
  <si>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</si>
  <si>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</si>
  <si>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</si>
  <si>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</si>
  <si>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</si>
  <si>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</si>
  <si>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</si>
  <si>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</si>
  <si>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</si>
  <si>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</si>
  <si>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</si>
  <si>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</si>
  <si>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</si>
  <si>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</si>
  <si>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</si>
  <si>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</si>
  <si>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</si>
  <si>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</si>
  <si>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</si>
  <si>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</si>
  <si>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</si>
  <si>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</si>
  <si>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</si>
  <si>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</si>
  <si>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</si>
  <si>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</si>
  <si>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</si>
  <si>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</si>
  <si>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</si>
  <si>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</si>
  <si>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</si>
  <si>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</si>
  <si>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</si>
  <si>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</si>
  <si>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</si>
  <si>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</si>
  <si>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</si>
  <si>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</si>
  <si>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</si>
  <si>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</si>
  <si>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</si>
  <si>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</si>
  <si>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</si>
  <si>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</si>
  <si>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</si>
  <si>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</si>
  <si>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</si>
  <si>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</si>
  <si>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</si>
  <si>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</si>
  <si>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</si>
  <si>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</si>
  <si>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</si>
  <si>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</si>
  <si>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</si>
  <si>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</si>
  <si>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</si>
  <si>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</si>
  <si>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</si>
  <si>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</si>
  <si>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</si>
  <si>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</si>
  <si>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</si>
  <si>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</si>
  <si>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</si>
  <si>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</si>
  <si>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</si>
  <si>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</si>
  <si>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</si>
  <si>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</si>
  <si>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</si>
  <si>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</si>
  <si>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</si>
  <si>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</si>
  <si>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</si>
  <si>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</si>
  <si>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</si>
  <si>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</si>
  <si>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</si>
  <si>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</si>
  <si>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</si>
  <si>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</si>
  <si>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</si>
  <si>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</si>
  <si>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</si>
  <si>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</si>
  <si>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</si>
  <si>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</si>
  <si>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</si>
  <si>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</si>
  <si>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</si>
  <si>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</si>
  <si>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</si>
  <si>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</si>
  <si>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</si>
  <si>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</si>
  <si>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</si>
  <si>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</si>
  <si>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</si>
  <si>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</si>
  <si>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</si>
  <si>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</si>
  <si>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</si>
  <si>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</si>
  <si>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</si>
  <si>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</si>
  <si>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</si>
  <si>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</si>
  <si>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</si>
  <si>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</si>
  <si>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</si>
  <si>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</si>
  <si>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</si>
  <si>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</si>
  <si>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</si>
  <si>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</si>
  <si>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</si>
  <si>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</si>
  <si>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</si>
  <si>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</si>
  <si>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</si>
  <si>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</si>
  <si>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</si>
  <si>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</si>
  <si>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</si>
  <si>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</si>
  <si>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</si>
  <si>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</si>
  <si>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</si>
  <si>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</si>
  <si>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</si>
  <si>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</si>
  <si>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</si>
  <si>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</si>
  <si>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</si>
  <si>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</si>
  <si>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</si>
  <si>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</si>
  <si>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</si>
  <si>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</si>
  <si>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</si>
  <si>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</si>
  <si>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</si>
  <si>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</si>
  <si>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</si>
  <si>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</si>
  <si>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</si>
  <si>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</si>
  <si>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</si>
  <si>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</si>
  <si>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</si>
  <si>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</si>
  <si>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</si>
  <si>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</si>
  <si>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</si>
  <si>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</si>
  <si>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</si>
  <si>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</si>
  <si>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</si>
  <si>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</si>
  <si>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</si>
  <si>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</si>
  <si>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</si>
  <si>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</si>
  <si>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</si>
  <si>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</si>
  <si>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</si>
  <si>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</si>
  <si>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</si>
  <si>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</si>
  <si>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</si>
  <si>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</si>
  <si>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</si>
  <si>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</si>
  <si>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</si>
  <si>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</si>
  <si>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</si>
  <si>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</si>
  <si>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</si>
  <si>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</si>
  <si>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</si>
  <si>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</si>
  <si>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</si>
  <si>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</si>
  <si>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</si>
  <si>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</si>
  <si>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</si>
  <si>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</si>
  <si>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</si>
  <si>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</si>
  <si>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</si>
  <si>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</si>
  <si>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</si>
  <si>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</si>
  <si>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</si>
  <si>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</si>
  <si>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</si>
  <si>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</si>
  <si>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</si>
  <si>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</si>
  <si>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</si>
  <si>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</si>
  <si>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</si>
  <si>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</si>
  <si>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</si>
  <si>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</si>
  <si>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</si>
  <si>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</si>
  <si>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</si>
  <si>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</si>
  <si>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</si>
  <si>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</si>
  <si>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</si>
  <si>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</si>
  <si>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</si>
  <si>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</si>
  <si>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</si>
  <si>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</si>
  <si>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</si>
  <si>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</si>
  <si>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</si>
  <si>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</si>
  <si>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</si>
  <si>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</si>
  <si>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</si>
  <si>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</si>
  <si>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</si>
  <si>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</si>
  <si>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</si>
  <si>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</si>
  <si>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</si>
  <si>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</si>
  <si>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</si>
  <si>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</si>
  <si>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</si>
  <si>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</si>
  <si>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</si>
  <si>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</si>
  <si>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</si>
  <si>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</si>
  <si>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</si>
  <si>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</si>
  <si>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</si>
  <si>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</si>
  <si>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</si>
  <si>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</si>
  <si>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</si>
  <si>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</si>
  <si>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</si>
  <si>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</si>
  <si>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</si>
  <si>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</si>
  <si>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</si>
  <si>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</si>
  <si>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</si>
  <si>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</si>
  <si>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</si>
  <si>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</si>
  <si>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</si>
  <si>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</si>
  <si>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</si>
  <si>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</si>
  <si>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</si>
  <si>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</si>
  <si>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</si>
  <si>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</si>
  <si>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</si>
  <si>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</si>
  <si>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</si>
  <si>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</si>
  <si>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</si>
  <si>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</si>
  <si>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</si>
  <si>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</si>
  <si>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</si>
  <si>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</si>
  <si>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</si>
  <si>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</si>
  <si>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</si>
  <si>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</si>
  <si>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</si>
  <si>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</si>
  <si>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</si>
  <si>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</si>
  <si>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</si>
  <si>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</si>
  <si>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</si>
  <si>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</si>
  <si>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</si>
  <si>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</si>
  <si>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</si>
  <si>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</si>
  <si>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</si>
  <si>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</si>
  <si>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</si>
  <si>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</si>
  <si>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</si>
  <si>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</si>
  <si>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</si>
  <si>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</si>
  <si>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</si>
  <si>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</si>
  <si>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</si>
  <si>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</si>
  <si>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</si>
  <si>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</si>
  <si>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</si>
  <si>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</si>
  <si>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</si>
  <si>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</si>
  <si>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</si>
  <si>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</si>
  <si>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</si>
  <si>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</si>
  <si>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</si>
  <si>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</si>
  <si>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</si>
  <si>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</si>
  <si>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</si>
  <si>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</si>
  <si>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</si>
  <si>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</si>
  <si>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</si>
  <si>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</si>
  <si>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</si>
  <si>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</si>
  <si>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</si>
  <si>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</si>
  <si>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</si>
  <si>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</si>
  <si>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</si>
  <si>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</si>
  <si>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</si>
  <si>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</si>
  <si>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</si>
  <si>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</si>
  <si>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</si>
  <si>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</si>
  <si>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</si>
  <si>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</si>
  <si>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</si>
  <si>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</si>
  <si>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</si>
  <si>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</si>
  <si>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</si>
  <si>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</si>
  <si>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</si>
  <si>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</si>
  <si>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</si>
  <si>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</si>
  <si>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</si>
  <si>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</si>
  <si>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</si>
  <si>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</si>
  <si>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</si>
  <si>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</si>
  <si>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</si>
  <si>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</si>
  <si>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</si>
  <si>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</si>
  <si>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</si>
  <si>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</si>
  <si>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</si>
  <si>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</si>
  <si>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</si>
  <si>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</si>
  <si>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</si>
  <si>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</si>
  <si>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</si>
  <si>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</si>
  <si>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</si>
  <si>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</si>
  <si>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</si>
  <si>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</si>
  <si>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</si>
  <si>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</si>
  <si>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</si>
  <si>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</si>
  <si>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</si>
  <si>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</si>
  <si>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</si>
  <si>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</si>
  <si>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</si>
  <si>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</si>
  <si>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</si>
  <si>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</si>
  <si>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</si>
  <si>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</si>
  <si>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</si>
  <si>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</si>
  <si>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</si>
  <si>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</si>
  <si>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</si>
  <si>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</si>
  <si>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</si>
  <si>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</si>
  <si>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</si>
  <si>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</si>
  <si>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</si>
  <si>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</si>
  <si>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</si>
  <si>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</si>
  <si>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</si>
  <si>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</si>
  <si>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</si>
  <si>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</si>
  <si>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</si>
  <si>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</si>
  <si>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</si>
  <si>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</si>
  <si>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</si>
  <si>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</si>
  <si>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</si>
  <si>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</si>
  <si>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</si>
  <si>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</si>
  <si>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</si>
  <si>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</si>
  <si>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</si>
  <si>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</si>
  <si>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</si>
  <si>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</si>
  <si>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</si>
  <si>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</si>
  <si>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</si>
  <si>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</si>
  <si>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</si>
  <si>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</si>
  <si>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</si>
  <si>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</si>
  <si>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</si>
  <si>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</si>
  <si>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</si>
  <si>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</si>
  <si>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</si>
  <si>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</si>
  <si>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</si>
  <si>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</si>
  <si>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</si>
  <si>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</si>
  <si>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</si>
  <si>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</si>
  <si>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</si>
  <si>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</si>
  <si>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</si>
  <si>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</si>
  <si>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</si>
  <si>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</si>
  <si>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</si>
  <si>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</si>
  <si>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</si>
  <si>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</si>
  <si>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</si>
  <si>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</si>
  <si>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</si>
  <si>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</si>
  <si>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</si>
  <si>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</si>
  <si>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</si>
  <si>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</si>
  <si>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</si>
  <si>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</si>
  <si>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</si>
  <si>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</si>
  <si>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</si>
  <si>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</si>
  <si>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</si>
  <si>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</si>
  <si>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</si>
  <si>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</si>
  <si>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</si>
  <si>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</si>
  <si>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</si>
  <si>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</si>
  <si>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</si>
  <si>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</si>
  <si>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</si>
  <si>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</si>
  <si>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</si>
  <si>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</si>
  <si>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</si>
  <si>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</si>
  <si>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</si>
  <si>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</si>
  <si>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</si>
  <si>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</si>
  <si>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</si>
  <si>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</si>
  <si>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</si>
  <si>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</si>
  <si>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</si>
  <si>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</si>
  <si>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</si>
  <si>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</si>
  <si>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</si>
  <si>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</si>
  <si>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</si>
  <si>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</si>
  <si>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</si>
  <si>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</si>
  <si>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</si>
  <si>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</si>
  <si>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</si>
  <si>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</si>
  <si>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</si>
  <si>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</si>
  <si>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</si>
  <si>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</si>
  <si>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</si>
  <si>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</si>
  <si>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</si>
  <si>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</si>
  <si>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</si>
  <si>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</si>
  <si>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</si>
  <si>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</si>
  <si>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</si>
  <si>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</si>
  <si>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</si>
  <si>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</si>
  <si>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</si>
  <si>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</si>
  <si>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</si>
  <si>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</si>
  <si>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</si>
  <si>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</si>
  <si>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</si>
  <si>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</si>
  <si>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</si>
  <si>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</si>
  <si>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</si>
  <si>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</si>
  <si>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</si>
  <si>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</si>
  <si>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</si>
  <si>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</si>
  <si>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</si>
  <si>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</si>
  <si>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</si>
  <si>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</si>
  <si>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</si>
  <si>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</si>
  <si>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</si>
  <si>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</si>
  <si>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</si>
  <si>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</si>
  <si>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</si>
  <si>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</si>
  <si>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</si>
  <si>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</si>
  <si>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</si>
  <si>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</si>
  <si>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</si>
  <si>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</si>
  <si>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</si>
  <si>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</si>
  <si>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</si>
  <si>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</si>
  <si>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</si>
  <si>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</si>
  <si>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</si>
  <si>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</si>
  <si>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</si>
  <si>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</si>
  <si>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</si>
  <si>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</si>
  <si>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</si>
  <si>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</si>
  <si>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</si>
  <si>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</si>
  <si>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</si>
  <si>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</si>
  <si>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</si>
  <si>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</si>
  <si>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</si>
  <si>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</si>
  <si>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</si>
  <si>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</si>
  <si>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</si>
  <si>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</si>
  <si>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</si>
  <si>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</si>
  <si>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</si>
  <si>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</si>
  <si>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</si>
  <si>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</si>
  <si>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</si>
  <si>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</si>
  <si>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</si>
  <si>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</si>
  <si>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</si>
  <si>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</si>
  <si>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</si>
  <si>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</si>
  <si>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</si>
  <si>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</si>
  <si>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</si>
  <si>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</si>
  <si>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</si>
  <si>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</si>
  <si>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</si>
  <si>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</si>
  <si>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</si>
  <si>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</si>
  <si>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</si>
  <si>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</si>
  <si>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</si>
  <si>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</si>
  <si>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</si>
  <si>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</si>
  <si>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</si>
  <si>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</si>
  <si>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</si>
  <si>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</si>
  <si>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</si>
  <si>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</si>
  <si>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</si>
  <si>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</si>
  <si>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</si>
  <si>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</si>
  <si>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</si>
  <si>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</si>
  <si>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</si>
  <si>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</si>
  <si>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</si>
  <si>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</si>
  <si>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</si>
  <si>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</si>
  <si>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</si>
  <si>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</si>
  <si>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</si>
  <si>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</si>
  <si>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</si>
  <si>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</si>
  <si>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</si>
  <si>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</si>
  <si>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</si>
  <si>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</si>
  <si>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</si>
  <si>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</si>
  <si>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</si>
  <si>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</si>
  <si>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</si>
  <si>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</si>
  <si>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</si>
  <si>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</si>
  <si>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</si>
  <si>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</si>
  <si>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</si>
  <si>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</si>
  <si>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</si>
  <si>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</si>
  <si>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</si>
  <si>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</si>
  <si>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</si>
  <si>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</si>
  <si>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</si>
  <si>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</si>
  <si>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</si>
  <si>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</si>
  <si>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</si>
  <si>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</si>
  <si>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</si>
  <si>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</si>
  <si>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</si>
  <si>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</si>
  <si>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</si>
  <si>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</si>
  <si>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</si>
  <si>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</si>
  <si>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</si>
  <si>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</si>
  <si>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</si>
  <si>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</si>
  <si>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</si>
  <si>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</si>
  <si>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</si>
  <si>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</si>
  <si>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</si>
  <si>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</si>
  <si>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</si>
  <si>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</si>
  <si>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</si>
  <si>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</si>
  <si>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</si>
  <si>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</si>
  <si>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</si>
  <si>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</si>
  <si>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</si>
  <si>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</si>
  <si>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</si>
  <si>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</si>
  <si>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</si>
  <si>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</si>
  <si>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</si>
  <si>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</si>
  <si>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</si>
  <si>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</si>
  <si>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</si>
  <si>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</si>
  <si>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</si>
  <si>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</si>
  <si>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</si>
  <si>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</si>
  <si>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</si>
  <si>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</si>
  <si>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</si>
  <si>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</si>
  <si>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</si>
  <si>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</si>
  <si>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</si>
  <si>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</si>
  <si>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</si>
  <si>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</si>
  <si>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</si>
  <si>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</si>
  <si>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</si>
  <si>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</si>
  <si>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</si>
  <si>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</si>
  <si>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</si>
  <si>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</si>
  <si>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</si>
  <si>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</si>
  <si>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</si>
  <si>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</si>
  <si>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</si>
  <si>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</si>
  <si>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</si>
  <si>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</si>
  <si>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</si>
  <si>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</si>
  <si>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</si>
  <si>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</si>
  <si>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</si>
  <si>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</si>
  <si>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</si>
  <si>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</si>
  <si>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</si>
  <si>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</si>
  <si>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</si>
  <si>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</si>
  <si>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</si>
  <si>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</si>
  <si>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</si>
  <si>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</si>
  <si>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</si>
  <si>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</si>
  <si>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</si>
  <si>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</si>
  <si>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</si>
  <si>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</si>
  <si>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</si>
  <si>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</si>
  <si>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</si>
  <si>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</si>
  <si>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</si>
  <si>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</si>
  <si>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</si>
  <si>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</si>
  <si>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</si>
  <si>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</si>
  <si>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</si>
  <si>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</si>
  <si>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</si>
  <si>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</si>
  <si>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</si>
  <si>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</si>
  <si>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</si>
  <si>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</si>
  <si>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</si>
  <si>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</si>
  <si>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</si>
  <si>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</si>
  <si>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</si>
  <si>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</si>
  <si>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</si>
  <si>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</si>
  <si>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</si>
  <si>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</si>
  <si>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</si>
  <si>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</si>
  <si>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</si>
  <si>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</si>
  <si>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</si>
  <si>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</si>
  <si>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</si>
  <si>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</si>
  <si>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</si>
  <si>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</si>
  <si>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</si>
  <si>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</si>
  <si>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</si>
  <si>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</si>
  <si>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</si>
  <si>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</si>
  <si>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</si>
  <si>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</si>
  <si>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</si>
  <si>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</si>
  <si>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</si>
  <si>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</si>
  <si>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</si>
  <si>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</si>
  <si>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</si>
  <si>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</si>
  <si>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</si>
  <si>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</si>
  <si>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</si>
  <si>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</si>
  <si>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</si>
  <si>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</si>
  <si>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</si>
  <si>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</si>
  <si>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</si>
  <si>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</si>
  <si>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</si>
  <si>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</si>
  <si>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</si>
  <si>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</si>
  <si>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</si>
  <si>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</si>
  <si>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</si>
  <si>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</si>
  <si>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</si>
  <si>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</si>
  <si>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</si>
  <si>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</si>
  <si>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</si>
  <si>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</si>
  <si>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</si>
  <si>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</si>
  <si>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</si>
  <si>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</si>
  <si>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</si>
  <si>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</si>
  <si>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</si>
  <si>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</si>
  <si>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</si>
  <si>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</si>
  <si>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</si>
  <si>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</si>
  <si>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</si>
  <si>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</si>
  <si>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</si>
  <si>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</si>
  <si>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</si>
  <si>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</si>
  <si>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</si>
  <si>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</si>
  <si>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</si>
  <si>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</si>
  <si>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</si>
  <si>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</si>
  <si>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</si>
  <si>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</si>
  <si>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</si>
  <si>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</si>
  <si>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</si>
  <si>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</si>
  <si>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</si>
  <si>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</si>
  <si>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</si>
  <si>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</si>
  <si>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</si>
  <si>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</si>
  <si>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</si>
  <si>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</si>
  <si>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</si>
  <si>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</si>
  <si>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</si>
  <si>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</si>
  <si>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</si>
  <si>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</si>
  <si>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</si>
  <si>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</si>
  <si>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</si>
  <si>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</si>
  <si>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</si>
  <si>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</si>
  <si>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</si>
  <si>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</si>
  <si>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</si>
  <si>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</si>
  <si>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</si>
  <si>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</si>
  <si>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</si>
  <si>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</si>
  <si>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</si>
  <si>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</si>
  <si>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</si>
  <si>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</si>
  <si>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</si>
  <si>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</si>
  <si>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</si>
  <si>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</si>
  <si>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</si>
  <si>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</si>
  <si>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</si>
  <si>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</si>
  <si>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</si>
  <si>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</si>
  <si>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</si>
  <si>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</si>
  <si>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</si>
  <si>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</si>
  <si>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</si>
  <si>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</si>
  <si>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</si>
  <si>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</si>
  <si>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</si>
  <si>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</si>
  <si>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</si>
  <si>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</si>
  <si>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</si>
  <si>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</si>
  <si>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</si>
  <si>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</si>
  <si>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</si>
  <si>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</si>
  <si>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</si>
  <si>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</si>
  <si>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</si>
  <si>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</si>
  <si>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</si>
  <si>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</si>
  <si>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</si>
  <si>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</si>
  <si>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</si>
  <si>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</si>
  <si>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</si>
  <si>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</si>
  <si>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</si>
  <si>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</si>
  <si>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</si>
  <si>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</si>
  <si>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</si>
  <si>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</si>
  <si>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</si>
  <si>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</si>
  <si>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</si>
  <si>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</si>
  <si>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</si>
  <si>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</si>
  <si>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</si>
  <si>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</si>
  <si>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</si>
  <si>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</si>
  <si>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</si>
  <si>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</si>
  <si>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</si>
  <si>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</si>
  <si>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</si>
  <si>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</si>
  <si>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</si>
  <si>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</si>
  <si>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</si>
  <si>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</si>
  <si>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</si>
  <si>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</si>
  <si>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</si>
  <si>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</si>
  <si>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</si>
  <si>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</si>
  <si>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</si>
  <si>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</si>
  <si>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</si>
  <si>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</si>
  <si>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</si>
  <si>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</si>
  <si>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</si>
  <si>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</si>
  <si>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</si>
  <si>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</si>
  <si>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</si>
  <si>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</si>
  <si>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</si>
  <si>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</si>
  <si>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</si>
  <si>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</si>
  <si>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</si>
  <si>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</si>
  <si>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</si>
  <si>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</si>
  <si>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</si>
  <si>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</si>
  <si>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</si>
  <si>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</si>
  <si>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</si>
  <si>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</si>
  <si>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</si>
  <si>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</si>
  <si>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</si>
  <si>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</si>
  <si>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</si>
  <si>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</si>
  <si>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</si>
  <si>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</si>
  <si>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</si>
  <si>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</si>
  <si>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</si>
  <si>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</si>
  <si>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</si>
  <si>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</si>
  <si>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</si>
  <si>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</si>
  <si>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</si>
  <si>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</si>
  <si>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</si>
  <si>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</si>
  <si>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</si>
  <si>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</si>
  <si>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</si>
  <si>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</si>
  <si>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</si>
  <si>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</si>
  <si>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</si>
  <si>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</si>
  <si>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</si>
  <si>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</si>
  <si>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</si>
  <si>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</si>
  <si>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</si>
  <si>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</si>
  <si>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</si>
  <si>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</si>
  <si>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</si>
  <si>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</si>
  <si>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</si>
  <si>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</si>
  <si>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</si>
  <si>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</si>
  <si>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</si>
  <si>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</si>
  <si>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</si>
  <si>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</si>
  <si>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</si>
  <si>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</si>
  <si>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</si>
  <si>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</si>
  <si>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</si>
  <si>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</si>
  <si>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</si>
  <si>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</si>
  <si>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</si>
  <si>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</si>
  <si>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</si>
  <si>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</si>
  <si>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</si>
  <si>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</si>
  <si>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</si>
  <si>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</si>
  <si>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</si>
  <si>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</si>
  <si>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</si>
  <si>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</si>
  <si>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</si>
  <si>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</si>
  <si>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</si>
  <si>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</si>
  <si>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</si>
  <si>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</si>
  <si>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</si>
  <si>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</si>
  <si>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</si>
  <si>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</si>
  <si>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</si>
  <si>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</si>
  <si>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</si>
  <si>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</si>
  <si>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</si>
  <si>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</si>
  <si>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</si>
  <si>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</si>
  <si>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</si>
  <si>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</si>
  <si>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</si>
  <si>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</si>
  <si>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</si>
  <si>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</si>
  <si>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</si>
  <si>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</si>
  <si>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</si>
  <si>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</si>
  <si>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</si>
  <si>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</si>
  <si>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</si>
  <si>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</si>
  <si>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</si>
  <si>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</si>
  <si>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</si>
  <si>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</si>
  <si>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</si>
  <si>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</si>
  <si>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</si>
  <si>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</si>
  <si>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</si>
  <si>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</si>
  <si>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</si>
  <si>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</si>
  <si>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</si>
  <si>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</si>
  <si>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</si>
  <si>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</si>
  <si>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</si>
  <si>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</si>
  <si>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</si>
  <si>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</si>
  <si>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</si>
  <si>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</si>
  <si>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</si>
  <si>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</si>
  <si>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</si>
  <si>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</si>
  <si>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</si>
  <si>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</si>
  <si>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</si>
  <si>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</si>
  <si>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</si>
  <si>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</si>
  <si>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</si>
  <si>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</si>
  <si>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</si>
  <si>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</si>
  <si>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</si>
  <si>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</si>
  <si>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</si>
  <si>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</si>
  <si>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</si>
  <si>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</si>
  <si>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</si>
  <si>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</si>
  <si>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</si>
  <si>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</si>
  <si>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</si>
  <si>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</si>
  <si>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</si>
  <si>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</si>
  <si>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</si>
  <si>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</si>
  <si>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</si>
  <si>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</si>
  <si>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</si>
  <si>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</si>
  <si>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</si>
  <si>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</si>
  <si>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</si>
  <si>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</si>
  <si>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</si>
  <si>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</si>
  <si>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</si>
  <si>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</si>
  <si>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</si>
  <si>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</si>
  <si>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</si>
  <si>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</si>
  <si>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</si>
  <si>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</si>
  <si>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</si>
  <si>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</si>
  <si>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</si>
  <si>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</si>
  <si>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</si>
  <si>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</si>
  <si>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</si>
  <si>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</si>
  <si>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</si>
  <si>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</si>
  <si>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</si>
  <si>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</si>
  <si>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</si>
  <si>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</si>
  <si>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</si>
  <si>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</si>
  <si>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</si>
  <si>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</si>
  <si>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</si>
  <si>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</si>
  <si>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</si>
  <si>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</si>
  <si>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</si>
  <si>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</si>
  <si>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</si>
  <si>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</si>
  <si>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</si>
  <si>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</si>
  <si>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</si>
  <si>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</si>
  <si>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</si>
  <si>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</si>
  <si>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</si>
  <si>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</si>
  <si>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</si>
  <si>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</si>
  <si>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</si>
  <si>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</si>
  <si>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</si>
  <si>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</si>
  <si>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</si>
  <si>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</si>
  <si>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</si>
  <si>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</si>
  <si>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</si>
  <si>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</si>
  <si>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</si>
  <si>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</si>
  <si>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</si>
  <si>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</si>
  <si>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</si>
  <si>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</si>
  <si>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</si>
  <si>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</si>
  <si>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</si>
  <si>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</si>
  <si>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</si>
  <si>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</si>
  <si>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</si>
  <si>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</si>
  <si>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</si>
  <si>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</si>
  <si>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</si>
  <si>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</si>
  <si>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</si>
  <si>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</si>
  <si>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</si>
  <si>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</si>
  <si>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</si>
  <si>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</si>
  <si>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</si>
  <si>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</si>
  <si>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</si>
  <si>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</si>
  <si>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</si>
  <si>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</si>
  <si>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</si>
  <si>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</si>
  <si>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</si>
  <si>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</si>
  <si>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</si>
  <si>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</si>
  <si>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</si>
  <si>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</si>
  <si>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</si>
  <si>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</si>
  <si>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</si>
  <si>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</si>
  <si>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</si>
  <si>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</si>
  <si>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</si>
  <si>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</si>
  <si>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</si>
  <si>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</si>
  <si>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</si>
  <si>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</si>
  <si>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</si>
  <si>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</si>
  <si>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</si>
  <si>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</si>
  <si>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</si>
  <si>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</si>
  <si>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</si>
  <si>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</si>
  <si>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</si>
  <si>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</si>
  <si>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</si>
  <si>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</si>
  <si>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</si>
  <si>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</si>
  <si>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</si>
  <si>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</si>
  <si>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</si>
  <si>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</si>
  <si>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</si>
  <si>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</si>
  <si>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</si>
  <si>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</si>
  <si>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</si>
  <si>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</si>
  <si>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</si>
  <si>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</si>
  <si>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</si>
  <si>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</si>
  <si>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</si>
  <si>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</si>
  <si>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</si>
  <si>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</si>
  <si>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</si>
  <si>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</si>
  <si>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</si>
  <si>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</si>
  <si>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</si>
  <si>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</si>
  <si>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</si>
  <si>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</si>
  <si>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</si>
  <si>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</si>
  <si>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</si>
  <si>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</si>
  <si>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</si>
  <si>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</si>
  <si>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</si>
  <si>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</si>
  <si>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</si>
  <si>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</si>
  <si>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</si>
  <si>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</si>
  <si>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</si>
  <si>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</si>
  <si>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</si>
  <si>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</si>
  <si>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</si>
  <si>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</si>
  <si>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</si>
  <si>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</si>
  <si>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</si>
  <si>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</si>
  <si>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</si>
  <si>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</si>
  <si>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</si>
  <si>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</si>
  <si>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</si>
  <si>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</si>
  <si>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</si>
  <si>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</si>
  <si>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</si>
  <si>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</si>
  <si>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</si>
  <si>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</si>
  <si>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</si>
  <si>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</si>
  <si>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</si>
  <si>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</si>
  <si>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</si>
  <si>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</si>
  <si>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</si>
  <si>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</si>
  <si>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</si>
  <si>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</si>
  <si>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</si>
  <si>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</si>
  <si>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</si>
  <si>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</si>
  <si>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</si>
  <si>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</si>
  <si>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</si>
  <si>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</si>
  <si>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</si>
  <si>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</si>
  <si>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</si>
  <si>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</si>
  <si>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</si>
  <si>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</si>
  <si>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</si>
  <si>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</si>
  <si>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</si>
  <si>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</si>
  <si>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</si>
  <si>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</si>
  <si>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</si>
  <si>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</si>
  <si>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</si>
  <si>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</si>
  <si>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</si>
  <si>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</si>
  <si>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</si>
  <si>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</si>
  <si>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</si>
  <si>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</si>
  <si>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</si>
  <si>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</si>
  <si>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</si>
  <si>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</si>
  <si>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</si>
  <si>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</si>
  <si>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</si>
  <si>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</si>
  <si>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</si>
  <si>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</si>
  <si>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</si>
  <si>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</si>
  <si>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</si>
  <si>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</si>
  <si>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</si>
  <si>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</si>
  <si>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</si>
  <si>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</si>
  <si>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</si>
  <si>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</si>
  <si>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</si>
  <si>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</si>
  <si>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</si>
  <si>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</si>
  <si>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</si>
  <si>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</si>
  <si>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</si>
  <si>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</si>
  <si>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</si>
  <si>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</si>
  <si>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</si>
  <si>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</si>
  <si>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</si>
  <si>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</si>
  <si>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</si>
  <si>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</si>
  <si>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</si>
  <si>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</si>
  <si>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</si>
  <si>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</si>
  <si>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</si>
  <si>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</si>
  <si>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</si>
  <si>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</si>
  <si>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</si>
  <si>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</si>
  <si>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</si>
  <si>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</si>
  <si>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</si>
  <si>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</si>
  <si>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</si>
  <si>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</si>
  <si>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</si>
  <si>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</si>
  <si>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</si>
  <si>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</si>
  <si>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</si>
  <si>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</si>
  <si>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</si>
  <si>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</si>
  <si>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</si>
  <si>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</si>
  <si>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</si>
  <si>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</si>
  <si>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</si>
  <si>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</si>
  <si>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</si>
  <si>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</si>
  <si>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</si>
  <si>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</si>
  <si>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</si>
  <si>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</si>
  <si>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</si>
  <si>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</si>
  <si>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</si>
  <si>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</si>
  <si>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</si>
  <si>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</si>
  <si>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</si>
  <si>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</si>
  <si>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</si>
  <si>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</si>
  <si>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</si>
  <si>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</si>
  <si>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</si>
  <si>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</si>
  <si>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</si>
  <si>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</si>
  <si>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</si>
  <si>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</si>
  <si>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</si>
  <si>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</si>
  <si>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</si>
  <si>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</si>
  <si>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</si>
  <si>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</si>
  <si>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</si>
  <si>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</si>
  <si>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</si>
  <si>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</si>
  <si>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</si>
  <si>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</si>
  <si>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</si>
  <si>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</si>
  <si>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</si>
  <si>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</si>
  <si>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</si>
  <si>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</si>
  <si>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</si>
  <si>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</si>
  <si>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</si>
  <si>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</si>
  <si>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</si>
  <si>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</si>
  <si>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</si>
  <si>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</si>
  <si>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</si>
  <si>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</si>
  <si>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</si>
  <si>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</si>
  <si>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</si>
  <si>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</si>
  <si>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</si>
  <si>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</si>
  <si>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</si>
  <si>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</si>
  <si>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</si>
  <si>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</si>
  <si>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</si>
  <si>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</si>
  <si>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</si>
  <si>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</si>
  <si>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</si>
  <si>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</si>
  <si>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</si>
  <si>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</si>
  <si>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</si>
  <si>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</si>
  <si>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</si>
  <si>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</si>
  <si>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</si>
  <si>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</si>
  <si>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</si>
  <si>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</si>
  <si>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</si>
  <si>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</si>
  <si>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</si>
  <si>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</si>
  <si>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</si>
  <si>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</si>
  <si>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</si>
  <si>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</si>
  <si>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</si>
  <si>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</si>
  <si>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</si>
  <si>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</si>
  <si>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</si>
  <si>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</si>
  <si>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</si>
  <si>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</si>
  <si>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</si>
  <si>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</si>
  <si>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</si>
  <si>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</si>
  <si>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</si>
  <si>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</si>
  <si>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</si>
  <si>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</si>
  <si>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</si>
  <si>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</si>
  <si>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</si>
  <si>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</si>
  <si>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</si>
  <si>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</si>
  <si>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</si>
  <si>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</si>
  <si>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</si>
  <si>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</si>
  <si>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</si>
  <si>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</si>
  <si>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</si>
  <si>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</si>
  <si>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</si>
  <si>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</si>
  <si>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</si>
  <si>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</si>
  <si>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</si>
  <si>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</si>
  <si>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</si>
  <si>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</si>
  <si>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</si>
  <si>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</si>
  <si>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</si>
  <si>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</si>
  <si>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</si>
  <si>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</si>
  <si>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</si>
  <si>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</si>
  <si>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</si>
  <si>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</si>
  <si>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</si>
  <si>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</si>
  <si>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</si>
  <si>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</si>
  <si>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</si>
  <si>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</si>
  <si>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</si>
  <si>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</si>
  <si>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</si>
  <si>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</si>
  <si>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</si>
  <si>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</si>
  <si>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</si>
  <si>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</si>
  <si>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</si>
  <si>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</si>
  <si>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</si>
  <si>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</si>
  <si>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</si>
  <si>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</si>
  <si>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</si>
  <si>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</si>
  <si>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</si>
  <si>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</si>
  <si>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</si>
  <si>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</si>
  <si>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</si>
  <si>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</si>
  <si>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</si>
  <si>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</si>
  <si>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</si>
  <si>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</si>
  <si>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</si>
  <si>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</si>
  <si>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</si>
  <si>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</si>
  <si>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</si>
  <si>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</si>
  <si>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</si>
  <si>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</si>
  <si>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</si>
  <si>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</si>
  <si>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</si>
  <si>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</si>
  <si>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</si>
  <si>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</si>
  <si>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</si>
  <si>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</si>
  <si>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</si>
  <si>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</si>
  <si>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</si>
  <si>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</si>
  <si>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</si>
  <si>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</si>
  <si>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</si>
  <si>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</si>
  <si>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</si>
  <si>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</si>
  <si>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</si>
  <si>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</si>
  <si>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</si>
  <si>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</si>
  <si>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</si>
  <si>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</si>
  <si>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</si>
  <si>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</si>
  <si>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</si>
  <si>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</si>
  <si>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</si>
  <si>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</si>
  <si>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</si>
  <si>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</si>
  <si>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</si>
  <si>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</si>
  <si>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</si>
  <si>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</si>
  <si>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</si>
  <si>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</si>
  <si>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</si>
  <si>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</si>
  <si>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</si>
  <si>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</si>
  <si>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</si>
  <si>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</si>
  <si>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</si>
  <si>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</si>
  <si>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</si>
  <si>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</si>
  <si>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</si>
  <si>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</si>
  <si>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</si>
  <si>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</si>
  <si>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</si>
  <si>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</si>
  <si>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</si>
  <si>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</si>
  <si>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</si>
  <si>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</si>
  <si>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</si>
  <si>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</si>
  <si>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</si>
  <si>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</si>
  <si>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</si>
  <si>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</si>
  <si>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</si>
  <si>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</si>
  <si>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</si>
  <si>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</si>
  <si>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</si>
  <si>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</si>
  <si>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</si>
  <si>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</si>
  <si>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</si>
  <si>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</si>
  <si>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</si>
  <si>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</si>
  <si>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</si>
  <si>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</si>
  <si>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</si>
  <si>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</si>
  <si>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</si>
  <si>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</si>
  <si>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</si>
  <si>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</si>
  <si>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</si>
  <si>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</si>
  <si>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</si>
  <si>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</si>
  <si>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</si>
  <si>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</si>
  <si>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</si>
  <si>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</si>
  <si>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</si>
  <si>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</si>
  <si>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</si>
  <si>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</si>
  <si>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</si>
  <si>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</si>
  <si>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</si>
  <si>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</si>
  <si>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</si>
  <si>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</si>
  <si>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</si>
  <si>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</si>
  <si>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</si>
  <si>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</si>
  <si>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</si>
  <si>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</si>
  <si>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</si>
  <si>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</si>
  <si>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</si>
  <si>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</si>
  <si>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</si>
  <si>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</si>
  <si>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</si>
  <si>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</si>
  <si>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</si>
  <si>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</si>
  <si>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</si>
  <si>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</si>
  <si>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</si>
  <si>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</si>
  <si>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</si>
  <si>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</si>
  <si>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</si>
  <si>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</si>
  <si>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</si>
  <si>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</si>
  <si>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</si>
  <si>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</si>
  <si>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</si>
  <si>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</si>
  <si>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</si>
  <si>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</si>
  <si>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</si>
  <si>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</si>
  <si>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</si>
  <si>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</si>
  <si>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</si>
  <si>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</si>
  <si>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</si>
  <si>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</si>
  <si>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</si>
  <si>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</si>
  <si>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</si>
  <si>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</si>
  <si>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</si>
  <si>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</si>
  <si>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</si>
  <si>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</si>
  <si>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</si>
  <si>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</si>
  <si>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</si>
  <si>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</si>
  <si>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</si>
  <si>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</si>
  <si>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</si>
  <si>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</si>
  <si>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</si>
  <si>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</si>
  <si>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</si>
  <si>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</si>
  <si>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</si>
  <si>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</si>
  <si>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</si>
  <si>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</si>
  <si>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</si>
  <si>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</si>
  <si>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</si>
  <si>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</si>
  <si>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</si>
  <si>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</si>
  <si>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</si>
  <si>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</si>
  <si>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</si>
  <si>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</si>
  <si>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</si>
  <si>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</si>
  <si>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</si>
  <si>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</si>
  <si>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</si>
  <si>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</si>
  <si>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</si>
  <si>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</si>
  <si>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</si>
  <si>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</si>
  <si>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</si>
  <si>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</si>
  <si>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</si>
  <si>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</si>
  <si>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</si>
  <si>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</si>
  <si>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</si>
  <si>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</si>
  <si>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</si>
  <si>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</si>
  <si>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</si>
  <si>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</si>
  <si>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</si>
  <si>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</si>
  <si>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</si>
  <si>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</si>
  <si>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</si>
  <si>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</si>
  <si>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</si>
  <si>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</si>
  <si>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</si>
  <si>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</si>
  <si>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</si>
  <si>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</si>
  <si>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</si>
  <si>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</si>
  <si>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</si>
  <si>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</si>
  <si>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</si>
  <si>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</si>
  <si>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</si>
  <si>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</si>
  <si>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</si>
  <si>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</si>
  <si>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</si>
  <si>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</si>
  <si>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</si>
  <si>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</si>
  <si>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</si>
  <si>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</si>
  <si>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</si>
  <si>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</si>
  <si>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</si>
  <si>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</si>
  <si>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</si>
  <si>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</si>
  <si>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</si>
  <si>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</si>
  <si>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</si>
  <si>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</si>
  <si>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</si>
  <si>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</si>
  <si>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</si>
  <si>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</si>
  <si>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</si>
  <si>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</si>
  <si>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</si>
  <si>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</si>
  <si>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</si>
  <si>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</si>
  <si>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</si>
  <si>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</si>
  <si>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</si>
  <si>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</si>
  <si>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</si>
  <si>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</si>
  <si>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</si>
  <si>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</si>
  <si>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</si>
  <si>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</si>
  <si>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</si>
  <si>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</si>
  <si>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</si>
  <si>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</si>
  <si>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</si>
  <si>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</si>
  <si>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</si>
  <si>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</si>
  <si>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</si>
  <si>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</si>
  <si>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</si>
  <si>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</si>
  <si>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</si>
  <si>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</si>
  <si>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</si>
  <si>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</si>
  <si>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</si>
  <si>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</si>
  <si>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</si>
  <si>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</si>
  <si>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</si>
  <si>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</si>
  <si>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</si>
  <si>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</si>
  <si>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</si>
  <si>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</si>
  <si>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</si>
  <si>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</si>
  <si>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</si>
  <si>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</si>
  <si>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</si>
  <si>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</si>
  <si>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</si>
  <si>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</si>
  <si>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</si>
  <si>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</si>
  <si>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</si>
  <si>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</si>
  <si>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</si>
  <si>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</si>
  <si>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</si>
  <si>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</si>
  <si>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</si>
  <si>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</si>
  <si>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</si>
  <si>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</si>
  <si>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</si>
  <si>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</si>
  <si>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</si>
  <si>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</si>
  <si>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</si>
  <si>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</si>
  <si>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</si>
  <si>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</si>
  <si>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</si>
  <si>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</si>
  <si>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</si>
  <si>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</si>
  <si>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</si>
  <si>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</si>
  <si>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</si>
  <si>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</si>
  <si>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</si>
  <si>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</si>
  <si>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</si>
  <si>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</si>
  <si>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</si>
  <si>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</si>
  <si>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</si>
  <si>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</si>
  <si>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</si>
  <si>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</si>
  <si>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</si>
  <si>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</si>
  <si>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</si>
  <si>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</si>
  <si>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</si>
  <si>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</si>
  <si>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</si>
  <si>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</si>
  <si>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</si>
  <si>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</si>
  <si>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</si>
  <si>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</si>
  <si>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</si>
  <si>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</si>
  <si>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</si>
  <si>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</si>
  <si>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</si>
  <si>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</si>
  <si>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</si>
  <si>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</si>
  <si>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</si>
  <si>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</si>
  <si>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</si>
  <si>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</si>
  <si>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</si>
  <si>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</si>
  <si>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</si>
  <si>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</si>
  <si>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</si>
  <si>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</si>
  <si>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</si>
  <si>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</si>
  <si>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</si>
  <si>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</si>
  <si>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</si>
  <si>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</si>
  <si>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</si>
  <si>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</si>
  <si>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</si>
  <si>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</si>
  <si>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</si>
  <si>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</si>
  <si>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</si>
  <si>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</si>
  <si>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</si>
  <si>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</si>
  <si>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</si>
  <si>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</si>
  <si>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</si>
  <si>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</si>
  <si>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</si>
  <si>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</si>
  <si>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</si>
  <si>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</si>
  <si>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</si>
  <si>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</si>
  <si>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</si>
  <si>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</si>
  <si>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</si>
  <si>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</si>
  <si>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</si>
  <si>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</si>
  <si>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</si>
  <si>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</si>
  <si>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</si>
  <si>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</si>
  <si>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</si>
  <si>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</si>
  <si>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</si>
  <si>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</si>
  <si>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</si>
  <si>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</si>
  <si>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</si>
  <si>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</si>
  <si>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</si>
  <si>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</si>
  <si>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</si>
  <si>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</si>
  <si>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</si>
  <si>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</si>
  <si>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</si>
  <si>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</si>
  <si>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</si>
  <si>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</si>
  <si>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</si>
  <si>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</si>
  <si>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</si>
  <si>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</si>
  <si>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</si>
  <si>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</si>
  <si>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</si>
  <si>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</si>
  <si>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</si>
  <si>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</si>
  <si>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</si>
  <si>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</si>
  <si>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</si>
  <si>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</si>
  <si>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</si>
  <si>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</si>
  <si>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</si>
  <si>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</si>
  <si>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</si>
  <si>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</si>
  <si>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</si>
  <si>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</si>
  <si>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</si>
  <si>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</si>
  <si>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</si>
  <si>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</si>
  <si>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</si>
  <si>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</si>
  <si>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</si>
  <si>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</si>
  <si>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</si>
  <si>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</si>
  <si>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</si>
  <si>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</si>
  <si>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</si>
  <si>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</si>
  <si>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</si>
  <si>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</si>
  <si>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</si>
  <si>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</si>
  <si>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</si>
  <si>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</si>
  <si>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</si>
  <si>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</si>
  <si>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</si>
  <si>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</si>
  <si>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</si>
  <si>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</si>
  <si>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</si>
  <si>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</si>
  <si>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</si>
  <si>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</si>
  <si>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</si>
  <si>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</si>
  <si>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</si>
  <si>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</si>
  <si>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</si>
  <si>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</si>
  <si>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</si>
  <si>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</si>
  <si>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</si>
  <si>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</si>
  <si>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</si>
  <si>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</si>
  <si>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</si>
  <si>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</si>
  <si>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</si>
  <si>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</si>
  <si>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</si>
  <si>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</si>
  <si>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</si>
  <si>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</si>
  <si>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</si>
  <si>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</si>
  <si>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</si>
  <si>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</si>
  <si>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</si>
  <si>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</si>
  <si>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</si>
  <si>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</si>
  <si>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</si>
  <si>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</si>
  <si>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</si>
  <si>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</si>
  <si>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</si>
  <si>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</si>
  <si>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</si>
  <si>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</si>
  <si>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</si>
  <si>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</si>
  <si>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</si>
  <si>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</si>
  <si>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</si>
  <si>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</si>
  <si>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</si>
  <si>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</si>
  <si>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</si>
  <si>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</si>
  <si>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</si>
  <si>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</si>
  <si>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</si>
  <si>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</si>
  <si>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</si>
  <si>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</si>
  <si>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</si>
  <si>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</si>
  <si>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</si>
  <si>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</si>
  <si>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</si>
  <si>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</si>
  <si>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</si>
  <si>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</si>
  <si>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</si>
  <si>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</si>
  <si>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</si>
  <si>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</si>
  <si>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</si>
  <si>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</si>
  <si>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</si>
  <si>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</si>
  <si>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</si>
  <si>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</si>
  <si>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</si>
  <si>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</si>
  <si>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</si>
  <si>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</si>
  <si>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</si>
  <si>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</si>
  <si>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</si>
  <si>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</si>
  <si>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</si>
  <si>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</si>
  <si>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</si>
  <si>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</si>
  <si>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</si>
  <si>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</si>
  <si>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</si>
  <si>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</si>
  <si>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</si>
  <si>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</si>
  <si>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</si>
  <si>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</si>
  <si>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</si>
  <si>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</si>
  <si>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</si>
  <si>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</si>
  <si>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</si>
  <si>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</si>
  <si>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</si>
  <si>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</si>
  <si>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</si>
  <si>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</si>
  <si>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</si>
  <si>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</si>
  <si>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</si>
  <si>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</si>
  <si>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</si>
  <si>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</si>
  <si>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</si>
  <si>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</si>
  <si>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</si>
  <si>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</si>
  <si>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</si>
  <si>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</si>
  <si>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</si>
  <si>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</si>
  <si>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</si>
  <si>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</si>
  <si>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</si>
  <si>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</si>
  <si>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</si>
  <si>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</si>
  <si>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</si>
  <si>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</si>
  <si>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</si>
  <si>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</si>
  <si>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</si>
  <si>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</si>
  <si>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</si>
  <si>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</si>
  <si>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</si>
  <si>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</si>
  <si>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</si>
  <si>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</si>
  <si>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</si>
  <si>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</si>
  <si>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</si>
  <si>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</si>
  <si>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</si>
  <si>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</si>
  <si>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</si>
  <si>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</si>
  <si>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</si>
  <si>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</si>
  <si>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</si>
  <si>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</si>
  <si>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</si>
  <si>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</si>
  <si>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</si>
  <si>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</si>
  <si>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</si>
  <si>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</si>
  <si>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</si>
  <si>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</si>
  <si>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</si>
  <si>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</si>
  <si>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</si>
  <si>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</si>
  <si>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</si>
  <si>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</si>
  <si>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</si>
  <si>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</si>
  <si>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</si>
  <si>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</si>
  <si>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</si>
  <si>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</si>
  <si>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</si>
  <si>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</si>
  <si>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</si>
  <si>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</si>
  <si>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</si>
  <si>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</si>
  <si>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</si>
  <si>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</si>
  <si>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</si>
  <si>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</si>
  <si>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</si>
  <si>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</si>
  <si>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</si>
  <si>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</si>
  <si>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</si>
  <si>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</si>
  <si>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</si>
  <si>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</si>
  <si>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</si>
  <si>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</si>
  <si>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</si>
  <si>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</si>
  <si>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</si>
  <si>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</si>
  <si>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</si>
  <si>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</si>
  <si>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</si>
  <si>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</si>
  <si>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</si>
  <si>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</si>
  <si>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</si>
  <si>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</si>
  <si>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</si>
  <si>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</si>
  <si>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</si>
  <si>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</si>
  <si>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</si>
  <si>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</si>
  <si>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</si>
  <si>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</si>
  <si>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</si>
  <si>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</si>
  <si>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</si>
  <si>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</si>
  <si>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</si>
  <si>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</si>
  <si>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</si>
  <si>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</si>
  <si>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</si>
  <si>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</si>
  <si>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</si>
  <si>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</si>
  <si>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</si>
  <si>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</si>
  <si>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</si>
  <si>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</si>
  <si>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</si>
  <si>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</si>
  <si>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</si>
  <si>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</si>
  <si>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</si>
  <si>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</si>
  <si>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</si>
  <si>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</si>
  <si>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</si>
  <si>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</si>
  <si>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</si>
  <si>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</si>
  <si>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</si>
  <si>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</si>
  <si>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</si>
  <si>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</si>
  <si>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</si>
  <si>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</si>
  <si>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</si>
  <si>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</si>
  <si>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</si>
  <si>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</si>
  <si>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</si>
  <si>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</si>
  <si>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</si>
  <si>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</si>
  <si>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</si>
  <si>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</si>
  <si>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</si>
  <si>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</si>
  <si>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</si>
  <si>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</si>
  <si>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</si>
  <si>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</si>
  <si>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</si>
  <si>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</si>
  <si>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</si>
  <si>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</si>
  <si>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</si>
  <si>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</si>
  <si>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</si>
  <si>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</si>
  <si>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</si>
  <si>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</si>
  <si>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</si>
  <si>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</si>
  <si>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</si>
  <si>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</si>
  <si>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</si>
  <si>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</si>
  <si>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</si>
  <si>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</si>
  <si>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</si>
  <si>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</si>
  <si>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</si>
  <si>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</si>
  <si>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</si>
  <si>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</si>
  <si>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</si>
  <si>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</si>
  <si>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</si>
  <si>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</si>
  <si>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</si>
  <si>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</si>
  <si>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</si>
  <si>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</si>
  <si>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</si>
  <si>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</si>
  <si>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</si>
  <si>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</si>
  <si>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</si>
  <si>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</si>
  <si>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</si>
  <si>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</si>
  <si>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</si>
  <si>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</si>
  <si>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</si>
  <si>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</si>
  <si>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</si>
  <si>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</si>
  <si>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</si>
  <si>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</si>
  <si>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</si>
  <si>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</si>
  <si>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</si>
  <si>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</si>
  <si>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</si>
  <si>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</si>
  <si>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</si>
  <si>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</si>
  <si>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</si>
  <si>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</si>
  <si>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</si>
  <si>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</si>
  <si>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</si>
  <si>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</si>
  <si>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</si>
  <si>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</si>
  <si>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</si>
  <si>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</si>
  <si>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</si>
  <si>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</si>
  <si>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</si>
  <si>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</si>
  <si>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</si>
  <si>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</si>
  <si>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</si>
  <si>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</si>
  <si>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</si>
  <si>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</si>
  <si>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</si>
  <si>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</si>
  <si>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</si>
  <si>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</si>
  <si>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</si>
  <si>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</si>
  <si>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</si>
  <si>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</si>
  <si>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</si>
  <si>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</si>
  <si>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</si>
  <si>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</si>
  <si>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</si>
  <si>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</si>
  <si>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</si>
  <si>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</si>
  <si>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</si>
  <si>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</si>
  <si>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</si>
  <si>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</si>
  <si>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</si>
  <si>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</si>
  <si>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</si>
  <si>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</si>
  <si>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</si>
  <si>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</si>
  <si>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</si>
  <si>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</si>
  <si>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</si>
  <si>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</si>
  <si>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</si>
  <si>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</si>
  <si>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</si>
  <si>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</si>
  <si>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</si>
  <si>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</si>
  <si>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</si>
  <si>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</si>
  <si>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</si>
  <si>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</si>
  <si>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</si>
  <si>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</si>
  <si>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</si>
  <si>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</si>
  <si>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</si>
  <si>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</si>
  <si>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</si>
  <si>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</si>
  <si>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</si>
  <si>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</si>
  <si>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</si>
  <si>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</si>
  <si>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</si>
  <si>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</si>
  <si>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</si>
  <si>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</si>
  <si>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</si>
  <si>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</si>
  <si>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</si>
  <si>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</si>
  <si>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</si>
  <si>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</si>
  <si>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</si>
  <si>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</si>
  <si>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</si>
  <si>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</si>
  <si>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</si>
  <si>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</si>
  <si>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</si>
  <si>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</si>
  <si>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</si>
  <si>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</si>
  <si>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</si>
  <si>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</si>
  <si>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</si>
  <si>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</si>
  <si>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</si>
  <si>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</si>
  <si>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</si>
  <si>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</si>
  <si>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</si>
  <si>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</si>
  <si>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</si>
  <si>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</si>
  <si>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</si>
  <si>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</si>
  <si>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</si>
  <si>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</si>
  <si>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</si>
  <si>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</si>
  <si>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</si>
  <si>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</si>
  <si>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</si>
  <si>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</si>
  <si>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</si>
  <si>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</si>
  <si>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</si>
  <si>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</si>
  <si>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</si>
  <si>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</si>
  <si>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</si>
  <si>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</si>
  <si>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</si>
  <si>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</si>
  <si>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</si>
  <si>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</si>
  <si>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</si>
  <si>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</si>
  <si>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</si>
  <si>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</si>
  <si>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</si>
  <si>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</si>
  <si>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</si>
  <si>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</si>
  <si>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</si>
  <si>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</si>
  <si>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</si>
  <si>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</si>
  <si>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</si>
  <si>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</si>
  <si>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</si>
  <si>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</si>
  <si>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</si>
  <si>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</si>
  <si>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</si>
  <si>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</si>
  <si>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</si>
  <si>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</si>
  <si>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</si>
  <si>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</si>
  <si>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</si>
  <si>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</si>
  <si>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</si>
  <si>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</si>
  <si>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</si>
  <si>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</si>
  <si>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</si>
  <si>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</si>
  <si>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</si>
  <si>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</si>
  <si>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</si>
  <si>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</si>
  <si>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</si>
  <si>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</si>
  <si>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</si>
  <si>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</si>
  <si>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</si>
  <si>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</si>
  <si>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</si>
  <si>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</si>
  <si>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</si>
  <si>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</si>
  <si>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</si>
  <si>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</si>
  <si>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</si>
  <si>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</si>
  <si>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</si>
  <si>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</si>
  <si>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</si>
  <si>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</si>
  <si>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</si>
  <si>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</si>
  <si>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</si>
  <si>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</si>
  <si>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</si>
  <si>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</si>
  <si>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</si>
  <si>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</si>
  <si>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</si>
  <si>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</si>
  <si>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</si>
  <si>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</si>
  <si>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</si>
  <si>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</si>
  <si>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</si>
  <si>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</si>
  <si>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</si>
  <si>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</si>
  <si>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</si>
  <si>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</si>
  <si>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</si>
  <si>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</si>
  <si>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</si>
  <si>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</si>
  <si>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</si>
  <si>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</si>
  <si>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</si>
  <si>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</si>
  <si>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</si>
  <si>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</si>
  <si>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</si>
  <si>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</si>
  <si>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</si>
  <si>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</si>
  <si>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</si>
  <si>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</si>
  <si>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</si>
  <si>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</si>
  <si>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</si>
  <si>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</si>
  <si>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</si>
  <si>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</si>
  <si>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</si>
  <si>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</si>
  <si>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</si>
  <si>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</si>
  <si>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</si>
  <si>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</si>
  <si>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</si>
  <si>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</si>
  <si>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</si>
  <si>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</si>
  <si>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</si>
  <si>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</si>
  <si>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</si>
  <si>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</si>
  <si>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</si>
  <si>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</si>
  <si>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</si>
  <si>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</si>
  <si>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</si>
  <si>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</si>
  <si>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</si>
  <si>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</si>
  <si>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</si>
  <si>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</si>
  <si>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</si>
  <si>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</si>
  <si>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</si>
  <si>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</si>
  <si>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</si>
  <si>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</si>
  <si>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</si>
  <si>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</si>
  <si>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</si>
  <si>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</si>
  <si>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</si>
  <si>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</si>
  <si>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</si>
  <si>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</si>
  <si>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</si>
  <si>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</si>
  <si>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</si>
  <si>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</si>
  <si>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</si>
  <si>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</si>
  <si>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</si>
  <si>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</si>
  <si>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</si>
  <si>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</si>
  <si>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</si>
  <si>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</si>
  <si>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</si>
  <si>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</si>
  <si>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</si>
  <si>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</si>
  <si>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</si>
  <si>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</si>
  <si>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</si>
  <si>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Table Control</t>
  </si>
  <si>
    <t>746999</t>
  </si>
  <si>
    <t>747301</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</si>
  <si>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</si>
  <si>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</si>
  <si>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</si>
  <si>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</si>
  <si>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</si>
  <si>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</si>
  <si>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</si>
  <si>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</si>
  <si>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</si>
  <si>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</si>
  <si>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</si>
  <si>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</si>
  <si>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</si>
  <si>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</si>
  <si>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</si>
  <si>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</si>
  <si>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</si>
  <si>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</si>
  <si>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</si>
  <si>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</si>
  <si>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</si>
  <si>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</si>
  <si>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</si>
  <si>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</si>
  <si>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</si>
  <si>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</si>
  <si>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</si>
  <si>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</si>
  <si>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</si>
  <si>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</si>
  <si>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</si>
  <si>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</si>
  <si>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</si>
  <si>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</si>
  <si>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</si>
  <si>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</si>
  <si>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</si>
  <si>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</si>
  <si>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</si>
  <si>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</si>
  <si>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</si>
  <si>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</si>
  <si>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</si>
  <si>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</si>
  <si>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</si>
  <si>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</si>
  <si>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</si>
  <si>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</si>
  <si>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</si>
  <si>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</si>
  <si>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</si>
  <si>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</si>
  <si>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</si>
  <si>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</si>
  <si>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</si>
  <si>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</si>
  <si>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</si>
  <si>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</si>
  <si>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</si>
  <si>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</si>
  <si>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</si>
  <si>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</si>
  <si>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</si>
  <si>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</si>
  <si>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</si>
  <si>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</si>
  <si>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</si>
  <si>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</si>
  <si>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</si>
  <si>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</si>
  <si>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</si>
  <si>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</si>
  <si>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</si>
  <si>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</si>
  <si>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</si>
  <si>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</si>
  <si>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</si>
  <si>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</si>
  <si>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</si>
  <si>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</si>
  <si>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</si>
  <si>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</si>
  <si>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</si>
  <si>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</si>
  <si>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</si>
  <si>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</si>
  <si>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</si>
  <si>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</si>
  <si>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</si>
  <si>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</si>
  <si>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</si>
  <si>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</si>
  <si>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</si>
  <si>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</si>
  <si>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</si>
  <si>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</si>
  <si>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</si>
  <si>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</si>
  <si>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</si>
  <si>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</si>
  <si>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</si>
  <si>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</si>
  <si>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</si>
  <si>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</si>
  <si>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</si>
  <si>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</si>
  <si>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</si>
  <si>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</si>
  <si>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</si>
  <si>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</si>
  <si>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</si>
  <si>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</si>
  <si>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</si>
  <si>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</si>
  <si>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</si>
  <si>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</si>
  <si>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</si>
  <si>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</si>
  <si>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</si>
  <si>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</si>
  <si>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</si>
  <si>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</si>
  <si>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</si>
  <si>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</si>
  <si>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</si>
  <si>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</si>
  <si>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</si>
  <si>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</si>
  <si>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</si>
  <si>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</si>
  <si>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</si>
  <si>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</si>
  <si>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</si>
  <si>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</si>
  <si>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</si>
  <si>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</si>
  <si>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</si>
  <si>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</si>
  <si>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</si>
  <si>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</si>
  <si>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</si>
  <si>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</si>
  <si>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</si>
  <si>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</si>
  <si>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</si>
  <si>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</si>
  <si>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</si>
  <si>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</si>
  <si>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</si>
  <si>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</si>
  <si>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</si>
  <si>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</si>
  <si>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</si>
  <si>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</si>
  <si>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</si>
  <si>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</si>
  <si>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</si>
  <si>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</si>
  <si>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</si>
  <si>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</si>
  <si>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</si>
  <si>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</si>
  <si>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</si>
  <si>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</si>
  <si>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</si>
  <si>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</si>
  <si>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</si>
  <si>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</si>
  <si>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</si>
  <si>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</si>
  <si>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</si>
  <si>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</si>
  <si>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</si>
  <si>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</si>
  <si>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</si>
  <si>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</si>
  <si>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</si>
  <si>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</si>
  <si>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</si>
  <si>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</si>
  <si>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</si>
  <si>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</si>
  <si>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</si>
  <si>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</si>
  <si>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</si>
  <si>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</si>
  <si>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</si>
  <si>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</si>
  <si>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</si>
  <si>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</si>
  <si>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</si>
  <si>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</si>
  <si>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</si>
  <si>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</si>
  <si>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</si>
  <si>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</si>
  <si>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</si>
  <si>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</si>
  <si>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</si>
  <si>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</si>
  <si>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</si>
  <si>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</si>
  <si>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</si>
  <si>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</si>
  <si>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</si>
  <si>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</si>
  <si>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</si>
  <si>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</si>
  <si>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</si>
  <si>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</si>
  <si>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</si>
  <si>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</si>
  <si>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</si>
  <si>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</si>
  <si>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</si>
  <si>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</si>
  <si>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</si>
  <si>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</si>
  <si>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</si>
  <si>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</si>
  <si>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</si>
  <si>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</si>
  <si>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</si>
  <si>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</si>
  <si>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</si>
  <si>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</si>
  <si>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</si>
  <si>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</si>
  <si>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</si>
  <si>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</si>
  <si>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</si>
  <si>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</si>
  <si>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</si>
  <si>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</si>
  <si>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</si>
  <si>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</si>
  <si>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</si>
  <si>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</si>
  <si>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</si>
  <si>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</si>
  <si>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</si>
  <si>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</si>
  <si>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</si>
  <si>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</si>
  <si>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</si>
  <si>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</si>
  <si>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</si>
  <si>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</si>
  <si>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</si>
  <si>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</si>
  <si>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</si>
  <si>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</si>
  <si>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</si>
  <si>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</si>
  <si>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</si>
  <si>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</si>
  <si>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</si>
  <si>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</si>
  <si>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</si>
  <si>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</si>
  <si>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</si>
  <si>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</si>
  <si>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</si>
  <si>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</si>
  <si>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</si>
  <si>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</si>
  <si>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</si>
  <si>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</si>
  <si>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</si>
  <si>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</si>
  <si>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</si>
  <si>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</si>
  <si>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</si>
  <si>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</si>
  <si>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</si>
  <si>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</si>
  <si>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</si>
  <si>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</si>
  <si>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</si>
  <si>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</si>
  <si>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</si>
  <si>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</si>
  <si>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</si>
  <si>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</si>
  <si>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</si>
  <si>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</si>
  <si>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</si>
  <si>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</si>
  <si>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</si>
  <si>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</si>
  <si>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</si>
  <si>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</si>
  <si>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</si>
  <si>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</si>
  <si>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</si>
  <si>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</si>
  <si>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</si>
  <si>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</si>
  <si>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</si>
  <si>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</si>
  <si>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</si>
  <si>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</si>
  <si>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</si>
  <si>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</si>
  <si>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</si>
  <si>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r>
      <rPr>
        <sz val="10"/>
        <color theme="1"/>
        <rFont val="Arial"/>
        <family val="2"/>
      </rPr>
      <t xml:space="preserve">Wildcards * and ? May be used
</t>
    </r>
    <r>
      <rPr>
        <sz val="11"/>
        <color theme="1"/>
        <rFont val="Arial"/>
        <family val="2"/>
      </rPr>
      <t xml:space="preserve">
Type to filter by name:</t>
    </r>
  </si>
  <si>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</si>
  <si>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</si>
  <si>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</si>
  <si>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</si>
  <si>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</si>
  <si>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</si>
  <si>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</si>
  <si>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</si>
  <si>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</si>
  <si>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</si>
  <si>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</si>
  <si>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</si>
  <si>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</si>
  <si>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</si>
  <si>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</si>
  <si>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</si>
  <si>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</si>
  <si>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</si>
  <si>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</si>
  <si>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</si>
  <si>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</si>
  <si>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</si>
  <si>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</si>
  <si>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</si>
  <si>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</si>
  <si>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</si>
  <si>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</si>
  <si>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</si>
  <si>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</si>
  <si>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</si>
  <si>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</si>
  <si>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</si>
  <si>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</si>
  <si>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</si>
  <si>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</si>
  <si>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</si>
  <si>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</si>
  <si>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</si>
  <si>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</si>
  <si>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</si>
  <si>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</si>
  <si>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</si>
  <si>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</si>
  <si>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</si>
  <si>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</si>
  <si>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</si>
  <si>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</si>
  <si>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</si>
  <si>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</si>
  <si>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</si>
  <si>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</si>
  <si>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</si>
  <si>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</si>
  <si>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</si>
  <si>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</si>
  <si>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</si>
  <si>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</si>
  <si>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</si>
  <si>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</si>
  <si>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</si>
  <si>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</si>
  <si>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</si>
  <si>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</si>
  <si>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</si>
  <si>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</si>
  <si>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</si>
  <si>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</si>
  <si>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</si>
  <si>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</si>
  <si>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</si>
  <si>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</si>
  <si>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</si>
  <si>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</si>
  <si>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</si>
  <si>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</si>
  <si>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</si>
  <si>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</si>
  <si>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</si>
  <si>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</si>
  <si>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</si>
  <si>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</si>
  <si>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</si>
  <si>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</si>
  <si>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</si>
  <si>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</si>
  <si>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</si>
  <si>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</si>
  <si>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</si>
  <si>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</si>
  <si>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</si>
  <si>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</si>
  <si>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</si>
  <si>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</si>
  <si>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</si>
  <si>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</si>
  <si>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</si>
  <si>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</si>
  <si>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</si>
  <si>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</si>
  <si>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4.2.0.1</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</si>
  <si>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</si>
  <si>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</si>
  <si>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</si>
  <si>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</si>
  <si>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</si>
  <si>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</si>
  <si>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</si>
  <si>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</si>
  <si>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</si>
  <si>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</si>
  <si>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</si>
  <si>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</si>
  <si>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</si>
  <si>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</si>
  <si>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</si>
  <si>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</si>
  <si>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</si>
  <si>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</si>
  <si>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</si>
  <si>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</si>
  <si>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</si>
  <si>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</si>
  <si>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26: SPLT=84 Assigned to Mark G, Change class to C, changed request design complete date to 2/21/2012- 1/3/2012 RB</t>
  </si>
  <si>
    <t>758581</t>
  </si>
  <si>
    <t>I need a design circle for 5.5IN 26PPF Inconel 718 125Ksi MY VAM Top KP Gauge Mandrel made to suit a fully redundant ROC 175 25Ksi Gauge. Bypass slots to allow 3/8IN encapsulated control line to bypass on either side of the mandrel.</t>
  </si>
  <si>
    <t>10: SPLT=N/A</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</si>
  <si>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</si>
  <si>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</si>
  <si>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</si>
  <si>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</si>
  <si>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</si>
  <si>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</si>
  <si>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</si>
  <si>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</si>
  <si>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</si>
  <si>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</si>
  <si>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</si>
  <si>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</si>
  <si>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</si>
  <si>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</si>
  <si>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</si>
  <si>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</si>
  <si>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</si>
  <si>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</si>
  <si>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</si>
  <si>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</si>
  <si>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</si>
  <si>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</si>
  <si>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</si>
  <si>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</si>
  <si>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</si>
  <si>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</si>
  <si>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</si>
  <si>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</si>
  <si>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</si>
  <si>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</si>
  <si>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</si>
  <si>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</si>
  <si>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</si>
  <si>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</si>
  <si>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</si>
  <si>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</si>
  <si>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</si>
  <si>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</si>
  <si>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</si>
  <si>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</si>
  <si>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</si>
  <si>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</si>
  <si>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</si>
  <si>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</si>
  <si>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</si>
  <si>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</si>
  <si>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</si>
  <si>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</si>
  <si>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</si>
  <si>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</si>
  <si>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</si>
  <si>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</si>
  <si>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</si>
  <si>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</si>
  <si>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</si>
  <si>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</si>
  <si>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14.3: splt=N/A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</si>
  <si>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</si>
  <si>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</si>
  <si>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</si>
  <si>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</si>
  <si>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</si>
  <si>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</si>
  <si>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</si>
  <si>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10: SPLT=126 Email to submitter re: requirements document and quality requirements. 2/8/12 DM; Follow up on requirements and quality 2/13/12 DM Emailed follow up to submitter.  2/15/12 DM</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</si>
  <si>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</si>
  <si>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</si>
  <si>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</si>
  <si>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</si>
  <si>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</si>
  <si>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</si>
  <si>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</si>
  <si>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8: SPLT=N/A</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</si>
  <si>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</si>
  <si>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</si>
  <si>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</si>
  <si>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</si>
  <si>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</si>
  <si>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</si>
  <si>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</si>
  <si>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</si>
  <si>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</si>
  <si>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SPLT=168 Emailed field for requirement documents.  2/13/12 DM  Emailed submitter again for requirements document.  2/21/12 DM</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</si>
  <si>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</si>
  <si>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</si>
  <si>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</si>
  <si>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</si>
  <si>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</si>
  <si>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</si>
  <si>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</si>
  <si>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</si>
  <si>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</si>
  <si>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</si>
  <si>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</si>
  <si>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</si>
  <si>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</si>
  <si>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</si>
  <si>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</si>
  <si>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</si>
  <si>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</si>
  <si>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</si>
  <si>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</si>
  <si>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</si>
  <si>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</si>
  <si>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</si>
  <si>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</si>
  <si>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</si>
  <si>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</si>
  <si>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</si>
  <si>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</si>
  <si>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</si>
  <si>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</si>
  <si>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</si>
  <si>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</si>
  <si>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</si>
  <si>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</si>
  <si>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</si>
  <si>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</si>
  <si>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</si>
  <si>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</si>
  <si>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</si>
  <si>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</si>
  <si>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</si>
  <si>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</si>
  <si>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</si>
  <si>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</si>
  <si>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</si>
  <si>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</si>
  <si>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</si>
  <si>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</si>
  <si>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</si>
  <si>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</si>
  <si>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UPDATE DRAWING W.302169-00-00 PER CWI STANDARDS. UPDATE ALL CORRESPONDING PARTS WITH W. PREFIX
TSG NOTES 022412 RCVD. FILE FOR PROCESSING. (KEN) END</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</si>
  <si>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</si>
  <si>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</si>
  <si>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</si>
  <si>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</si>
  <si>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</si>
  <si>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</si>
  <si>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</si>
  <si>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</si>
  <si>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</si>
  <si>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</si>
  <si>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</si>
  <si>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</si>
  <si>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Design Circle - 4.5IN 17ppf 125 ksi Triple ROC-175 Gauge
I need a design circle for 4.5IN 17PPF Inconel 718 125Ksi MY VAM Top Triple Gauge Mandrel with ROC 175 25Ksi triple gauge assembly. Bypass slots to accommodate 35mm on either side.</t>
  </si>
  <si>
    <t>9: SPLT=N/A  2/27/2012 DM, Contact Wolfy to clarify gauge requirements</t>
  </si>
  <si>
    <t>759002</t>
  </si>
  <si>
    <t>CPI NO. 300214197 RELATED-ECR:  
1.  REVISE DWG 092363-03-01 WITH NEW 1 NPT NOZZLE REFERENCE OR COMMODITY NUMBERS PLUS REVISE ALL APPLICABLE SAP NUMBERS WITH CHANGES. 
2.  GENERATE NEW DWG (D NUMBER -01,...) AND SAP NUMBERS FOR 1 NPT NOZZLE WITH TABLE FOR DIFFERENT SIZES SIMILAR TO DWG 316311-00-01</t>
  </si>
  <si>
    <t>omotayo.ewumi@Halliburton.com</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</si>
  <si>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</si>
  <si>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</si>
  <si>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</si>
  <si>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</si>
  <si>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</si>
  <si>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</si>
  <si>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</si>
  <si>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</si>
  <si>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</si>
  <si>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</si>
  <si>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</si>
  <si>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</si>
  <si>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</si>
  <si>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15: SPLT=112  Emailed submitter re: standard lead time.  2/20/12 DM  Recd response from customer and adjusted AIS date. Email attached.  2/21/12 DM</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</si>
  <si>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</si>
  <si>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</si>
  <si>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</si>
  <si>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</si>
  <si>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</si>
  <si>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</si>
  <si>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W.302548-00-00 PER CWI STANDARDS. UPDATE ALL CORRESPONDING PARTS WITH W. PREFIX
TSG NOTES 022812 RECD FOR PROCESSING (GMC) END</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</si>
  <si>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
2012-02-14 WM: QD is working on the quote for the downhole tool.  The depassivation routine in firmware is being evaluated.  The PO has been issued for 30K hydrophone.  Trial well date has been set to July 2012.  2012-02-14 AB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</si>
  <si>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</si>
  <si>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</si>
  <si>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</si>
  <si>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The reference Gauge Mandrel is the SAP: 102124903, RTA changes as follows:
(a)	Change material to 13Cr 80K
(c)	Final assembly needs be under the 8.379in casing drift.  
This mandrel will be run inside the 9 5/8in 53.5lb casing.</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</si>
  <si>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</si>
  <si>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</si>
  <si>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</si>
  <si>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</si>
  <si>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</si>
  <si>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</si>
  <si>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</si>
  <si>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</si>
  <si>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</si>
  <si>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</si>
  <si>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</si>
  <si>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</si>
  <si>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30: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</si>
  <si>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</si>
  <si>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</si>
  <si>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</si>
  <si>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</si>
  <si>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</si>
  <si>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</si>
  <si>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</si>
  <si>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</si>
  <si>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</si>
  <si>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</si>
  <si>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</si>
  <si>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</si>
  <si>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</si>
  <si>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</si>
  <si>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</si>
  <si>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</si>
  <si>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</si>
  <si>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</si>
  <si>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</si>
  <si>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</si>
  <si>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</si>
  <si>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
TSG NOTES 022212 RECD FOR PROCESSING; PROVIDED QUALITY WITH DRAWING FOR MARKUP; 022712 RECD MARKUP FROM QUALITY; RTA SENT FOR REVIEW AND APPROVAL (GMC) END</t>
  </si>
  <si>
    <t>3: SPLT=140 Emailed submitter regarding 5/12/12 delivery date per PMT. Waiting for confirmation from field to change AIS date.  1/19/12 DM Confirmation from field to push AIS date-email attached. 1/20/12 DM  Emailed submitter re: no bumper bar to anchor flatpack.  1/25/12 DM  Emailed submitter re: no response to flatpack question.  2/14/12 DM Field responded and advised to go ahead with design without bumper bars. Email attached.  2/15/12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</si>
  <si>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(GMC) END</t>
  </si>
  <si>
    <t>18: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</si>
  <si>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(GMC) END</t>
  </si>
  <si>
    <t>16: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</si>
  <si>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New ROC Mdrl 2 b used on Visund v4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</si>
  <si>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 SPLT=126  2/27/2012 DM, Using design on Visund V4</t>
  </si>
  <si>
    <t>23: SPLT=126  Changed AIS date per Shell rig schedule and confirmation of G Breerwood. Confirmation email attched.  1/19/12 DM</t>
  </si>
  <si>
    <t>Same As: 216HAP1035U3O00SB2; VLV INTEGD HS ACCUPULSE,3-1/2 -SB2
Except: 
All flow wetted parts to be made of Inc.718.
Rest ?? 13Cr.
TSG NOTES: TO TSG FOR PROCESSING. DWGS TO QUALITY FOR MARKUP 02-28-2012 JCC END</t>
  </si>
  <si>
    <t>12: @@ SPLT=168 Emailed submitter regarding 9/1/12 delivery date per PMT. Waiting for confirmation from field to change AIS date.  1/19/12 DM</t>
  </si>
  <si>
    <t>12: SPLT=126 Changed AIS date per Shell rig schedule and confirmation of G Breerwood.  Confirmation email attached.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</si>
  <si>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</si>
  <si>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</si>
  <si>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Same As: 722HF1106504; PKR,HF1,1065,TBG SET,KO PLUG,25CR
Except: 
1. Material to be 13Cr
2. Quality plan to be SB2
TSG NOTES TO TSG FOR PROCESSING; DWGS TO QUALITY FOR MARKUP. MARKUPS BACK TO TSG. TO QUALITY FOR REVIEW AND APPROVAL 02-16-2012 J. CALLAWAY END</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</si>
  <si>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</si>
  <si>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</si>
  <si>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</si>
  <si>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</si>
  <si>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</si>
  <si>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</si>
  <si>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</si>
  <si>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</si>
  <si>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11: SPLT= 126 Emailed field re: AIS date and quality requirements.  1/26/12 DM  Email attached regarding AIS date from submitter.  1/26/12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</si>
  <si>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</si>
  <si>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</si>
  <si>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</si>
  <si>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</si>
  <si>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</si>
  <si>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</si>
  <si>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(KEN) END</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</si>
  <si>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</si>
  <si>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</si>
  <si>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</si>
  <si>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</si>
  <si>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17: SPLT=126</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</si>
  <si>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</si>
  <si>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</si>
  <si>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</si>
  <si>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</si>
  <si>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</si>
  <si>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21: SPLT=126</t>
  </si>
  <si>
    <t>19: SPLT=84</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</si>
  <si>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</si>
  <si>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</si>
  <si>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22: SPLT=126</t>
  </si>
  <si>
    <t>17: SPLT=98 @@</t>
  </si>
  <si>
    <t>756490</t>
  </si>
  <si>
    <t>13: SPLT=N/A  To be machined locally.  2/17/12 DM</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</si>
  <si>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</si>
  <si>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</si>
  <si>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</si>
  <si>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</si>
  <si>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</si>
  <si>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</si>
  <si>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20: SPLT=84</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</si>
  <si>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</si>
  <si>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</si>
  <si>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</si>
  <si>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28: SPLT=126</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</si>
  <si>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</si>
  <si>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</si>
  <si>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</si>
  <si>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24: SPLT=84  2/20/2012 DM: verify quality plan. No quality applied per P Allardyce.  2/20/12 DM</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</si>
  <si>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</si>
  <si>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</si>
  <si>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</si>
  <si>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</si>
  <si>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</si>
  <si>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27:  SPLT=126  2/27/2012 DM, Contact Wolfy to veryify and update RTA requirements regarding nipple profile in mandrel.</t>
  </si>
  <si>
    <t>758623</t>
  </si>
  <si>
    <t>14: SPLT=N/A Mandrel to be machined locally,  2/22 MS.</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</si>
  <si>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</si>
  <si>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</si>
  <si>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</si>
  <si>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</si>
  <si>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</si>
  <si>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29: SPLT=98 Changed to code 2 see attached email from submitter.  12/8/11 DM</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</si>
  <si>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</si>
  <si>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</si>
  <si>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</si>
  <si>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</si>
  <si>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</si>
  <si>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</si>
  <si>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</si>
  <si>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</si>
  <si>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</si>
  <si>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</si>
  <si>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</si>
  <si>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</si>
  <si>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</si>
  <si>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</si>
  <si>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</si>
  <si>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</si>
  <si>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</si>
  <si>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</si>
  <si>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14.2: SPLT=112</t>
  </si>
  <si>
    <t>David Christie</t>
  </si>
  <si>
    <t>760822</t>
  </si>
  <si>
    <t>3 Line flatpack w/2 1/4 in 0.049 wt hydraulic lines and 1 1/4 TEC line.  See attached requirements document.</t>
  </si>
  <si>
    <t>760643</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</si>
  <si>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t>
  </si>
  <si>
    <t>14.1: SPLT=112</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</si>
  <si>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</si>
  <si>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</si>
  <si>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</si>
  <si>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</si>
  <si>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</si>
  <si>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</si>
  <si>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</si>
  <si>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</si>
  <si>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</si>
  <si>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759161</t>
  </si>
  <si>
    <t>Same As: 722HF1964780; PKR,SZ 9647,TY HF1,WITH KNOCK OUT PLUG R
Except: Packer envelope required
Tech Start Date is in the past
Project Name: Champion West
Special Quality Plan Required?: No
Material: 
Mating Infomation:</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</si>
  <si>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</si>
  <si>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</si>
  <si>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</si>
  <si>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</si>
  <si>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</si>
  <si>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759794</t>
  </si>
  <si>
    <t>Modify existing 4 pin WHO (9895-6004) to be used for fluid filled SmartPlex tri-wire spooler during installation.</t>
  </si>
  <si>
    <t>SPLT=98</t>
  </si>
  <si>
    <t>19: SPLT=168 Emailed submitter for requirements document.  2/13/12 DM  Emailed submitter again for requirements document.  2/21/12 DM. Requirements document attached with previous well schematic 2/22/12</t>
  </si>
  <si>
    <t>12.9: SPLT=N/A</t>
  </si>
  <si>
    <t>UPDATE DRAWING W.302276-00-01 PER CWI STANDARDS. UPDATE ALL CORRESPONDING PARTS WITH W. PREFIX.
TSG NOTES: TO TSG FOR PROCESSING. WAS/IS/DWG TO QUALITY FOR REVIEW/APPROVAL 02-24-2012 J. CALLAWAY END</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</si>
  <si>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</si>
  <si>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</si>
  <si>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</si>
  <si>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</si>
  <si>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761145</t>
  </si>
  <si>
    <t>Update Packer RIH and Retrieval Document (316255-00-01) to clear up the Retreival section and add Shift and Pull method.
Obsolete Engr Drawing 316255-00-01 Rev 2 in CWI and release this new Document as a Specification (Rev E).</t>
  </si>
  <si>
    <t>761027</t>
  </si>
  <si>
    <t>Statoil Visund S V4</t>
  </si>
  <si>
    <t>Same As: 215HVLV INTEGD,HVC,ACCUPULSE,5-1/2 -SB2
Except: 
1. Flow Trim to be 311537-31
2. By-pass for 4 x 1/4in lines</t>
  </si>
  <si>
    <t>12.9: SPLT=168</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</si>
  <si>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</si>
  <si>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</si>
  <si>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</si>
  <si>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</si>
  <si>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</si>
  <si>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</si>
  <si>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</si>
  <si>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</si>
  <si>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</si>
  <si>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</si>
  <si>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</si>
  <si>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</si>
  <si>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</si>
  <si>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</si>
  <si>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</si>
  <si>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For Statoil Grane project. SB2 QA
see attached document for spesification</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</si>
  <si>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</si>
  <si>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</si>
  <si>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</si>
  <si>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Same as: 235SF0967018-SB2;  CLP,SPLC,9670,13CR,7-29.00 VAMTOP -SB2
Except: Change Material to 25Cr
TSG NOTES 021612 RECD FOR PROCESSING; QUALITY PROVIDED DRAWING FOR MARKUP; 022712 RECD MARKUPS FROM QUALITY; RTA SENT FOR REVIEW AND APPROVAL 022912 RTA PLACED ON DESIGN HOLD-FOLDER RETURNED TO D. MOE (GMC) END</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</si>
  <si>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t>
  </si>
  <si>
    <t>12.8: SPLT=N/A</t>
  </si>
  <si>
    <t>12.5: SPLT=N/A Emailed submitter to clarify if packer envelope is all being requested.  2/27/12 DM Field confirmed packer envelope is all that is required. 2/28/12 DM</t>
  </si>
  <si>
    <t>12.6: SPLT=84 Emailed submitter for requirements document and code/quality.  1/16/12 DM  Attached req doc. Emailed submitter re: standard lead time. 2/21/12 DM</t>
  </si>
  <si>
    <t>12.7: SPLT=84 Emailed submitter for requirements doc and code/quality clarification.  1/16/12 DM Attached req doc. Emailed submitter re: standard lead time. 2/21/12 DM</t>
  </si>
  <si>
    <t>pm</t>
  </si>
  <si>
    <t>2/29/2012 Permanent Monitoring RTA Priorities List</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</si>
  <si>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OH size is 216mm</t>
  </si>
  <si>
    <t>SPLT=N/A Emailed submitter for completion date, Customer name, Project name.  2/29/12 DM</t>
  </si>
  <si>
    <t>CREATE DOCUMENTATION RELATED TO PSA ASSEMBLY THAT DID NOT CARRY OVER CORRECTLY DURING INTEGRATION. UPDATE PSA AND VMA ASSEMBLIES WITH THE RIGHT REFERENCE DOCUMENTATION. 
TSG WILL REQUEST THE FOLLOWING PARTS BE BACKFILLED: 595965, 595967 02-29-2012 JCC</t>
  </si>
  <si>
    <t>761192</t>
  </si>
  <si>
    <t>MAERSK</t>
  </si>
  <si>
    <t>ECR RTA TO CHANGE MATERIAL ON PART NUMBER 102127990 FROM ES-MA-18-9 (4140 LAS) TO ES-MA-175-1 (1CR).  MATERIAL WHEN PART ORIGINALLY CREATED WAS NOT EXACT TYPE REQUIRED BY RTA - R756902.</t>
  </si>
  <si>
    <t>Same As: 235SF0703550; SUB,SPLC,7035,S13CR,3 1/2-9.20 VAMTOP BO
Except: in 13Cr 80k Material
Tech Start Date is in the past
Project Name: Angsi
Special Quality Plan Required?: No
Material: (7) 13 CR 80 MY 22HRC (ES-MA-58-7)
Mating Infomation:
TSG NOTES 022912 RCVD. FILE FOR PROCESSING. (KEN) END</t>
  </si>
  <si>
    <t>Michael Nguyen</t>
  </si>
  <si>
    <t>SPLT=126 Emailed submitter re:standard lead and thread clarification.  2/27/12 DM  Emailed submitter suggesting Nitrile in lieu of AFLAS for element and O-rings. 2/29/12 DM</t>
  </si>
  <si>
    <t>761254</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</si>
  <si>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t>
  </si>
  <si>
    <t>lorenzzobreda.minassa@halliburton.com</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</si>
  <si>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
No quality required.  2/29/12 DM</t>
  </si>
  <si>
    <t>2/29/2012 - SCOPE OF THIS RTA EXPANDED TO COVER CHANGING MATERIAL SPEC ON ALL RELEVANT PARTS ON MAERSK SMARTPLEX PROJECT RTAS 698242, 756622, 756625, AND 756902.  BY: SCOTT HOADLEY</t>
  </si>
  <si>
    <t>761223</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</si>
  <si>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t>
  </si>
  <si>
    <t>761238</t>
  </si>
  <si>
    <t>FMC Stjerne</t>
  </si>
  <si>
    <t>Need FAR for RMA-000895, MN 101892578 SN:2118</t>
  </si>
  <si>
    <t>99: SPLT=168  Cancelling per submitter customer wants HS instead of HVC valves. Completed most of design so will go ahead and complete. 1/27/12 DM  Emailed submitter re: AIS date...well completing end of Oct,2012. 2/21/12 DM</t>
  </si>
  <si>
    <t>6 foot pup joint with Vam Top box (coupling) on one side and T3SB box on the other
Per Paul James, the TenarisHydril 3SB for the 4-1/2 OD is 12.75, not 12.6. (CMN 2/29/12)
No quality required.  2/29/12 DM</t>
  </si>
  <si>
    <t>6 foot pup joint with Vam Top box (coupling) on one end and T3SB pin on the other.
Confirmed with Paul James that bottom connection thread is really T3SB 4.5 12.75ppf. (CMN 2/28/12)
No quality required.  2/29/12 DM</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</si>
</sst>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0"/>
      <color theme="1"/>
      <name val="Arial"/>
      <family val="2"/>
    </font>
    <font>
      <sz val="11"/>
      <color theme="1"/>
      <name val="Arial"/>
      <family val="2"/>
    </font>
    <font>
      <sz val="10.5"/>
      <color theme="1"/>
      <name val="Arial"/>
      <family val="2"/>
    </font>
    <font>
      <sz val="10.5"/>
      <name val="Arial"/>
      <family val="2"/>
    </font>
    <font>
      <sz val="11"/>
      <color theme="1"/>
      <name val="Arial"/>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6">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s>
  <cellStyleXfs count="1">
    <xf numFmtId="0" fontId="0" fillId="0" borderId="0"/>
  </cellStyleXfs>
  <cellXfs count="141">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2"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22" xfId="0" applyFont="1" applyFill="1" applyBorder="1" applyAlignment="1">
      <alignment horizontal="center" vertical="center" wrapText="1"/>
    </xf>
    <xf numFmtId="0" fontId="8" fillId="0" borderId="22"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10"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3"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0" fillId="7" borderId="0" xfId="0" applyFont="1" applyFill="1" applyAlignment="1" applyProtection="1">
      <alignment horizontal="center" vertical="center"/>
      <protection locked="0"/>
    </xf>
    <xf numFmtId="0" fontId="14" fillId="7" borderId="0" xfId="0" applyFont="1" applyFill="1"/>
    <xf numFmtId="0" fontId="0" fillId="0" borderId="0" xfId="0" applyBorder="1" applyAlignment="1">
      <alignment horizontal="left" vertical="top" wrapText="1"/>
    </xf>
    <xf numFmtId="0" fontId="21" fillId="7" borderId="0" xfId="0" applyFont="1" applyFill="1"/>
    <xf numFmtId="0" fontId="20" fillId="7" borderId="0" xfId="0" applyFont="1" applyFill="1" applyAlignment="1">
      <alignment vertical="center"/>
    </xf>
    <xf numFmtId="0" fontId="20" fillId="7" borderId="0" xfId="0" applyFont="1" applyFill="1" applyAlignment="1">
      <alignment horizontal="center" vertical="center"/>
    </xf>
    <xf numFmtId="0" fontId="22" fillId="7" borderId="0" xfId="0" applyFont="1" applyFill="1"/>
    <xf numFmtId="0" fontId="23" fillId="7" borderId="0" xfId="0" applyFont="1" applyFill="1"/>
    <xf numFmtId="0" fontId="24" fillId="7" borderId="0" xfId="0" applyFont="1" applyFill="1"/>
    <xf numFmtId="0" fontId="25" fillId="7" borderId="0" xfId="0" applyFont="1" applyFill="1"/>
    <xf numFmtId="0" fontId="22" fillId="7" borderId="0" xfId="0" applyFont="1" applyFill="1" applyAlignment="1">
      <alignment horizontal="left" vertical="center"/>
    </xf>
    <xf numFmtId="0" fontId="23" fillId="7" borderId="0" xfId="0" applyFont="1" applyFill="1" applyAlignment="1">
      <alignment horizontal="left" vertical="center"/>
    </xf>
    <xf numFmtId="0" fontId="26" fillId="7" borderId="0" xfId="0" applyFont="1" applyFill="1"/>
    <xf numFmtId="0" fontId="0" fillId="7" borderId="0" xfId="0" applyFill="1"/>
    <xf numFmtId="0" fontId="27" fillId="7" borderId="0" xfId="0" applyFont="1" applyFill="1"/>
    <xf numFmtId="0" fontId="19" fillId="7" borderId="0" xfId="0" applyFont="1" applyFill="1"/>
    <xf numFmtId="0" fontId="29" fillId="0" borderId="0" xfId="0" applyFont="1" applyFill="1" applyAlignment="1">
      <alignment horizontal="center" vertical="center" wrapText="1"/>
    </xf>
    <xf numFmtId="0" fontId="0" fillId="0" borderId="0" xfId="0" applyFont="1" applyFill="1" applyBorder="1" applyAlignment="1" applyProtection="1">
      <alignment horizontal="center" vertical="center" wrapText="1"/>
    </xf>
    <xf numFmtId="0" fontId="0" fillId="0" borderId="0" xfId="0" applyFont="1" applyFill="1" applyBorder="1" applyAlignment="1">
      <alignment horizontal="center" vertical="top" wrapText="1"/>
    </xf>
    <xf numFmtId="0" fontId="0" fillId="0" borderId="0"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pplyProtection="1">
      <alignment horizontal="left" vertical="top" wrapText="1"/>
      <protection locked="0"/>
    </xf>
    <xf numFmtId="14" fontId="0" fillId="0" borderId="0" xfId="0" applyNumberFormat="1" applyFont="1" applyFill="1" applyBorder="1" applyAlignment="1" applyProtection="1">
      <alignment horizontal="center" vertical="top" wrapText="1"/>
      <protection locked="0"/>
    </xf>
    <xf numFmtId="1" fontId="0" fillId="0" borderId="0" xfId="0" applyNumberFormat="1" applyFont="1" applyFill="1" applyBorder="1" applyAlignment="1" applyProtection="1">
      <alignment horizontal="center" vertical="top" wrapText="1"/>
    </xf>
    <xf numFmtId="14" fontId="0" fillId="0" borderId="0" xfId="0" applyNumberFormat="1" applyFont="1" applyFill="1" applyBorder="1" applyAlignment="1" applyProtection="1">
      <alignment horizontal="center" vertical="top" wrapText="1"/>
    </xf>
    <xf numFmtId="49" fontId="0" fillId="0" borderId="0" xfId="0" applyNumberFormat="1" applyFont="1" applyFill="1" applyBorder="1" applyAlignment="1" applyProtection="1">
      <alignment horizontal="center" vertical="top" wrapText="1"/>
      <protection locked="0"/>
    </xf>
    <xf numFmtId="1" fontId="0" fillId="0" borderId="0" xfId="0" applyNumberFormat="1" applyFont="1" applyFill="1" applyBorder="1" applyAlignment="1" applyProtection="1">
      <alignment horizontal="center" vertical="top" wrapText="1"/>
      <protection locked="0"/>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 fontId="0" fillId="0" borderId="0" xfId="0" applyNumberFormat="1" applyFont="1" applyFill="1" applyBorder="1" applyAlignment="1">
      <alignment horizontal="center" vertical="top" wrapText="1"/>
    </xf>
    <xf numFmtId="49" fontId="0" fillId="0" borderId="0" xfId="0" applyNumberFormat="1" applyFont="1" applyFill="1" applyBorder="1" applyAlignment="1">
      <alignment horizontal="center" vertical="top" wrapText="1"/>
    </xf>
    <xf numFmtId="49" fontId="0" fillId="0" borderId="0" xfId="0" quotePrefix="1" applyNumberFormat="1" applyFont="1" applyFill="1" applyBorder="1" applyAlignment="1" applyProtection="1">
      <alignment horizontal="center" vertical="top" wrapText="1"/>
      <protection locked="0"/>
    </xf>
    <xf numFmtId="0" fontId="0" fillId="9" borderId="30" xfId="0" applyFont="1" applyFill="1" applyBorder="1" applyAlignment="1" applyProtection="1">
      <alignment horizontal="center" vertical="center" wrapText="1"/>
      <protection locked="0"/>
    </xf>
    <xf numFmtId="0" fontId="0" fillId="7" borderId="0" xfId="0" applyFont="1" applyFill="1" applyAlignment="1" applyProtection="1">
      <alignment horizontal="center" vertical="top"/>
      <protection locked="0"/>
    </xf>
    <xf numFmtId="0" fontId="0" fillId="7" borderId="33" xfId="0" applyFill="1" applyBorder="1" applyAlignment="1" applyProtection="1">
      <alignment horizontal="left" vertical="top"/>
    </xf>
    <xf numFmtId="0" fontId="0" fillId="7" borderId="34" xfId="0" applyFill="1" applyBorder="1" applyAlignment="1" applyProtection="1">
      <alignment horizontal="left" vertical="top"/>
    </xf>
    <xf numFmtId="0" fontId="18" fillId="7" borderId="34" xfId="0" applyFont="1" applyFill="1" applyBorder="1" applyAlignment="1" applyProtection="1">
      <alignment horizontal="left" vertical="top"/>
    </xf>
    <xf numFmtId="0" fontId="0" fillId="7" borderId="0" xfId="0" applyFill="1" applyAlignment="1" applyProtection="1">
      <alignment horizontal="center" vertical="top"/>
    </xf>
    <xf numFmtId="0" fontId="0" fillId="7" borderId="0" xfId="0" applyFill="1" applyAlignment="1" applyProtection="1">
      <alignment horizontal="center" vertical="top" wrapText="1"/>
    </xf>
    <xf numFmtId="0" fontId="18" fillId="7" borderId="0" xfId="0" applyFont="1" applyFill="1" applyAlignment="1" applyProtection="1">
      <alignment horizontal="center" vertical="top"/>
    </xf>
    <xf numFmtId="0" fontId="11" fillId="7" borderId="0" xfId="0" applyFont="1" applyFill="1" applyBorder="1" applyAlignment="1" applyProtection="1">
      <alignment horizontal="center" vertical="top"/>
      <protection locked="0"/>
    </xf>
    <xf numFmtId="14" fontId="0" fillId="7" borderId="0" xfId="0" applyNumberFormat="1" applyFill="1" applyAlignment="1" applyProtection="1">
      <alignment horizontal="center" vertical="top"/>
    </xf>
    <xf numFmtId="14" fontId="0" fillId="7" borderId="0" xfId="0" applyNumberFormat="1" applyFill="1" applyBorder="1" applyAlignment="1" applyProtection="1">
      <alignment horizontal="center" vertical="top"/>
    </xf>
    <xf numFmtId="0" fontId="18" fillId="8" borderId="33" xfId="0" applyFont="1" applyFill="1" applyBorder="1" applyAlignment="1" applyProtection="1">
      <alignment horizontal="center" vertical="top"/>
    </xf>
    <xf numFmtId="14" fontId="18" fillId="7" borderId="0" xfId="0" applyNumberFormat="1" applyFont="1" applyFill="1" applyAlignment="1" applyProtection="1">
      <alignment horizontal="center" vertical="top"/>
    </xf>
    <xf numFmtId="0" fontId="2" fillId="7" borderId="0" xfId="0" applyFont="1" applyFill="1" applyAlignment="1" applyProtection="1">
      <alignment horizontal="center" vertical="top"/>
      <protection locked="0"/>
    </xf>
    <xf numFmtId="14" fontId="0" fillId="7" borderId="0" xfId="0" applyNumberFormat="1" applyFont="1" applyFill="1" applyAlignment="1" applyProtection="1">
      <alignment horizontal="center" vertical="top"/>
      <protection locked="0"/>
    </xf>
    <xf numFmtId="0" fontId="0" fillId="7" borderId="0" xfId="0" applyFont="1" applyFill="1" applyAlignment="1">
      <alignment horizontal="center" vertical="top"/>
    </xf>
    <xf numFmtId="0" fontId="30" fillId="7" borderId="0" xfId="0" applyFont="1" applyFill="1" applyAlignment="1" applyProtection="1">
      <alignment horizontal="center" vertical="top"/>
    </xf>
    <xf numFmtId="0" fontId="31" fillId="7" borderId="0" xfId="0" applyFont="1" applyFill="1" applyAlignment="1" applyProtection="1">
      <alignment horizontal="center" vertical="top"/>
    </xf>
    <xf numFmtId="0" fontId="30" fillId="7" borderId="0" xfId="0" applyFont="1" applyFill="1" applyAlignment="1" applyProtection="1">
      <alignment horizontal="center" vertical="top"/>
      <protection locked="0"/>
    </xf>
    <xf numFmtId="0" fontId="28" fillId="0" borderId="0" xfId="0" applyFont="1" applyFill="1" applyBorder="1" applyAlignment="1">
      <alignment horizontal="center" vertical="center" wrapText="1"/>
    </xf>
    <xf numFmtId="0" fontId="1" fillId="8" borderId="32" xfId="0" applyFont="1" applyFill="1" applyBorder="1" applyAlignment="1" applyProtection="1">
      <alignment horizontal="center" vertical="top"/>
    </xf>
    <xf numFmtId="0" fontId="30" fillId="7" borderId="0" xfId="0" applyFont="1" applyFill="1" applyAlignment="1" applyProtection="1">
      <alignment horizontal="left" vertical="top"/>
      <protection locked="0"/>
    </xf>
    <xf numFmtId="0" fontId="0" fillId="0" borderId="0" xfId="0" applyFont="1" applyAlignment="1">
      <alignment horizontal="center" vertical="center"/>
    </xf>
    <xf numFmtId="0" fontId="0" fillId="0" borderId="0" xfId="0" applyNumberFormat="1" applyFont="1" applyFill="1" applyBorder="1" applyAlignment="1" applyProtection="1">
      <alignment horizontal="center" vertical="center" wrapText="1"/>
    </xf>
    <xf numFmtId="0" fontId="32" fillId="0" borderId="0" xfId="0" applyNumberFormat="1" applyFont="1" applyFill="1" applyAlignment="1" applyProtection="1">
      <alignment horizontal="center" vertical="center" wrapText="1"/>
    </xf>
    <xf numFmtId="0" fontId="32" fillId="9" borderId="30" xfId="0" applyFont="1" applyFill="1" applyBorder="1" applyAlignment="1" applyProtection="1">
      <alignment horizontal="center" vertical="center" wrapText="1"/>
      <protection locked="0"/>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left" vertical="top" wrapText="1"/>
      <protection locked="0"/>
    </xf>
    <xf numFmtId="14" fontId="32" fillId="0" borderId="0" xfId="0" applyNumberFormat="1" applyFont="1" applyFill="1" applyAlignment="1" applyProtection="1">
      <alignment horizontal="center" vertical="top" wrapText="1"/>
      <protection locked="0"/>
    </xf>
    <xf numFmtId="0" fontId="32" fillId="0" borderId="0" xfId="0" applyNumberFormat="1" applyFont="1" applyFill="1" applyAlignment="1" applyProtection="1">
      <alignment horizontal="center" vertical="top" wrapText="1"/>
    </xf>
    <xf numFmtId="1" fontId="32"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center" vertical="top" wrapText="1"/>
    </xf>
    <xf numFmtId="49" fontId="32" fillId="0" borderId="0" xfId="0" applyNumberFormat="1" applyFont="1" applyFill="1" applyAlignment="1" applyProtection="1">
      <alignment horizontal="center" vertical="top" wrapText="1"/>
      <protection locked="0"/>
    </xf>
    <xf numFmtId="49" fontId="22" fillId="7" borderId="0" xfId="0" applyNumberFormat="1" applyFont="1" applyFill="1" applyAlignment="1">
      <alignment horizontal="left" vertical="center"/>
    </xf>
    <xf numFmtId="0" fontId="16" fillId="7" borderId="0" xfId="0" applyFont="1" applyFill="1" applyAlignment="1">
      <alignment horizontal="center" vertical="center"/>
    </xf>
    <xf numFmtId="0" fontId="20" fillId="7" borderId="0" xfId="0" applyFont="1" applyFill="1" applyAlignment="1">
      <alignment horizontal="center" vertical="center"/>
    </xf>
    <xf numFmtId="0" fontId="17" fillId="7" borderId="0" xfId="0" applyFont="1" applyFill="1" applyBorder="1" applyAlignment="1" applyProtection="1">
      <alignment horizontal="center" vertical="top"/>
      <protection locked="0"/>
    </xf>
    <xf numFmtId="0" fontId="1" fillId="8" borderId="7" xfId="0" applyFont="1" applyFill="1" applyBorder="1" applyAlignment="1" applyProtection="1">
      <alignment horizontal="center" vertical="center"/>
    </xf>
    <xf numFmtId="0" fontId="1" fillId="8" borderId="31" xfId="0" applyFont="1" applyFill="1" applyBorder="1" applyAlignment="1" applyProtection="1">
      <alignment horizontal="center" vertical="center"/>
    </xf>
    <xf numFmtId="0" fontId="0" fillId="7" borderId="33" xfId="0" applyFont="1" applyFill="1" applyBorder="1" applyAlignment="1" applyProtection="1">
      <alignment horizontal="center" vertical="top"/>
    </xf>
    <xf numFmtId="0" fontId="0" fillId="7" borderId="34" xfId="0" applyFont="1" applyFill="1" applyBorder="1" applyAlignment="1" applyProtection="1">
      <alignment horizontal="center" vertical="top"/>
    </xf>
    <xf numFmtId="0" fontId="0" fillId="7" borderId="21" xfId="0" applyFont="1" applyFill="1" applyBorder="1" applyAlignment="1" applyProtection="1">
      <alignment horizontal="center" vertical="center"/>
    </xf>
    <xf numFmtId="0" fontId="0" fillId="7" borderId="35"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7" borderId="30" xfId="0" applyFont="1" applyFill="1" applyBorder="1" applyAlignment="1" applyProtection="1">
      <alignment horizontal="center" vertical="center"/>
    </xf>
    <xf numFmtId="0" fontId="12" fillId="2" borderId="8"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3"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1"/>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ill>
        <patternFill>
          <bgColor rgb="FFE4E4E4"/>
        </patternFill>
      </fill>
      <border>
        <vertical/>
        <horizontal style="thin">
          <color theme="0" tint="-0.499984740745262"/>
        </horizontal>
      </border>
    </dxf>
    <dxf>
      <font>
        <b/>
        <color theme="1"/>
      </font>
      <border>
        <top style="thin">
          <color theme="1"/>
        </top>
        <bottom/>
      </border>
    </dxf>
    <dxf>
      <font>
        <color theme="0"/>
      </font>
      <fill>
        <patternFill>
          <bgColor rgb="FF72A4EE"/>
        </patternFill>
      </fill>
      <border diagonalUp="0" diagonalDown="0">
        <left/>
        <right/>
        <top/>
        <bottom/>
        <vertical style="thin">
          <color theme="0"/>
        </vertical>
        <horizontal style="medium">
          <color theme="0"/>
        </horizont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5">
      <tableStyleElement type="wholeTable" dxfId="93"/>
      <tableStyleElement type="headerRow" dxfId="92"/>
      <tableStyleElement type="totalRow" dxfId="91"/>
      <tableStyleElement type="firstColumn" dxfId="90"/>
      <tableStyleElement type="firstRowStripe"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E4E4E4"/>
      <color rgb="FFDCDCDC"/>
      <color rgb="FF72A4EE"/>
      <color rgb="FF397FE7"/>
      <color rgb="FFD58181"/>
      <color rgb="FFCAE8AA"/>
      <color rgb="FFB8E08C"/>
      <color rgb="FFCCFFCC"/>
      <color rgb="FFAFFF8F"/>
      <color rgb="FFB0FEB9"/>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266700</xdr:rowOff>
        </xdr:from>
        <xdr:to>
          <xdr:col>2</xdr:col>
          <xdr:colOff>1790700</xdr:colOff>
          <xdr:row>1</xdr:row>
          <xdr:rowOff>657225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695325</xdr:rowOff>
        </xdr:from>
        <xdr:to>
          <xdr:col>2</xdr:col>
          <xdr:colOff>1790700</xdr:colOff>
          <xdr:row>2</xdr:row>
          <xdr:rowOff>266700</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304800</xdr:rowOff>
        </xdr:from>
        <xdr:to>
          <xdr:col>2</xdr:col>
          <xdr:colOff>1790700</xdr:colOff>
          <xdr:row>2</xdr:row>
          <xdr:rowOff>695325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xdr:row>
          <xdr:rowOff>57150</xdr:rowOff>
        </xdr:from>
        <xdr:to>
          <xdr:col>1</xdr:col>
          <xdr:colOff>371475</xdr:colOff>
          <xdr:row>1</xdr:row>
          <xdr:rowOff>361950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352425</xdr:rowOff>
        </xdr:from>
        <xdr:to>
          <xdr:col>1</xdr:col>
          <xdr:colOff>657225</xdr:colOff>
          <xdr:row>2</xdr:row>
          <xdr:rowOff>666750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704850</xdr:rowOff>
        </xdr:from>
        <xdr:to>
          <xdr:col>1</xdr:col>
          <xdr:colOff>657225</xdr:colOff>
          <xdr:row>3</xdr:row>
          <xdr:rowOff>142875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xdr:row>
          <xdr:rowOff>9525</xdr:rowOff>
        </xdr:from>
        <xdr:to>
          <xdr:col>2</xdr:col>
          <xdr:colOff>1543050</xdr:colOff>
          <xdr:row>1</xdr:row>
          <xdr:rowOff>257175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77" tableType="queryTable" totalsRowShown="0" headerRowDxfId="63" dataDxfId="62">
  <autoFilter ref="A5:AA147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s>
        <filter val="CUSTOMIZATION"/>
      </filters>
    </filterColumn>
    <filterColumn colId="19" hiddenButton="1"/>
    <filterColumn colId="20" hiddenButton="1">
      <filters blank="1">
        <filter val="Define Requirements"/>
        <filter val="Design Hold"/>
        <filter val="Submitted"/>
        <filter val="WIP"/>
      </filters>
    </filterColumn>
    <filterColumn colId="21" hiddenButton="1">
      <filters>
        <filter val="WD3"/>
      </filters>
    </filterColumn>
    <filterColumn colId="22" hiddenButton="1">
      <filters>
        <filter val="0"/>
        <filter val="1"/>
        <filter val="2"/>
        <filter val="3"/>
        <filter val="4"/>
        <filter val="5"/>
        <filter val="6"/>
        <filter val="7"/>
      </filters>
    </filterColumn>
    <filterColumn colId="23" hiddenButton="1"/>
    <filterColumn colId="24" hiddenButton="1"/>
    <filterColumn colId="25" hiddenButton="1"/>
    <filterColumn colId="26" hiddenButton="1"/>
  </autoFilter>
  <sortState ref="A505:AA1469">
    <sortCondition ref="A5:A1477"/>
  </sortState>
  <tableColumns count="27">
    <tableColumn id="17" uniqueName="17" name=" " queryTableFieldId="17" dataDxfId="33">
      <calculatedColumnFormula>IF(priority(Main[[#This Row],[Comments]])&lt;&gt;0, priority(Main[[#This Row],[Comments]]),"")</calculatedColumnFormula>
    </tableColumn>
    <tableColumn id="1" uniqueName="1" name="RTA" queryTableFieldId="1" dataDxfId="32"/>
    <tableColumn id="2" uniqueName="2" name="Customer" queryTableFieldId="2" dataDxfId="31"/>
    <tableColumn id="3" uniqueName="3" name="Description" queryTableFieldId="3" dataDxfId="30"/>
    <tableColumn id="4" uniqueName="4" name="Submitted" queryTableFieldId="4" dataDxfId="29"/>
    <tableColumn id="5" uniqueName="5" name="In Stock Date" queryTableFieldId="5" dataDxfId="28"/>
    <tableColumn id="19" uniqueName="19" name="Standard Production Lead Time" queryTableFieldId="19" dataDxfId="27">
      <calculatedColumnFormula>IF(stdProdLT(Main[[#This Row],[Comments]])=0.1,"N/A",IF(stdProdLT(Main[[#This Row],[Comments]])=0,"",stdProdLT(Main[[#This Row],[Comments]])))</calculatedColumnFormula>
    </tableColumn>
    <tableColumn id="18" uniqueName="18" name="Remaining Production Lead Time" queryTableFieldId="18" dataDxfId="26">
      <calculatedColumnFormula>IF(AND(Main[[#This Row],[In Stock Date]]&lt;&gt;"",Main[[#This Row],[Revised Due Date]]&lt;&gt;""),Main[[#This Row],[In Stock Date]]-Main[[#This Row],[Revised Due Date]],"")</calculatedColumnFormula>
    </tableColumn>
    <tableColumn id="6" uniqueName="6" name="Assigned To" queryTableFieldId="6" dataDxfId="25"/>
    <tableColumn id="7" uniqueName="7" name="Current Status" queryTableFieldId="7" dataDxfId="24"/>
    <tableColumn id="12" uniqueName="12" name="Class" queryTableFieldId="12" dataDxfId="23"/>
    <tableColumn id="9" uniqueName="9" name="Tech Start Date" queryTableFieldId="9" dataDxfId="22"/>
    <tableColumn id="22" uniqueName="22" name="Design" queryTableFieldId="23" dataDxfId="2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7"/>
    <tableColumn id="11" uniqueName="11" name="Revised Due Date" queryTableFieldId="11" dataDxfId="16"/>
    <tableColumn id="13" uniqueName="13" name="Type" queryTableFieldId="13" dataDxfId="15"/>
    <tableColumn id="14" uniqueName="14" name="Comments" queryTableFieldId="14" dataDxfId="14"/>
    <tableColumn id="15" uniqueName="15" name="State" queryTableFieldId="15" dataDxfId="13"/>
    <tableColumn id="8" uniqueName="8" name="Lab Office" queryTableFieldId="8" dataDxfId="12"/>
    <tableColumn id="16" uniqueName="16" name="Code" queryTableFieldId="16" dataDxfId="11"/>
    <tableColumn id="24" uniqueName="24" name="Submitted By" queryTableFieldId="29" dataDxfId="10"/>
    <tableColumn id="25" uniqueName="25" name="Requestor Email" queryTableFieldId="30" dataDxfId="9"/>
    <tableColumn id="27" uniqueName="27" name="Manager/Lead" queryTableFieldId="32" dataDxfId="8"/>
    <tableColumn id="26" uniqueName="26" name="Requestor Name" queryTableFieldId="33" dataDxfId="7"/>
  </tableColumns>
  <tableStyleInfo name="TableStyleLight1 2"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1" dataDxfId="60">
  <tableColumns count="1">
    <tableColumn id="1" uniqueName="1" name="Assigned To" queryTableFieldId="1" headerRowDxfId="59"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58" dataDxfId="57">
  <tableColumns count="1">
    <tableColumn id="1" uniqueName="1" name="Assigned To" queryTableFieldId="1" headerRowDxfId="56"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5" dataDxfId="54">
  <tableColumns count="1">
    <tableColumn id="1" uniqueName="1" name="Assigned To" queryTableFieldId="1" headerRowDxfId="53"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2"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0" dataDxfId="49">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8">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7" dataDxfId="46" tableBorderDxfId="45">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3" dataDxfId="42">
  <tableColumns count="8">
    <tableColumn id="1" name="#" dataDxfId="41"/>
    <tableColumn id="2" name="RTA" dataDxfId="40"/>
    <tableColumn id="3" name="Customer" dataDxfId="39"/>
    <tableColumn id="4" name="Description" dataDxfId="38"/>
    <tableColumn id="5" name="Available In Stock" dataDxfId="37"/>
    <tableColumn id="11" name="Assigned To" dataDxfId="36"/>
    <tableColumn id="8" name="Status" dataDxfId="35"/>
    <tableColumn id="9" name="Tech Rev'd Due Date" dataDxfId="3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59" customWidth="1"/>
    <col min="2" max="2" width="8.375" style="60" customWidth="1"/>
    <col min="3" max="9" width="8.375" style="58" customWidth="1"/>
    <col min="10" max="10" width="9.75" style="58" customWidth="1"/>
    <col min="11" max="11" width="8.375" style="46" customWidth="1"/>
    <col min="12" max="16384" width="9" style="46"/>
  </cols>
  <sheetData>
    <row r="1" spans="1:11" ht="14.25">
      <c r="A1" s="46"/>
      <c r="B1" s="46"/>
      <c r="C1" s="46"/>
      <c r="D1" s="46"/>
      <c r="E1" s="46"/>
      <c r="F1" s="46"/>
      <c r="G1" s="46"/>
      <c r="H1" s="46"/>
      <c r="I1" s="46"/>
      <c r="J1" s="46"/>
    </row>
    <row r="2" spans="1:11" ht="14.25">
      <c r="A2" s="46"/>
      <c r="B2" s="111" t="s">
        <v>2064</v>
      </c>
      <c r="C2" s="111"/>
      <c r="D2" s="111"/>
      <c r="E2" s="111"/>
      <c r="F2" s="111"/>
      <c r="G2" s="111"/>
      <c r="H2" s="111"/>
      <c r="I2" s="111"/>
      <c r="J2" s="111"/>
    </row>
    <row r="3" spans="1:11" ht="14.25">
      <c r="A3" s="46"/>
      <c r="B3" s="111"/>
      <c r="C3" s="111"/>
      <c r="D3" s="111"/>
      <c r="E3" s="111"/>
      <c r="F3" s="111"/>
      <c r="G3" s="111"/>
      <c r="H3" s="111"/>
      <c r="I3" s="111"/>
      <c r="J3" s="111"/>
    </row>
    <row r="4" spans="1:11" ht="15" customHeight="1">
      <c r="A4" s="46"/>
      <c r="B4" s="111"/>
      <c r="C4" s="111"/>
      <c r="D4" s="111"/>
      <c r="E4" s="111"/>
      <c r="F4" s="111"/>
      <c r="G4" s="111"/>
      <c r="H4" s="111"/>
      <c r="I4" s="111"/>
      <c r="J4" s="111"/>
    </row>
    <row r="5" spans="1:11" ht="14.25" customHeight="1">
      <c r="A5" s="46"/>
      <c r="B5" s="111"/>
      <c r="C5" s="111"/>
      <c r="D5" s="111"/>
      <c r="E5" s="111"/>
      <c r="F5" s="111"/>
      <c r="G5" s="111"/>
      <c r="H5" s="111"/>
      <c r="I5" s="111"/>
      <c r="J5" s="111"/>
    </row>
    <row r="6" spans="1:11" ht="14.25" customHeight="1">
      <c r="A6" s="46"/>
      <c r="B6" s="111"/>
      <c r="C6" s="111"/>
      <c r="D6" s="111"/>
      <c r="E6" s="111"/>
      <c r="F6" s="111"/>
      <c r="G6" s="111"/>
      <c r="H6" s="111"/>
      <c r="I6" s="111"/>
      <c r="J6" s="111"/>
    </row>
    <row r="7" spans="1:11" ht="80.25" customHeight="1">
      <c r="A7" s="46"/>
      <c r="B7" s="112" t="s">
        <v>2038</v>
      </c>
      <c r="C7" s="112"/>
      <c r="D7" s="112"/>
      <c r="E7" s="112"/>
      <c r="F7" s="112"/>
      <c r="G7" s="112"/>
      <c r="H7" s="112"/>
      <c r="I7" s="112"/>
      <c r="J7" s="49"/>
      <c r="K7" s="49"/>
    </row>
    <row r="8" spans="1:11" ht="20.25" customHeight="1">
      <c r="A8" s="46"/>
      <c r="B8" s="50"/>
      <c r="C8" s="50"/>
      <c r="D8" s="50"/>
      <c r="E8" s="50"/>
      <c r="F8" s="50"/>
      <c r="G8" s="50"/>
      <c r="H8" s="50"/>
      <c r="I8" s="50"/>
      <c r="J8" s="49"/>
      <c r="K8" s="49"/>
    </row>
    <row r="9" spans="1:11" ht="15.95" customHeight="1">
      <c r="K9" s="48"/>
    </row>
    <row r="10" spans="1:11" s="52" customFormat="1" ht="15.95" customHeight="1">
      <c r="A10" s="59"/>
      <c r="B10" s="60"/>
      <c r="C10" s="58"/>
      <c r="D10" s="58"/>
      <c r="E10" s="58"/>
      <c r="F10" s="58"/>
      <c r="G10" s="58"/>
      <c r="H10" s="58"/>
      <c r="I10" s="58"/>
      <c r="J10" s="58"/>
      <c r="K10" s="51"/>
    </row>
    <row r="11" spans="1:11" s="54" customFormat="1" ht="15.95" customHeight="1">
      <c r="A11" s="59"/>
      <c r="B11" s="60"/>
      <c r="C11" s="58"/>
      <c r="D11" s="58"/>
      <c r="E11" s="58"/>
      <c r="F11" s="58"/>
      <c r="G11" s="58"/>
      <c r="H11" s="58"/>
      <c r="I11" s="58"/>
      <c r="J11" s="58"/>
      <c r="K11" s="53"/>
    </row>
    <row r="12" spans="1:11" s="52" customFormat="1" ht="15.95" customHeight="1">
      <c r="A12" s="59"/>
      <c r="B12" s="60"/>
      <c r="C12" s="58"/>
      <c r="D12" s="58"/>
      <c r="E12" s="58"/>
      <c r="F12" s="58"/>
      <c r="G12" s="58"/>
      <c r="H12" s="58"/>
      <c r="I12" s="58"/>
      <c r="J12" s="58"/>
      <c r="K12" s="51"/>
    </row>
    <row r="13" spans="1:11" s="52" customFormat="1" ht="15.95" customHeight="1">
      <c r="A13" s="59"/>
      <c r="B13" s="60"/>
      <c r="C13" s="58"/>
      <c r="D13" s="58"/>
      <c r="E13" s="58"/>
      <c r="F13" s="58"/>
      <c r="G13" s="58"/>
      <c r="H13" s="58"/>
      <c r="I13" s="58"/>
      <c r="J13" s="58"/>
      <c r="K13" s="51"/>
    </row>
    <row r="14" spans="1:11" s="56" customFormat="1" ht="15.95" customHeight="1">
      <c r="A14" s="59"/>
      <c r="B14" s="60"/>
      <c r="C14" s="58"/>
      <c r="D14" s="58"/>
      <c r="E14" s="58"/>
      <c r="F14" s="58"/>
      <c r="G14" s="58"/>
      <c r="H14" s="58"/>
      <c r="I14" s="58"/>
      <c r="J14" s="58"/>
      <c r="K14" s="55"/>
    </row>
    <row r="15" spans="1:11" s="56" customFormat="1" ht="15.95" customHeight="1">
      <c r="A15" s="59"/>
      <c r="B15" s="60"/>
      <c r="C15" s="58"/>
      <c r="D15" s="58"/>
      <c r="E15" s="58"/>
      <c r="F15" s="58"/>
      <c r="G15" s="58"/>
      <c r="H15" s="58"/>
      <c r="I15" s="58"/>
      <c r="J15" s="58"/>
      <c r="K15" s="55"/>
    </row>
    <row r="16" spans="1:11" s="56" customFormat="1" ht="15.95" customHeight="1">
      <c r="A16" s="59"/>
      <c r="B16" s="60"/>
      <c r="C16" s="58"/>
      <c r="D16" s="58"/>
      <c r="E16" s="58"/>
      <c r="F16" s="58"/>
      <c r="G16" s="58"/>
      <c r="H16" s="58"/>
      <c r="I16" s="58"/>
      <c r="J16" s="58"/>
      <c r="K16" s="55"/>
    </row>
    <row r="17" spans="1:27" s="52" customFormat="1" ht="15.95" customHeight="1">
      <c r="A17" s="59"/>
      <c r="B17" s="60"/>
      <c r="C17" s="58"/>
      <c r="D17" s="58"/>
      <c r="E17" s="58"/>
      <c r="F17" s="58"/>
      <c r="G17" s="58"/>
      <c r="H17" s="58"/>
      <c r="I17" s="58"/>
      <c r="J17" s="58"/>
      <c r="K17" s="57"/>
    </row>
    <row r="18" spans="1:27" s="52" customFormat="1" ht="15.95" customHeight="1">
      <c r="A18" s="59"/>
      <c r="B18" s="60"/>
      <c r="C18" s="58"/>
      <c r="D18" s="58"/>
      <c r="E18" s="58"/>
      <c r="F18" s="58"/>
      <c r="G18" s="58"/>
      <c r="H18" s="58"/>
      <c r="I18" s="58"/>
      <c r="J18" s="58"/>
    </row>
    <row r="19" spans="1:27" s="52" customFormat="1" ht="15.95" customHeight="1">
      <c r="A19" s="59"/>
      <c r="B19" s="60"/>
      <c r="C19" s="58"/>
      <c r="D19" s="58"/>
      <c r="E19" s="58"/>
      <c r="F19" s="58"/>
      <c r="G19" s="58"/>
      <c r="H19" s="58"/>
      <c r="I19" s="58"/>
      <c r="J19" s="58"/>
    </row>
    <row r="20" spans="1:27" s="52" customFormat="1" ht="15.95" customHeight="1">
      <c r="A20" s="59"/>
      <c r="B20" s="60"/>
      <c r="C20" s="58"/>
      <c r="D20" s="58"/>
      <c r="E20" s="58"/>
      <c r="F20" s="58"/>
      <c r="G20" s="58"/>
      <c r="H20" s="58"/>
      <c r="I20" s="58"/>
      <c r="J20" s="58"/>
    </row>
    <row r="21" spans="1:27" s="52" customFormat="1" ht="15.95" customHeight="1">
      <c r="A21" s="59"/>
      <c r="B21" s="60"/>
      <c r="C21" s="58"/>
      <c r="D21" s="58"/>
      <c r="E21" s="58"/>
      <c r="F21" s="58"/>
      <c r="G21" s="58"/>
      <c r="H21" s="58"/>
      <c r="I21" s="58"/>
      <c r="J21" s="58"/>
    </row>
    <row r="22" spans="1:27" s="52" customFormat="1" ht="15.95" customHeight="1">
      <c r="A22" s="59"/>
      <c r="B22" s="60"/>
      <c r="C22" s="58"/>
      <c r="D22" s="58"/>
      <c r="E22" s="58"/>
      <c r="F22" s="58"/>
      <c r="G22" s="58"/>
      <c r="H22" s="58"/>
      <c r="I22" s="58"/>
      <c r="J22" s="58"/>
    </row>
    <row r="23" spans="1:27" s="52" customFormat="1" ht="15.95" customHeight="1">
      <c r="A23" s="59"/>
      <c r="B23" s="60"/>
      <c r="C23" s="58"/>
      <c r="D23" s="58"/>
      <c r="E23" s="58"/>
      <c r="F23" s="58"/>
      <c r="G23" s="58"/>
      <c r="H23" s="58"/>
      <c r="I23" s="58"/>
      <c r="J23" s="58"/>
    </row>
    <row r="24" spans="1:27" s="52" customFormat="1" ht="15.95" customHeight="1">
      <c r="A24" s="59"/>
      <c r="B24" s="60"/>
      <c r="C24" s="58"/>
      <c r="D24" s="58"/>
      <c r="E24" s="58"/>
      <c r="F24" s="58"/>
      <c r="G24" s="58"/>
      <c r="H24" s="58"/>
      <c r="I24" s="58"/>
      <c r="J24" s="58"/>
    </row>
    <row r="25" spans="1:27" s="52" customFormat="1" ht="15.95" customHeight="1">
      <c r="A25" s="59"/>
      <c r="B25" s="60"/>
      <c r="C25" s="58"/>
      <c r="D25" s="58"/>
      <c r="E25" s="58"/>
      <c r="F25" s="58"/>
      <c r="G25" s="58"/>
      <c r="H25" s="58"/>
      <c r="I25" s="58"/>
      <c r="J25" s="58"/>
    </row>
    <row r="26" spans="1:27" s="52" customFormat="1" ht="15.95" customHeight="1">
      <c r="A26" s="59"/>
      <c r="B26" s="60"/>
      <c r="C26" s="58"/>
      <c r="D26" s="58"/>
      <c r="E26" s="58"/>
      <c r="F26" s="58"/>
      <c r="G26" s="58"/>
      <c r="H26" s="58"/>
      <c r="I26" s="58"/>
      <c r="J26" s="58"/>
    </row>
    <row r="27" spans="1:27" s="52" customFormat="1" ht="15.95" customHeight="1">
      <c r="A27" s="59"/>
      <c r="B27" s="60"/>
      <c r="C27" s="58"/>
      <c r="D27" s="58"/>
      <c r="E27" s="58"/>
      <c r="F27" s="58"/>
      <c r="G27" s="58"/>
      <c r="H27" s="58"/>
      <c r="I27" s="58"/>
      <c r="J27" s="58"/>
    </row>
    <row r="28" spans="1:27" s="52" customFormat="1" ht="15.95" customHeight="1">
      <c r="A28" s="59"/>
      <c r="B28" s="60"/>
      <c r="C28" s="58"/>
      <c r="D28" s="58"/>
      <c r="E28" s="58"/>
      <c r="F28" s="58"/>
      <c r="G28" s="58"/>
      <c r="H28" s="58"/>
      <c r="I28" s="58"/>
      <c r="J28" s="58"/>
    </row>
    <row r="29" spans="1:27" s="52" customFormat="1" ht="15.95" customHeight="1">
      <c r="A29" s="59"/>
      <c r="B29" s="60"/>
      <c r="C29" s="58"/>
      <c r="D29" s="58"/>
      <c r="E29" s="58"/>
      <c r="F29" s="58"/>
      <c r="G29" s="58"/>
      <c r="H29" s="58"/>
      <c r="I29" s="58"/>
      <c r="J29" s="58"/>
      <c r="R29" s="110"/>
      <c r="S29" s="110"/>
      <c r="T29" s="110"/>
      <c r="U29" s="110"/>
      <c r="V29" s="110"/>
      <c r="W29" s="110"/>
      <c r="X29" s="110"/>
      <c r="Y29" s="110"/>
      <c r="Z29" s="110"/>
      <c r="AA29" s="110"/>
    </row>
    <row r="30" spans="1:27" s="52" customFormat="1" ht="15.95" customHeight="1">
      <c r="A30" s="59"/>
      <c r="B30" s="60"/>
      <c r="C30" s="58"/>
      <c r="D30" s="58"/>
      <c r="E30" s="58"/>
      <c r="F30" s="58"/>
      <c r="G30" s="58"/>
      <c r="H30" s="58"/>
      <c r="I30" s="58"/>
      <c r="J30" s="58"/>
    </row>
    <row r="31" spans="1:27" s="52" customFormat="1" ht="15.95" customHeight="1">
      <c r="A31" s="59"/>
      <c r="B31" s="60"/>
      <c r="C31" s="58"/>
      <c r="D31" s="58"/>
      <c r="E31" s="58"/>
      <c r="F31" s="58"/>
      <c r="G31" s="58"/>
      <c r="H31" s="58"/>
      <c r="I31" s="58"/>
      <c r="J31" s="58"/>
    </row>
    <row r="32" spans="1:27" s="52" customFormat="1" ht="15.95" customHeight="1">
      <c r="A32" s="59"/>
      <c r="B32" s="60"/>
      <c r="C32" s="58"/>
      <c r="D32" s="58"/>
      <c r="E32" s="58"/>
      <c r="F32" s="58"/>
      <c r="G32" s="58"/>
      <c r="H32" s="58"/>
      <c r="I32" s="58"/>
      <c r="J32" s="58"/>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247650</xdr:colOff>
                <xdr:row>4</xdr:row>
                <xdr:rowOff>133350</xdr:rowOff>
              </from>
              <to>
                <xdr:col>9</xdr:col>
                <xdr:colOff>466725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I1477"/>
  <sheetViews>
    <sheetView showGridLines="0" zoomScaleNormal="100" workbookViewId="0">
      <pane xSplit="4" ySplit="5" topLeftCell="E6" activePane="bottomRight" state="frozen"/>
      <selection pane="topRight" activeCell="E1" sqref="E1"/>
      <selection pane="bottomLeft" activeCell="A6" sqref="A6"/>
      <selection pane="bottomRight" activeCell="V6" activeCellId="25" sqref="E6:E1477 I6:I1477 K6:Q1477 S6:W1477 X1:X1048576 Y1:Y1048576 Z1:Z1048576 X1:X1048576 Y1:Y1048576 Z1:Z1048576 S1:W1048576 S1:S1048576 T1:T1048576 U1:U1048576 V1:V1048576 W1:W1048576 T1:T1048576 T1:T1048576 S1:S1048576 S1:S1048576 S1:S1048576 U1:U1048576 V1:V1048576 S1:AA1048576 U1:U1048576 V1:V1048576"/>
    </sheetView>
  </sheetViews>
  <sheetFormatPr defaultColWidth="9" defaultRowHeight="17.45" customHeight="1"/>
  <cols>
    <col min="1" max="1" width="6.75" style="45" customWidth="1"/>
    <col min="2" max="2" width="10.125" style="45" customWidth="1"/>
    <col min="3" max="3" width="24.875" style="78" customWidth="1"/>
    <col min="4" max="4" width="38.5" style="98" customWidth="1"/>
    <col min="5" max="5" width="11.375" style="78" hidden="1" customWidth="1"/>
    <col min="6" max="6" width="9.875" style="95" customWidth="1"/>
    <col min="7" max="8" width="9.125" style="95" customWidth="1"/>
    <col min="9" max="9" width="21.75" style="78" hidden="1" customWidth="1"/>
    <col min="10" max="10" width="19" style="78" customWidth="1"/>
    <col min="11" max="11" width="6.25" style="78" hidden="1" customWidth="1"/>
    <col min="12" max="12" width="10.5" style="91" hidden="1" customWidth="1"/>
    <col min="13" max="16" width="13.5" style="91" hidden="1" customWidth="1"/>
    <col min="17" max="17" width="12.5" style="92" hidden="1" customWidth="1"/>
    <col min="18" max="18" width="12.75" style="91" customWidth="1"/>
    <col min="19" max="19" width="17.375" style="78" hidden="1" customWidth="1"/>
    <col min="20" max="20" width="31" style="78" hidden="1" customWidth="1"/>
    <col min="21" max="21" width="13.375" style="78" hidden="1" customWidth="1"/>
    <col min="22" max="22" width="11.5" style="78" hidden="1" customWidth="1"/>
    <col min="23" max="23" width="6.375" style="78" hidden="1" customWidth="1"/>
    <col min="24" max="27" width="24.875" style="78" hidden="1" customWidth="1"/>
    <col min="28" max="28" width="24.875" style="78" customWidth="1"/>
    <col min="29" max="29" width="13.875" style="78" customWidth="1"/>
    <col min="30" max="30" width="5.875" style="78" customWidth="1"/>
    <col min="31" max="31" width="7.75" style="78" customWidth="1"/>
    <col min="32" max="32" width="5.75" style="78" customWidth="1"/>
    <col min="33" max="33" width="22.375" style="78" customWidth="1"/>
    <col min="34" max="36" width="9" style="78" customWidth="1"/>
    <col min="37" max="16384" width="9" style="78"/>
  </cols>
  <sheetData>
    <row r="1" spans="1:35" s="82" customFormat="1" ht="18" customHeight="1">
      <c r="A1" s="114" t="s">
        <v>3171</v>
      </c>
      <c r="B1" s="115"/>
      <c r="C1" s="97" t="s">
        <v>2671</v>
      </c>
      <c r="D1" s="79"/>
      <c r="F1" s="93"/>
      <c r="G1" s="93"/>
      <c r="H1" s="93"/>
      <c r="L1" s="86"/>
      <c r="M1" s="86"/>
      <c r="N1" s="86"/>
      <c r="O1" s="86"/>
      <c r="P1" s="86"/>
      <c r="Q1" s="86"/>
    </row>
    <row r="2" spans="1:35" s="82" customFormat="1" ht="64.5" customHeight="1">
      <c r="A2" s="118"/>
      <c r="B2" s="119"/>
      <c r="C2" s="116"/>
      <c r="D2" s="80"/>
      <c r="F2" s="93"/>
      <c r="G2" s="93"/>
      <c r="H2" s="93"/>
      <c r="L2" s="86"/>
      <c r="M2" s="86"/>
      <c r="N2" s="86"/>
      <c r="O2" s="86"/>
      <c r="P2" s="86"/>
      <c r="Q2" s="86"/>
    </row>
    <row r="3" spans="1:35" s="82" customFormat="1" ht="69" customHeight="1">
      <c r="A3" s="120"/>
      <c r="B3" s="121"/>
      <c r="C3" s="117"/>
      <c r="D3" s="80"/>
      <c r="F3" s="93"/>
      <c r="G3" s="93"/>
      <c r="H3" s="93"/>
      <c r="I3" s="83" t="s">
        <v>3479</v>
      </c>
      <c r="L3" s="86"/>
      <c r="M3" s="87"/>
      <c r="N3" s="86"/>
      <c r="O3" s="86"/>
      <c r="P3" s="86"/>
      <c r="Q3" s="86"/>
    </row>
    <row r="4" spans="1:35" s="84" customFormat="1" ht="18" customHeight="1">
      <c r="A4" s="120"/>
      <c r="B4" s="121"/>
      <c r="C4" s="117"/>
      <c r="D4" s="81"/>
      <c r="F4" s="94"/>
      <c r="G4" s="94"/>
      <c r="H4" s="94"/>
      <c r="I4" s="88"/>
      <c r="L4" s="89"/>
      <c r="M4" s="89"/>
      <c r="N4" s="89"/>
      <c r="O4" s="89"/>
      <c r="P4" s="89"/>
      <c r="Q4" s="89"/>
    </row>
    <row r="5" spans="1:35" s="85" customFormat="1" ht="46.5" customHeight="1">
      <c r="A5" s="12" t="s">
        <v>86</v>
      </c>
      <c r="B5" s="99" t="s">
        <v>963</v>
      </c>
      <c r="C5" s="12" t="s">
        <v>1002</v>
      </c>
      <c r="D5" s="12" t="s">
        <v>0</v>
      </c>
      <c r="E5" s="12" t="s">
        <v>7</v>
      </c>
      <c r="F5" s="12" t="s">
        <v>1003</v>
      </c>
      <c r="G5" s="96" t="s">
        <v>1961</v>
      </c>
      <c r="H5" s="96" t="s">
        <v>1962</v>
      </c>
      <c r="I5" s="12" t="s">
        <v>1913</v>
      </c>
      <c r="J5" s="12" t="s">
        <v>1004</v>
      </c>
      <c r="K5" s="12" t="s">
        <v>966</v>
      </c>
      <c r="L5" s="12" t="s">
        <v>1005</v>
      </c>
      <c r="M5" s="62" t="s">
        <v>964</v>
      </c>
      <c r="N5" s="62" t="s">
        <v>965</v>
      </c>
      <c r="O5" s="62" t="s">
        <v>977</v>
      </c>
      <c r="P5" s="62" t="s">
        <v>978</v>
      </c>
      <c r="Q5" s="12" t="s">
        <v>1006</v>
      </c>
      <c r="R5" s="12" t="s">
        <v>1912</v>
      </c>
      <c r="S5" s="12" t="s">
        <v>967</v>
      </c>
      <c r="T5" s="12" t="s">
        <v>2</v>
      </c>
      <c r="U5" s="12" t="s">
        <v>3</v>
      </c>
      <c r="V5" s="12" t="s">
        <v>1</v>
      </c>
      <c r="W5" s="12" t="s">
        <v>1007</v>
      </c>
      <c r="X5" s="12" t="s">
        <v>2814</v>
      </c>
      <c r="Y5" s="12" t="s">
        <v>2926</v>
      </c>
      <c r="Z5" s="12" t="s">
        <v>3161</v>
      </c>
      <c r="AA5" s="12" t="s">
        <v>3372</v>
      </c>
      <c r="AB5" s="113"/>
      <c r="AC5" s="113"/>
      <c r="AD5" s="113"/>
      <c r="AE5" s="113"/>
      <c r="AF5" s="113"/>
      <c r="AG5" s="113"/>
      <c r="AH5" s="113"/>
      <c r="AI5" s="113"/>
    </row>
    <row r="6" spans="1:35" ht="17.45" hidden="1" customHeight="1">
      <c r="A6" s="100" t="str">
        <f>IF(priority(Main[[#This Row],[Comments]])&lt;&gt;0, priority(Main[[#This Row],[Comments]]),"")</f>
        <v/>
      </c>
      <c r="B6" s="77" t="s">
        <v>1012</v>
      </c>
      <c r="C6" s="65" t="s">
        <v>4</v>
      </c>
      <c r="D6" s="66" t="s">
        <v>18</v>
      </c>
      <c r="E6" s="67"/>
      <c r="F6" s="67"/>
      <c r="G6" s="64" t="str">
        <f>IF(stdProdLT(Main[[#This Row],[Comments]])=0.1,"N/A",IF(stdProdLT(Main[[#This Row],[Comments]])=0,"",stdProdLT(Main[[#This Row],[Comments]])))</f>
        <v/>
      </c>
      <c r="H6" s="68" t="str">
        <f>IF(AND(Main[[#This Row],[In Stock Date]]&lt;&gt;"",Main[[#This Row],[Revised Due Date]]&lt;&gt;""),Main[[#This Row],[In Stock Date]]-Main[[#This Row],[Revised Due Date]],"")</f>
        <v/>
      </c>
      <c r="I6" s="65" t="s">
        <v>4</v>
      </c>
      <c r="J6" s="65" t="s">
        <v>4</v>
      </c>
      <c r="K6" s="71" t="s">
        <v>4</v>
      </c>
      <c r="L6" s="67"/>
      <c r="M6" s="69" t="str">
        <f>IF(Main[[#This Row],[Tech Start Date]]&lt;1/1/1990,"",IF(Main[[#This Row],[Class]]="C",WORKDAY(Main[[#This Row],[Tech Start Date]],9),IF(Main[[#This Row],[Class]]="B", WORKDAY(Main[[#This Row],[Tech Start Date]],6),IF(Main[[#This Row],[Class]]="A",WORKDAY(Main[[#This Row],[Tech Start Date]],2),""))))</f>
        <v/>
      </c>
      <c r="N6" s="69" t="str">
        <f>IF(Main[[#This Row],[Tech Start Date]]&lt;1/1/1990,"",IF(Main[[#This Row],[Class]]="C",WORKDAY(Main[[#This Row],[Tech Start Date]],19),IF(Main[[#This Row],[Class]]="B", WORKDAY(Main[[#This Row],[Tech Start Date]],12),IF(Main[[#This Row],[Class]]="A",WORKDAY(Main[[#This Row],[Tech Start Date]],4),""))))</f>
        <v/>
      </c>
      <c r="O6" s="69" t="str">
        <f>IF(Main[[#This Row],[Tech Start Date]]&lt;1/1/1990,"",IF(Main[[#This Row],[Class]]="C",WORKDAY(Main[[#This Row],[Tech Start Date]],23),IF(Main[[#This Row],[Class]]="B", WORKDAY(Main[[#This Row],[Tech Start Date]],15),IF(Main[[#This Row],[Class]]="A",WORKDAY(Main[[#This Row],[Tech Start Date]],5),""))))</f>
        <v/>
      </c>
      <c r="P6" s="69" t="str">
        <f>IF(Main[[#This Row],[Tech Start Date]]&lt;1/1/1990,"",IF(Main[[#This Row],[Class]]="C",WORKDAY(Main[[#This Row],[Tech Start Date]],28),IF(Main[[#This Row],[Class]]="B", WORKDAY(Main[[#This Row],[Tech Start Date]],19),IF(Main[[#This Row],[Class]]="A",WORKDAY(Main[[#This Row],[Tech Start Date]],9),""))))</f>
        <v/>
      </c>
      <c r="Q6" s="67">
        <v>40585</v>
      </c>
      <c r="R6" s="67"/>
      <c r="S6" s="65" t="s">
        <v>11</v>
      </c>
      <c r="T6" s="70" t="s">
        <v>4</v>
      </c>
      <c r="U6" s="65" t="s">
        <v>14</v>
      </c>
      <c r="V6" s="65" t="s">
        <v>1914</v>
      </c>
      <c r="W6" s="65" t="s">
        <v>1919</v>
      </c>
      <c r="X6" s="65" t="s">
        <v>2821</v>
      </c>
      <c r="Y6" s="65" t="s">
        <v>2936</v>
      </c>
      <c r="Z6" s="65" t="s">
        <v>4</v>
      </c>
      <c r="AA6" s="65" t="s">
        <v>2821</v>
      </c>
    </row>
    <row r="7" spans="1:35" ht="17.45" hidden="1" customHeight="1">
      <c r="A7" s="100" t="str">
        <f>IF(priority(Main[[#This Row],[Comments]])&lt;&gt;0, priority(Main[[#This Row],[Comments]]),"")</f>
        <v/>
      </c>
      <c r="B7" s="77" t="s">
        <v>1932</v>
      </c>
      <c r="C7" s="65" t="s">
        <v>19</v>
      </c>
      <c r="D7" s="66" t="s">
        <v>20</v>
      </c>
      <c r="E7" s="67"/>
      <c r="F7" s="67">
        <v>40548</v>
      </c>
      <c r="G7" s="64" t="str">
        <f>IF(stdProdLT(Main[[#This Row],[Comments]])=0.1,"N/A",IF(stdProdLT(Main[[#This Row],[Comments]])=0,"",stdProdLT(Main[[#This Row],[Comments]])))</f>
        <v/>
      </c>
      <c r="H7" s="68" t="str">
        <f>IF(AND(Main[[#This Row],[In Stock Date]]&lt;&gt;"",Main[[#This Row],[Revised Due Date]]&lt;&gt;""),Main[[#This Row],[In Stock Date]]-Main[[#This Row],[Revised Due Date]],"")</f>
        <v/>
      </c>
      <c r="I7" s="65" t="s">
        <v>4</v>
      </c>
      <c r="J7" s="65" t="s">
        <v>21</v>
      </c>
      <c r="K7" s="65" t="s">
        <v>4</v>
      </c>
      <c r="L7" s="67"/>
      <c r="M7" s="69" t="str">
        <f>IF(Main[[#This Row],[Tech Start Date]]&lt;1/1/1990,"",IF(Main[[#This Row],[Class]]="C",WORKDAY(Main[[#This Row],[Tech Start Date]],9),IF(Main[[#This Row],[Class]]="B", WORKDAY(Main[[#This Row],[Tech Start Date]],6),IF(Main[[#This Row],[Class]]="A",WORKDAY(Main[[#This Row],[Tech Start Date]],2),""))))</f>
        <v/>
      </c>
      <c r="N7" s="69" t="str">
        <f>IF(Main[[#This Row],[Tech Start Date]]&lt;1/1/1990,"",IF(Main[[#This Row],[Class]]="C",WORKDAY(Main[[#This Row],[Tech Start Date]],19),IF(Main[[#This Row],[Class]]="B", WORKDAY(Main[[#This Row],[Tech Start Date]],12),IF(Main[[#This Row],[Class]]="A",WORKDAY(Main[[#This Row],[Tech Start Date]],4),""))))</f>
        <v/>
      </c>
      <c r="O7" s="69" t="str">
        <f>IF(Main[[#This Row],[Tech Start Date]]&lt;1/1/1990,"",IF(Main[[#This Row],[Class]]="C",WORKDAY(Main[[#This Row],[Tech Start Date]],23),IF(Main[[#This Row],[Class]]="B", WORKDAY(Main[[#This Row],[Tech Start Date]],15),IF(Main[[#This Row],[Class]]="A",WORKDAY(Main[[#This Row],[Tech Start Date]],5),""))))</f>
        <v/>
      </c>
      <c r="P7" s="69" t="str">
        <f>IF(Main[[#This Row],[Tech Start Date]]&lt;1/1/1990,"",IF(Main[[#This Row],[Class]]="C",WORKDAY(Main[[#This Row],[Tech Start Date]],28),IF(Main[[#This Row],[Class]]="B", WORKDAY(Main[[#This Row],[Tech Start Date]],19),IF(Main[[#This Row],[Class]]="A",WORKDAY(Main[[#This Row],[Tech Start Date]],9),""))))</f>
        <v/>
      </c>
      <c r="Q7" s="67">
        <v>40441</v>
      </c>
      <c r="R7" s="67"/>
      <c r="S7" s="65" t="s">
        <v>11</v>
      </c>
      <c r="T7" s="70" t="s">
        <v>4</v>
      </c>
      <c r="U7" s="65" t="s">
        <v>12</v>
      </c>
      <c r="V7" s="65" t="s">
        <v>1917</v>
      </c>
      <c r="W7" s="65" t="s">
        <v>1920</v>
      </c>
      <c r="X7" s="65" t="s">
        <v>81</v>
      </c>
      <c r="Y7" s="65" t="s">
        <v>2939</v>
      </c>
      <c r="Z7" s="65" t="s">
        <v>431</v>
      </c>
      <c r="AA7" s="65" t="s">
        <v>2833</v>
      </c>
    </row>
    <row r="8" spans="1:35" ht="17.45" hidden="1" customHeight="1">
      <c r="A8" s="100" t="str">
        <f>IF(priority(Main[[#This Row],[Comments]])&lt;&gt;0, priority(Main[[#This Row],[Comments]]),"")</f>
        <v/>
      </c>
      <c r="B8" s="77" t="s">
        <v>1013</v>
      </c>
      <c r="C8" s="65" t="s">
        <v>4</v>
      </c>
      <c r="D8" s="66" t="s">
        <v>22</v>
      </c>
      <c r="E8" s="67"/>
      <c r="F8" s="67"/>
      <c r="G8" s="64" t="str">
        <f>IF(stdProdLT(Main[[#This Row],[Comments]])=0.1,"N/A",IF(stdProdLT(Main[[#This Row],[Comments]])=0,"",stdProdLT(Main[[#This Row],[Comments]])))</f>
        <v/>
      </c>
      <c r="H8" s="68" t="str">
        <f>IF(AND(Main[[#This Row],[In Stock Date]]&lt;&gt;"",Main[[#This Row],[Revised Due Date]]&lt;&gt;""),Main[[#This Row],[In Stock Date]]-Main[[#This Row],[Revised Due Date]],"")</f>
        <v/>
      </c>
      <c r="I8" s="65" t="s">
        <v>4</v>
      </c>
      <c r="J8" s="65" t="s">
        <v>4</v>
      </c>
      <c r="K8" s="65" t="s">
        <v>4</v>
      </c>
      <c r="L8" s="67"/>
      <c r="M8" s="69" t="str">
        <f>IF(Main[[#This Row],[Tech Start Date]]&lt;1/1/1990,"",IF(Main[[#This Row],[Class]]="C",WORKDAY(Main[[#This Row],[Tech Start Date]],9),IF(Main[[#This Row],[Class]]="B", WORKDAY(Main[[#This Row],[Tech Start Date]],6),IF(Main[[#This Row],[Class]]="A",WORKDAY(Main[[#This Row],[Tech Start Date]],2),""))))</f>
        <v/>
      </c>
      <c r="N8" s="69" t="str">
        <f>IF(Main[[#This Row],[Tech Start Date]]&lt;1/1/1990,"",IF(Main[[#This Row],[Class]]="C",WORKDAY(Main[[#This Row],[Tech Start Date]],19),IF(Main[[#This Row],[Class]]="B", WORKDAY(Main[[#This Row],[Tech Start Date]],12),IF(Main[[#This Row],[Class]]="A",WORKDAY(Main[[#This Row],[Tech Start Date]],4),""))))</f>
        <v/>
      </c>
      <c r="O8" s="69" t="str">
        <f>IF(Main[[#This Row],[Tech Start Date]]&lt;1/1/1990,"",IF(Main[[#This Row],[Class]]="C",WORKDAY(Main[[#This Row],[Tech Start Date]],23),IF(Main[[#This Row],[Class]]="B", WORKDAY(Main[[#This Row],[Tech Start Date]],15),IF(Main[[#This Row],[Class]]="A",WORKDAY(Main[[#This Row],[Tech Start Date]],5),""))))</f>
        <v/>
      </c>
      <c r="P8" s="69" t="str">
        <f>IF(Main[[#This Row],[Tech Start Date]]&lt;1/1/1990,"",IF(Main[[#This Row],[Class]]="C",WORKDAY(Main[[#This Row],[Tech Start Date]],28),IF(Main[[#This Row],[Class]]="B", WORKDAY(Main[[#This Row],[Tech Start Date]],19),IF(Main[[#This Row],[Class]]="A",WORKDAY(Main[[#This Row],[Tech Start Date]],9),""))))</f>
        <v/>
      </c>
      <c r="Q8" s="67"/>
      <c r="R8" s="67"/>
      <c r="S8" s="65" t="s">
        <v>23</v>
      </c>
      <c r="T8" s="70" t="s">
        <v>4</v>
      </c>
      <c r="U8" s="65" t="s">
        <v>14</v>
      </c>
      <c r="V8" s="65" t="s">
        <v>1914</v>
      </c>
      <c r="W8" s="65" t="s">
        <v>1916</v>
      </c>
      <c r="X8" s="65" t="s">
        <v>306</v>
      </c>
      <c r="Y8" s="65" t="s">
        <v>4</v>
      </c>
      <c r="Z8" s="65" t="s">
        <v>4</v>
      </c>
      <c r="AA8" s="65" t="s">
        <v>3373</v>
      </c>
    </row>
    <row r="9" spans="1:35" ht="17.45" hidden="1" customHeight="1">
      <c r="A9" s="100" t="str">
        <f>IF(priority(Main[[#This Row],[Comments]])&lt;&gt;0, priority(Main[[#This Row],[Comments]]),"")</f>
        <v/>
      </c>
      <c r="B9" s="77" t="s">
        <v>1014</v>
      </c>
      <c r="C9" s="65" t="s">
        <v>24</v>
      </c>
      <c r="D9" s="66" t="s">
        <v>25</v>
      </c>
      <c r="E9" s="67"/>
      <c r="F9" s="67"/>
      <c r="G9" s="64" t="str">
        <f>IF(stdProdLT(Main[[#This Row],[Comments]])=0.1,"N/A",IF(stdProdLT(Main[[#This Row],[Comments]])=0,"",stdProdLT(Main[[#This Row],[Comments]])))</f>
        <v/>
      </c>
      <c r="H9" s="68" t="str">
        <f>IF(AND(Main[[#This Row],[In Stock Date]]&lt;&gt;"",Main[[#This Row],[Revised Due Date]]&lt;&gt;""),Main[[#This Row],[In Stock Date]]-Main[[#This Row],[Revised Due Date]],"")</f>
        <v/>
      </c>
      <c r="I9" s="65" t="s">
        <v>4</v>
      </c>
      <c r="J9" s="65" t="s">
        <v>4</v>
      </c>
      <c r="K9" s="65" t="s">
        <v>4</v>
      </c>
      <c r="L9" s="67"/>
      <c r="M9" s="69" t="str">
        <f>IF(Main[[#This Row],[Tech Start Date]]&lt;1/1/1990,"",IF(Main[[#This Row],[Class]]="C",WORKDAY(Main[[#This Row],[Tech Start Date]],9),IF(Main[[#This Row],[Class]]="B", WORKDAY(Main[[#This Row],[Tech Start Date]],6),IF(Main[[#This Row],[Class]]="A",WORKDAY(Main[[#This Row],[Tech Start Date]],2),""))))</f>
        <v/>
      </c>
      <c r="N9" s="69" t="str">
        <f>IF(Main[[#This Row],[Tech Start Date]]&lt;1/1/1990,"",IF(Main[[#This Row],[Class]]="C",WORKDAY(Main[[#This Row],[Tech Start Date]],19),IF(Main[[#This Row],[Class]]="B", WORKDAY(Main[[#This Row],[Tech Start Date]],12),IF(Main[[#This Row],[Class]]="A",WORKDAY(Main[[#This Row],[Tech Start Date]],4),""))))</f>
        <v/>
      </c>
      <c r="O9" s="69" t="str">
        <f>IF(Main[[#This Row],[Tech Start Date]]&lt;1/1/1990,"",IF(Main[[#This Row],[Class]]="C",WORKDAY(Main[[#This Row],[Tech Start Date]],23),IF(Main[[#This Row],[Class]]="B", WORKDAY(Main[[#This Row],[Tech Start Date]],15),IF(Main[[#This Row],[Class]]="A",WORKDAY(Main[[#This Row],[Tech Start Date]],5),""))))</f>
        <v/>
      </c>
      <c r="P9" s="69" t="str">
        <f>IF(Main[[#This Row],[Tech Start Date]]&lt;1/1/1990,"",IF(Main[[#This Row],[Class]]="C",WORKDAY(Main[[#This Row],[Tech Start Date]],28),IF(Main[[#This Row],[Class]]="B", WORKDAY(Main[[#This Row],[Tech Start Date]],19),IF(Main[[#This Row],[Class]]="A",WORKDAY(Main[[#This Row],[Tech Start Date]],9),""))))</f>
        <v/>
      </c>
      <c r="Q9" s="67"/>
      <c r="R9" s="67"/>
      <c r="S9" s="65" t="s">
        <v>11</v>
      </c>
      <c r="T9" s="70" t="s">
        <v>4</v>
      </c>
      <c r="U9" s="65" t="s">
        <v>14</v>
      </c>
      <c r="V9" s="65" t="s">
        <v>1915</v>
      </c>
      <c r="W9" s="65" t="s">
        <v>1919</v>
      </c>
      <c r="X9" s="65" t="s">
        <v>306</v>
      </c>
      <c r="Y9" s="65" t="s">
        <v>2941</v>
      </c>
      <c r="Z9" s="65" t="s">
        <v>4</v>
      </c>
      <c r="AA9" s="65" t="s">
        <v>306</v>
      </c>
    </row>
    <row r="10" spans="1:35" ht="17.45" hidden="1" customHeight="1">
      <c r="A10" s="100" t="str">
        <f>IF(priority(Main[[#This Row],[Comments]])&lt;&gt;0, priority(Main[[#This Row],[Comments]]),"")</f>
        <v/>
      </c>
      <c r="B10" s="77" t="s">
        <v>1468</v>
      </c>
      <c r="C10" s="65" t="s">
        <v>4</v>
      </c>
      <c r="D10" s="66" t="s">
        <v>2332</v>
      </c>
      <c r="E10" s="67">
        <v>40431.641157407408</v>
      </c>
      <c r="F10" s="67"/>
      <c r="G10" s="64" t="str">
        <f>IF(stdProdLT(Main[[#This Row],[Comments]])=0.1,"N/A",IF(stdProdLT(Main[[#This Row],[Comments]])=0,"",stdProdLT(Main[[#This Row],[Comments]])))</f>
        <v/>
      </c>
      <c r="H10" s="68" t="str">
        <f>IF(AND(Main[[#This Row],[In Stock Date]]&lt;&gt;"",Main[[#This Row],[Revised Due Date]]&lt;&gt;""),Main[[#This Row],[In Stock Date]]-Main[[#This Row],[Revised Due Date]],"")</f>
        <v/>
      </c>
      <c r="I10" s="65" t="s">
        <v>912</v>
      </c>
      <c r="J10" s="65" t="s">
        <v>52</v>
      </c>
      <c r="K10" s="71" t="s">
        <v>4</v>
      </c>
      <c r="L10" s="67"/>
      <c r="M10" s="69" t="str">
        <f>IF(Main[[#This Row],[Tech Start Date]]&lt;1/1/1990,"",IF(Main[[#This Row],[Class]]="C",WORKDAY(Main[[#This Row],[Tech Start Date]],9),IF(Main[[#This Row],[Class]]="B", WORKDAY(Main[[#This Row],[Tech Start Date]],6),IF(Main[[#This Row],[Class]]="A",WORKDAY(Main[[#This Row],[Tech Start Date]],2),""))))</f>
        <v/>
      </c>
      <c r="N10" s="69" t="str">
        <f>IF(Main[[#This Row],[Tech Start Date]]&lt;1/1/1990,"",IF(Main[[#This Row],[Class]]="C",WORKDAY(Main[[#This Row],[Tech Start Date]],19),IF(Main[[#This Row],[Class]]="B", WORKDAY(Main[[#This Row],[Tech Start Date]],12),IF(Main[[#This Row],[Class]]="A",WORKDAY(Main[[#This Row],[Tech Start Date]],4),""))))</f>
        <v/>
      </c>
      <c r="O10" s="69" t="str">
        <f>IF(Main[[#This Row],[Tech Start Date]]&lt;1/1/1990,"",IF(Main[[#This Row],[Class]]="C",WORKDAY(Main[[#This Row],[Tech Start Date]],23),IF(Main[[#This Row],[Class]]="B", WORKDAY(Main[[#This Row],[Tech Start Date]],15),IF(Main[[#This Row],[Class]]="A",WORKDAY(Main[[#This Row],[Tech Start Date]],5),""))))</f>
        <v/>
      </c>
      <c r="P10" s="69" t="str">
        <f>IF(Main[[#This Row],[Tech Start Date]]&lt;1/1/1990,"",IF(Main[[#This Row],[Class]]="C",WORKDAY(Main[[#This Row],[Tech Start Date]],28),IF(Main[[#This Row],[Class]]="B", WORKDAY(Main[[#This Row],[Tech Start Date]],19),IF(Main[[#This Row],[Class]]="A",WORKDAY(Main[[#This Row],[Tech Start Date]],9),""))))</f>
        <v/>
      </c>
      <c r="Q10" s="67">
        <v>40466</v>
      </c>
      <c r="R10" s="67"/>
      <c r="S10" s="65" t="s">
        <v>6</v>
      </c>
      <c r="T10" s="70" t="s">
        <v>4</v>
      </c>
      <c r="U10" s="65" t="s">
        <v>29</v>
      </c>
      <c r="V10" s="65" t="s">
        <v>1914</v>
      </c>
      <c r="W10" s="65" t="s">
        <v>1916</v>
      </c>
      <c r="X10" s="65" t="s">
        <v>2818</v>
      </c>
      <c r="Y10" s="65" t="s">
        <v>2929</v>
      </c>
      <c r="Z10" s="65" t="s">
        <v>129</v>
      </c>
      <c r="AA10" s="65" t="s">
        <v>2818</v>
      </c>
    </row>
    <row r="11" spans="1:35" ht="17.45" hidden="1" customHeight="1">
      <c r="A11" s="100" t="str">
        <f>IF(priority(Main[[#This Row],[Comments]])&lt;&gt;0, priority(Main[[#This Row],[Comments]]),"")</f>
        <v/>
      </c>
      <c r="B11" s="77" t="s">
        <v>2324</v>
      </c>
      <c r="C11" s="65" t="s">
        <v>4</v>
      </c>
      <c r="D11" s="66" t="s">
        <v>2325</v>
      </c>
      <c r="E11" s="67">
        <v>40828.669305555559</v>
      </c>
      <c r="F11" s="67"/>
      <c r="G11" s="64" t="str">
        <f>IF(stdProdLT(Main[[#This Row],[Comments]])=0.1,"N/A",IF(stdProdLT(Main[[#This Row],[Comments]])=0,"",stdProdLT(Main[[#This Row],[Comments]])))</f>
        <v/>
      </c>
      <c r="H11" s="68" t="str">
        <f>IF(AND(Main[[#This Row],[In Stock Date]]&lt;&gt;"",Main[[#This Row],[Revised Due Date]]&lt;&gt;""),Main[[#This Row],[In Stock Date]]-Main[[#This Row],[Revised Due Date]],"")</f>
        <v/>
      </c>
      <c r="I11" s="65" t="s">
        <v>4</v>
      </c>
      <c r="J11" s="65" t="s">
        <v>4</v>
      </c>
      <c r="K11" s="65" t="s">
        <v>4</v>
      </c>
      <c r="L11" s="67"/>
      <c r="M11" s="69" t="str">
        <f>IF(Main[[#This Row],[Tech Start Date]]&lt;1/1/1990,"",IF(Main[[#This Row],[Class]]="C",WORKDAY(Main[[#This Row],[Tech Start Date]],9),IF(Main[[#This Row],[Class]]="B", WORKDAY(Main[[#This Row],[Tech Start Date]],6),IF(Main[[#This Row],[Class]]="A",WORKDAY(Main[[#This Row],[Tech Start Date]],2),""))))</f>
        <v/>
      </c>
      <c r="N11" s="69" t="str">
        <f>IF(Main[[#This Row],[Tech Start Date]]&lt;1/1/1990,"",IF(Main[[#This Row],[Class]]="C",WORKDAY(Main[[#This Row],[Tech Start Date]],19),IF(Main[[#This Row],[Class]]="B", WORKDAY(Main[[#This Row],[Tech Start Date]],12),IF(Main[[#This Row],[Class]]="A",WORKDAY(Main[[#This Row],[Tech Start Date]],4),""))))</f>
        <v/>
      </c>
      <c r="O11" s="69" t="str">
        <f>IF(Main[[#This Row],[Tech Start Date]]&lt;1/1/1990,"",IF(Main[[#This Row],[Class]]="C",WORKDAY(Main[[#This Row],[Tech Start Date]],23),IF(Main[[#This Row],[Class]]="B", WORKDAY(Main[[#This Row],[Tech Start Date]],15),IF(Main[[#This Row],[Class]]="A",WORKDAY(Main[[#This Row],[Tech Start Date]],5),""))))</f>
        <v/>
      </c>
      <c r="P11" s="69" t="str">
        <f>IF(Main[[#This Row],[Tech Start Date]]&lt;1/1/1990,"",IF(Main[[#This Row],[Class]]="C",WORKDAY(Main[[#This Row],[Tech Start Date]],28),IF(Main[[#This Row],[Class]]="B", WORKDAY(Main[[#This Row],[Tech Start Date]],19),IF(Main[[#This Row],[Class]]="A",WORKDAY(Main[[#This Row],[Tech Start Date]],9),""))))</f>
        <v/>
      </c>
      <c r="Q11" s="67"/>
      <c r="R11" s="67"/>
      <c r="S11" s="65" t="s">
        <v>6</v>
      </c>
      <c r="T11" s="70" t="s">
        <v>4</v>
      </c>
      <c r="U11" s="65" t="s">
        <v>29</v>
      </c>
      <c r="V11" s="65" t="s">
        <v>1914</v>
      </c>
      <c r="W11" s="65" t="s">
        <v>1918</v>
      </c>
      <c r="X11" s="65" t="s">
        <v>102</v>
      </c>
      <c r="Y11" s="65" t="s">
        <v>2942</v>
      </c>
      <c r="Z11" s="65" t="s">
        <v>4</v>
      </c>
      <c r="AA11" s="65" t="s">
        <v>3374</v>
      </c>
    </row>
    <row r="12" spans="1:35" ht="17.45" hidden="1" customHeight="1">
      <c r="A12" s="100" t="str">
        <f>IF(priority(Main[[#This Row],[Comments]])&lt;&gt;0, priority(Main[[#This Row],[Comments]]),"")</f>
        <v/>
      </c>
      <c r="B12" s="77" t="s">
        <v>1015</v>
      </c>
      <c r="C12" s="65" t="s">
        <v>26</v>
      </c>
      <c r="D12" s="66" t="s">
        <v>27</v>
      </c>
      <c r="E12" s="67"/>
      <c r="F12" s="67">
        <v>40563</v>
      </c>
      <c r="G12" s="64" t="str">
        <f>IF(stdProdLT(Main[[#This Row],[Comments]])=0.1,"N/A",IF(stdProdLT(Main[[#This Row],[Comments]])=0,"",stdProdLT(Main[[#This Row],[Comments]])))</f>
        <v/>
      </c>
      <c r="H12" s="68" t="str">
        <f>IF(AND(Main[[#This Row],[In Stock Date]]&lt;&gt;"",Main[[#This Row],[Revised Due Date]]&lt;&gt;""),Main[[#This Row],[In Stock Date]]-Main[[#This Row],[Revised Due Date]],"")</f>
        <v/>
      </c>
      <c r="I12" s="65" t="s">
        <v>4</v>
      </c>
      <c r="J12" s="65" t="s">
        <v>28</v>
      </c>
      <c r="K12" s="71" t="s">
        <v>1921</v>
      </c>
      <c r="L12" s="67"/>
      <c r="M12" s="69" t="str">
        <f>IF(Main[[#This Row],[Tech Start Date]]&lt;1/1/1990,"",IF(Main[[#This Row],[Class]]="C",WORKDAY(Main[[#This Row],[Tech Start Date]],9),IF(Main[[#This Row],[Class]]="B", WORKDAY(Main[[#This Row],[Tech Start Date]],6),IF(Main[[#This Row],[Class]]="A",WORKDAY(Main[[#This Row],[Tech Start Date]],2),""))))</f>
        <v/>
      </c>
      <c r="N12" s="69" t="str">
        <f>IF(Main[[#This Row],[Tech Start Date]]&lt;1/1/1990,"",IF(Main[[#This Row],[Class]]="C",WORKDAY(Main[[#This Row],[Tech Start Date]],19),IF(Main[[#This Row],[Class]]="B", WORKDAY(Main[[#This Row],[Tech Start Date]],12),IF(Main[[#This Row],[Class]]="A",WORKDAY(Main[[#This Row],[Tech Start Date]],4),""))))</f>
        <v/>
      </c>
      <c r="O12" s="69" t="str">
        <f>IF(Main[[#This Row],[Tech Start Date]]&lt;1/1/1990,"",IF(Main[[#This Row],[Class]]="C",WORKDAY(Main[[#This Row],[Tech Start Date]],23),IF(Main[[#This Row],[Class]]="B", WORKDAY(Main[[#This Row],[Tech Start Date]],15),IF(Main[[#This Row],[Class]]="A",WORKDAY(Main[[#This Row],[Tech Start Date]],5),""))))</f>
        <v/>
      </c>
      <c r="P12" s="69" t="str">
        <f>IF(Main[[#This Row],[Tech Start Date]]&lt;1/1/1990,"",IF(Main[[#This Row],[Class]]="C",WORKDAY(Main[[#This Row],[Tech Start Date]],28),IF(Main[[#This Row],[Class]]="B", WORKDAY(Main[[#This Row],[Tech Start Date]],19),IF(Main[[#This Row],[Class]]="A",WORKDAY(Main[[#This Row],[Tech Start Date]],9),""))))</f>
        <v/>
      </c>
      <c r="Q12" s="67">
        <v>40563</v>
      </c>
      <c r="R12" s="67"/>
      <c r="S12" s="65" t="s">
        <v>11</v>
      </c>
      <c r="T12" s="70" t="s">
        <v>4</v>
      </c>
      <c r="U12" s="65" t="s">
        <v>14</v>
      </c>
      <c r="V12" s="65" t="s">
        <v>1915</v>
      </c>
      <c r="W12" s="65" t="s">
        <v>1916</v>
      </c>
      <c r="X12" s="65" t="s">
        <v>2816</v>
      </c>
      <c r="Y12" s="65" t="s">
        <v>2928</v>
      </c>
      <c r="Z12" s="65" t="s">
        <v>3159</v>
      </c>
      <c r="AA12" s="65" t="s">
        <v>2816</v>
      </c>
    </row>
    <row r="13" spans="1:35" ht="17.45" hidden="1" customHeight="1">
      <c r="A13" s="100" t="str">
        <f>IF(priority(Main[[#This Row],[Comments]])&lt;&gt;0, priority(Main[[#This Row],[Comments]]),"")</f>
        <v/>
      </c>
      <c r="B13" s="77" t="s">
        <v>1933</v>
      </c>
      <c r="C13" s="65" t="s">
        <v>4</v>
      </c>
      <c r="D13" s="66" t="s">
        <v>1934</v>
      </c>
      <c r="E13" s="67"/>
      <c r="F13" s="67">
        <v>40309</v>
      </c>
      <c r="G13" s="64" t="str">
        <f>IF(stdProdLT(Main[[#This Row],[Comments]])=0.1,"N/A",IF(stdProdLT(Main[[#This Row],[Comments]])=0,"",stdProdLT(Main[[#This Row],[Comments]])))</f>
        <v/>
      </c>
      <c r="H13" s="68" t="str">
        <f>IF(AND(Main[[#This Row],[In Stock Date]]&lt;&gt;"",Main[[#This Row],[Revised Due Date]]&lt;&gt;""),Main[[#This Row],[In Stock Date]]-Main[[#This Row],[Revised Due Date]],"")</f>
        <v/>
      </c>
      <c r="I13" s="65" t="s">
        <v>4</v>
      </c>
      <c r="J13" s="65" t="s">
        <v>4</v>
      </c>
      <c r="K13" s="71" t="s">
        <v>4</v>
      </c>
      <c r="L13" s="67"/>
      <c r="M13" s="69" t="str">
        <f>IF(Main[[#This Row],[Tech Start Date]]&lt;1/1/1990,"",IF(Main[[#This Row],[Class]]="C",WORKDAY(Main[[#This Row],[Tech Start Date]],9),IF(Main[[#This Row],[Class]]="B", WORKDAY(Main[[#This Row],[Tech Start Date]],6),IF(Main[[#This Row],[Class]]="A",WORKDAY(Main[[#This Row],[Tech Start Date]],2),""))))</f>
        <v/>
      </c>
      <c r="N13" s="69" t="str">
        <f>IF(Main[[#This Row],[Tech Start Date]]&lt;1/1/1990,"",IF(Main[[#This Row],[Class]]="C",WORKDAY(Main[[#This Row],[Tech Start Date]],19),IF(Main[[#This Row],[Class]]="B", WORKDAY(Main[[#This Row],[Tech Start Date]],12),IF(Main[[#This Row],[Class]]="A",WORKDAY(Main[[#This Row],[Tech Start Date]],4),""))))</f>
        <v/>
      </c>
      <c r="O13" s="69" t="str">
        <f>IF(Main[[#This Row],[Tech Start Date]]&lt;1/1/1990,"",IF(Main[[#This Row],[Class]]="C",WORKDAY(Main[[#This Row],[Tech Start Date]],23),IF(Main[[#This Row],[Class]]="B", WORKDAY(Main[[#This Row],[Tech Start Date]],15),IF(Main[[#This Row],[Class]]="A",WORKDAY(Main[[#This Row],[Tech Start Date]],5),""))))</f>
        <v/>
      </c>
      <c r="P13" s="69" t="str">
        <f>IF(Main[[#This Row],[Tech Start Date]]&lt;1/1/1990,"",IF(Main[[#This Row],[Class]]="C",WORKDAY(Main[[#This Row],[Tech Start Date]],28),IF(Main[[#This Row],[Class]]="B", WORKDAY(Main[[#This Row],[Tech Start Date]],19),IF(Main[[#This Row],[Class]]="A",WORKDAY(Main[[#This Row],[Tech Start Date]],9),""))))</f>
        <v/>
      </c>
      <c r="Q13" s="67">
        <v>40305</v>
      </c>
      <c r="R13" s="67"/>
      <c r="S13" s="65" t="s">
        <v>6</v>
      </c>
      <c r="T13" s="70" t="s">
        <v>4</v>
      </c>
      <c r="U13" s="65" t="s">
        <v>14</v>
      </c>
      <c r="V13" s="65" t="s">
        <v>1914</v>
      </c>
      <c r="W13" s="65" t="s">
        <v>1922</v>
      </c>
      <c r="X13" s="65" t="s">
        <v>2824</v>
      </c>
      <c r="Y13" s="65" t="s">
        <v>2943</v>
      </c>
      <c r="Z13" s="65" t="s">
        <v>4</v>
      </c>
      <c r="AA13" s="65" t="s">
        <v>2824</v>
      </c>
    </row>
    <row r="14" spans="1:35" ht="17.45" hidden="1" customHeight="1">
      <c r="A14" s="100" t="str">
        <f>IF(priority(Main[[#This Row],[Comments]])&lt;&gt;0, priority(Main[[#This Row],[Comments]]),"")</f>
        <v/>
      </c>
      <c r="B14" s="77" t="s">
        <v>1016</v>
      </c>
      <c r="C14" s="65" t="s">
        <v>4</v>
      </c>
      <c r="D14" s="66" t="s">
        <v>1947</v>
      </c>
      <c r="E14" s="67">
        <v>40130.654374999998</v>
      </c>
      <c r="F14" s="67"/>
      <c r="G14" s="64" t="str">
        <f>IF(stdProdLT(Main[[#This Row],[Comments]])=0.1,"N/A",IF(stdProdLT(Main[[#This Row],[Comments]])=0,"",stdProdLT(Main[[#This Row],[Comments]])))</f>
        <v/>
      </c>
      <c r="H14" s="68" t="str">
        <f>IF(AND(Main[[#This Row],[In Stock Date]]&lt;&gt;"",Main[[#This Row],[Revised Due Date]]&lt;&gt;""),Main[[#This Row],[In Stock Date]]-Main[[#This Row],[Revised Due Date]],"")</f>
        <v/>
      </c>
      <c r="I14" s="65" t="s">
        <v>4</v>
      </c>
      <c r="J14" s="65" t="s">
        <v>4</v>
      </c>
      <c r="K14" s="65" t="s">
        <v>4</v>
      </c>
      <c r="L14" s="67"/>
      <c r="M14" s="69" t="str">
        <f>IF(Main[[#This Row],[Tech Start Date]]&lt;1/1/1990,"",IF(Main[[#This Row],[Class]]="C",WORKDAY(Main[[#This Row],[Tech Start Date]],9),IF(Main[[#This Row],[Class]]="B", WORKDAY(Main[[#This Row],[Tech Start Date]],6),IF(Main[[#This Row],[Class]]="A",WORKDAY(Main[[#This Row],[Tech Start Date]],2),""))))</f>
        <v/>
      </c>
      <c r="N14" s="69" t="str">
        <f>IF(Main[[#This Row],[Tech Start Date]]&lt;1/1/1990,"",IF(Main[[#This Row],[Class]]="C",WORKDAY(Main[[#This Row],[Tech Start Date]],19),IF(Main[[#This Row],[Class]]="B", WORKDAY(Main[[#This Row],[Tech Start Date]],12),IF(Main[[#This Row],[Class]]="A",WORKDAY(Main[[#This Row],[Tech Start Date]],4),""))))</f>
        <v/>
      </c>
      <c r="O14" s="69" t="str">
        <f>IF(Main[[#This Row],[Tech Start Date]]&lt;1/1/1990,"",IF(Main[[#This Row],[Class]]="C",WORKDAY(Main[[#This Row],[Tech Start Date]],23),IF(Main[[#This Row],[Class]]="B", WORKDAY(Main[[#This Row],[Tech Start Date]],15),IF(Main[[#This Row],[Class]]="A",WORKDAY(Main[[#This Row],[Tech Start Date]],5),""))))</f>
        <v/>
      </c>
      <c r="P14" s="69" t="str">
        <f>IF(Main[[#This Row],[Tech Start Date]]&lt;1/1/1990,"",IF(Main[[#This Row],[Class]]="C",WORKDAY(Main[[#This Row],[Tech Start Date]],28),IF(Main[[#This Row],[Class]]="B", WORKDAY(Main[[#This Row],[Tech Start Date]],19),IF(Main[[#This Row],[Class]]="A",WORKDAY(Main[[#This Row],[Tech Start Date]],9),""))))</f>
        <v/>
      </c>
      <c r="Q14" s="67"/>
      <c r="R14" s="67"/>
      <c r="S14" s="65" t="s">
        <v>6</v>
      </c>
      <c r="T14" s="70" t="s">
        <v>4</v>
      </c>
      <c r="U14" s="65" t="s">
        <v>29</v>
      </c>
      <c r="V14" s="65" t="s">
        <v>1914</v>
      </c>
      <c r="W14" s="65" t="s">
        <v>1922</v>
      </c>
      <c r="X14" s="65" t="s">
        <v>2820</v>
      </c>
      <c r="Y14" s="65" t="s">
        <v>2944</v>
      </c>
      <c r="Z14" s="65" t="s">
        <v>4</v>
      </c>
      <c r="AA14" s="65" t="s">
        <v>2873</v>
      </c>
    </row>
    <row r="15" spans="1:35" ht="17.45" hidden="1" customHeight="1">
      <c r="A15" s="100" t="str">
        <f>IF(priority(Main[[#This Row],[Comments]])&lt;&gt;0, priority(Main[[#This Row],[Comments]]),"")</f>
        <v/>
      </c>
      <c r="B15" s="77" t="s">
        <v>1018</v>
      </c>
      <c r="C15" s="65" t="s">
        <v>31</v>
      </c>
      <c r="D15" s="66" t="s">
        <v>32</v>
      </c>
      <c r="E15" s="67"/>
      <c r="F15" s="67">
        <v>40634</v>
      </c>
      <c r="G15" s="64" t="str">
        <f>IF(stdProdLT(Main[[#This Row],[Comments]])=0.1,"N/A",IF(stdProdLT(Main[[#This Row],[Comments]])=0,"",stdProdLT(Main[[#This Row],[Comments]])))</f>
        <v/>
      </c>
      <c r="H15" s="68" t="str">
        <f>IF(AND(Main[[#This Row],[In Stock Date]]&lt;&gt;"",Main[[#This Row],[Revised Due Date]]&lt;&gt;""),Main[[#This Row],[In Stock Date]]-Main[[#This Row],[Revised Due Date]],"")</f>
        <v/>
      </c>
      <c r="I15" s="65" t="s">
        <v>4</v>
      </c>
      <c r="J15" s="65" t="s">
        <v>4</v>
      </c>
      <c r="K15" s="65" t="s">
        <v>4</v>
      </c>
      <c r="L15" s="67"/>
      <c r="M15" s="69" t="str">
        <f>IF(Main[[#This Row],[Tech Start Date]]&lt;1/1/1990,"",IF(Main[[#This Row],[Class]]="C",WORKDAY(Main[[#This Row],[Tech Start Date]],9),IF(Main[[#This Row],[Class]]="B", WORKDAY(Main[[#This Row],[Tech Start Date]],6),IF(Main[[#This Row],[Class]]="A",WORKDAY(Main[[#This Row],[Tech Start Date]],2),""))))</f>
        <v/>
      </c>
      <c r="N15" s="69" t="str">
        <f>IF(Main[[#This Row],[Tech Start Date]]&lt;1/1/1990,"",IF(Main[[#This Row],[Class]]="C",WORKDAY(Main[[#This Row],[Tech Start Date]],19),IF(Main[[#This Row],[Class]]="B", WORKDAY(Main[[#This Row],[Tech Start Date]],12),IF(Main[[#This Row],[Class]]="A",WORKDAY(Main[[#This Row],[Tech Start Date]],4),""))))</f>
        <v/>
      </c>
      <c r="O15" s="69" t="str">
        <f>IF(Main[[#This Row],[Tech Start Date]]&lt;1/1/1990,"",IF(Main[[#This Row],[Class]]="C",WORKDAY(Main[[#This Row],[Tech Start Date]],23),IF(Main[[#This Row],[Class]]="B", WORKDAY(Main[[#This Row],[Tech Start Date]],15),IF(Main[[#This Row],[Class]]="A",WORKDAY(Main[[#This Row],[Tech Start Date]],5),""))))</f>
        <v/>
      </c>
      <c r="P15" s="69" t="str">
        <f>IF(Main[[#This Row],[Tech Start Date]]&lt;1/1/1990,"",IF(Main[[#This Row],[Class]]="C",WORKDAY(Main[[#This Row],[Tech Start Date]],28),IF(Main[[#This Row],[Class]]="B", WORKDAY(Main[[#This Row],[Tech Start Date]],19),IF(Main[[#This Row],[Class]]="A",WORKDAY(Main[[#This Row],[Tech Start Date]],9),""))))</f>
        <v/>
      </c>
      <c r="Q15" s="67"/>
      <c r="R15" s="67"/>
      <c r="S15" s="65" t="s">
        <v>11</v>
      </c>
      <c r="T15" s="70" t="s">
        <v>4</v>
      </c>
      <c r="U15" s="65" t="s">
        <v>14</v>
      </c>
      <c r="V15" s="65" t="s">
        <v>1917</v>
      </c>
      <c r="W15" s="65" t="s">
        <v>1919</v>
      </c>
      <c r="X15" s="65" t="s">
        <v>2825</v>
      </c>
      <c r="Y15" s="65" t="s">
        <v>2945</v>
      </c>
      <c r="Z15" s="65" t="s">
        <v>4</v>
      </c>
      <c r="AA15" s="65" t="s">
        <v>2845</v>
      </c>
    </row>
    <row r="16" spans="1:35" ht="17.45" hidden="1" customHeight="1">
      <c r="A16" s="100" t="str">
        <f>IF(priority(Main[[#This Row],[Comments]])&lt;&gt;0, priority(Main[[#This Row],[Comments]]),"")</f>
        <v/>
      </c>
      <c r="B16" s="77" t="s">
        <v>1019</v>
      </c>
      <c r="C16" s="65" t="s">
        <v>33</v>
      </c>
      <c r="D16" s="66" t="s">
        <v>34</v>
      </c>
      <c r="E16" s="67"/>
      <c r="F16" s="67">
        <v>40764</v>
      </c>
      <c r="G16" s="64" t="str">
        <f>IF(stdProdLT(Main[[#This Row],[Comments]])=0.1,"N/A",IF(stdProdLT(Main[[#This Row],[Comments]])=0,"",stdProdLT(Main[[#This Row],[Comments]])))</f>
        <v/>
      </c>
      <c r="H16" s="68" t="str">
        <f>IF(AND(Main[[#This Row],[In Stock Date]]&lt;&gt;"",Main[[#This Row],[Revised Due Date]]&lt;&gt;""),Main[[#This Row],[In Stock Date]]-Main[[#This Row],[Revised Due Date]],"")</f>
        <v/>
      </c>
      <c r="I16" s="65" t="s">
        <v>4</v>
      </c>
      <c r="J16" s="65" t="s">
        <v>28</v>
      </c>
      <c r="K16" s="65" t="s">
        <v>1921</v>
      </c>
      <c r="L16" s="67"/>
      <c r="M16" s="69" t="str">
        <f>IF(Main[[#This Row],[Tech Start Date]]&lt;1/1/1990,"",IF(Main[[#This Row],[Class]]="C",WORKDAY(Main[[#This Row],[Tech Start Date]],9),IF(Main[[#This Row],[Class]]="B", WORKDAY(Main[[#This Row],[Tech Start Date]],6),IF(Main[[#This Row],[Class]]="A",WORKDAY(Main[[#This Row],[Tech Start Date]],2),""))))</f>
        <v/>
      </c>
      <c r="N16" s="69" t="str">
        <f>IF(Main[[#This Row],[Tech Start Date]]&lt;1/1/1990,"",IF(Main[[#This Row],[Class]]="C",WORKDAY(Main[[#This Row],[Tech Start Date]],19),IF(Main[[#This Row],[Class]]="B", WORKDAY(Main[[#This Row],[Tech Start Date]],12),IF(Main[[#This Row],[Class]]="A",WORKDAY(Main[[#This Row],[Tech Start Date]],4),""))))</f>
        <v/>
      </c>
      <c r="O16" s="69" t="str">
        <f>IF(Main[[#This Row],[Tech Start Date]]&lt;1/1/1990,"",IF(Main[[#This Row],[Class]]="C",WORKDAY(Main[[#This Row],[Tech Start Date]],23),IF(Main[[#This Row],[Class]]="B", WORKDAY(Main[[#This Row],[Tech Start Date]],15),IF(Main[[#This Row],[Class]]="A",WORKDAY(Main[[#This Row],[Tech Start Date]],5),""))))</f>
        <v/>
      </c>
      <c r="P16" s="69" t="str">
        <f>IF(Main[[#This Row],[Tech Start Date]]&lt;1/1/1990,"",IF(Main[[#This Row],[Class]]="C",WORKDAY(Main[[#This Row],[Tech Start Date]],28),IF(Main[[#This Row],[Class]]="B", WORKDAY(Main[[#This Row],[Tech Start Date]],19),IF(Main[[#This Row],[Class]]="A",WORKDAY(Main[[#This Row],[Tech Start Date]],9),""))))</f>
        <v/>
      </c>
      <c r="Q16" s="67">
        <v>40568</v>
      </c>
      <c r="R16" s="67"/>
      <c r="S16" s="65" t="s">
        <v>11</v>
      </c>
      <c r="T16" s="70" t="s">
        <v>4</v>
      </c>
      <c r="U16" s="65" t="s">
        <v>14</v>
      </c>
      <c r="V16" s="65" t="s">
        <v>1914</v>
      </c>
      <c r="W16" s="65" t="s">
        <v>1922</v>
      </c>
      <c r="X16" s="65" t="s">
        <v>2826</v>
      </c>
      <c r="Y16" s="65" t="s">
        <v>2946</v>
      </c>
      <c r="Z16" s="65" t="s">
        <v>129</v>
      </c>
      <c r="AA16" s="65" t="s">
        <v>2826</v>
      </c>
    </row>
    <row r="17" spans="1:27" ht="17.45" hidden="1" customHeight="1">
      <c r="A17" s="100" t="str">
        <f>IF(priority(Main[[#This Row],[Comments]])&lt;&gt;0, priority(Main[[#This Row],[Comments]]),"")</f>
        <v/>
      </c>
      <c r="B17" s="77" t="s">
        <v>1935</v>
      </c>
      <c r="C17" s="65" t="s">
        <v>4</v>
      </c>
      <c r="D17" s="66" t="s">
        <v>35</v>
      </c>
      <c r="E17" s="67"/>
      <c r="F17" s="67"/>
      <c r="G17" s="64" t="str">
        <f>IF(stdProdLT(Main[[#This Row],[Comments]])=0.1,"N/A",IF(stdProdLT(Main[[#This Row],[Comments]])=0,"",stdProdLT(Main[[#This Row],[Comments]])))</f>
        <v/>
      </c>
      <c r="H17" s="68" t="str">
        <f>IF(AND(Main[[#This Row],[In Stock Date]]&lt;&gt;"",Main[[#This Row],[Revised Due Date]]&lt;&gt;""),Main[[#This Row],[In Stock Date]]-Main[[#This Row],[Revised Due Date]],"")</f>
        <v/>
      </c>
      <c r="I17" s="65" t="s">
        <v>4</v>
      </c>
      <c r="J17" s="65" t="s">
        <v>4</v>
      </c>
      <c r="K17" s="65" t="s">
        <v>4</v>
      </c>
      <c r="L17" s="67"/>
      <c r="M17" s="69" t="str">
        <f>IF(Main[[#This Row],[Tech Start Date]]&lt;1/1/1990,"",IF(Main[[#This Row],[Class]]="C",WORKDAY(Main[[#This Row],[Tech Start Date]],9),IF(Main[[#This Row],[Class]]="B", WORKDAY(Main[[#This Row],[Tech Start Date]],6),IF(Main[[#This Row],[Class]]="A",WORKDAY(Main[[#This Row],[Tech Start Date]],2),""))))</f>
        <v/>
      </c>
      <c r="N17" s="69" t="str">
        <f>IF(Main[[#This Row],[Tech Start Date]]&lt;1/1/1990,"",IF(Main[[#This Row],[Class]]="C",WORKDAY(Main[[#This Row],[Tech Start Date]],19),IF(Main[[#This Row],[Class]]="B", WORKDAY(Main[[#This Row],[Tech Start Date]],12),IF(Main[[#This Row],[Class]]="A",WORKDAY(Main[[#This Row],[Tech Start Date]],4),""))))</f>
        <v/>
      </c>
      <c r="O17" s="69" t="str">
        <f>IF(Main[[#This Row],[Tech Start Date]]&lt;1/1/1990,"",IF(Main[[#This Row],[Class]]="C",WORKDAY(Main[[#This Row],[Tech Start Date]],23),IF(Main[[#This Row],[Class]]="B", WORKDAY(Main[[#This Row],[Tech Start Date]],15),IF(Main[[#This Row],[Class]]="A",WORKDAY(Main[[#This Row],[Tech Start Date]],5),""))))</f>
        <v/>
      </c>
      <c r="P17" s="69" t="str">
        <f>IF(Main[[#This Row],[Tech Start Date]]&lt;1/1/1990,"",IF(Main[[#This Row],[Class]]="C",WORKDAY(Main[[#This Row],[Tech Start Date]],28),IF(Main[[#This Row],[Class]]="B", WORKDAY(Main[[#This Row],[Tech Start Date]],19),IF(Main[[#This Row],[Class]]="A",WORKDAY(Main[[#This Row],[Tech Start Date]],9),""))))</f>
        <v/>
      </c>
      <c r="Q17" s="67"/>
      <c r="R17" s="67"/>
      <c r="S17" s="65" t="s">
        <v>23</v>
      </c>
      <c r="T17" s="70" t="s">
        <v>4</v>
      </c>
      <c r="U17" s="65" t="s">
        <v>14</v>
      </c>
      <c r="V17" s="65" t="s">
        <v>1924</v>
      </c>
      <c r="W17" s="65" t="s">
        <v>1918</v>
      </c>
      <c r="X17" s="65" t="s">
        <v>399</v>
      </c>
      <c r="Y17" s="65" t="s">
        <v>4</v>
      </c>
      <c r="Z17" s="65" t="s">
        <v>4</v>
      </c>
      <c r="AA17" s="65" t="s">
        <v>3375</v>
      </c>
    </row>
    <row r="18" spans="1:27" ht="17.45" hidden="1" customHeight="1">
      <c r="A18" s="100" t="str">
        <f>IF(priority(Main[[#This Row],[Comments]])&lt;&gt;0, priority(Main[[#This Row],[Comments]]),"")</f>
        <v/>
      </c>
      <c r="B18" s="77" t="s">
        <v>1020</v>
      </c>
      <c r="C18" s="65" t="s">
        <v>4</v>
      </c>
      <c r="D18" s="66" t="s">
        <v>36</v>
      </c>
      <c r="E18" s="67"/>
      <c r="F18" s="67"/>
      <c r="G18" s="64" t="str">
        <f>IF(stdProdLT(Main[[#This Row],[Comments]])=0.1,"N/A",IF(stdProdLT(Main[[#This Row],[Comments]])=0,"",stdProdLT(Main[[#This Row],[Comments]])))</f>
        <v/>
      </c>
      <c r="H18" s="68" t="str">
        <f>IF(AND(Main[[#This Row],[In Stock Date]]&lt;&gt;"",Main[[#This Row],[Revised Due Date]]&lt;&gt;""),Main[[#This Row],[In Stock Date]]-Main[[#This Row],[Revised Due Date]],"")</f>
        <v/>
      </c>
      <c r="I18" s="65" t="s">
        <v>4</v>
      </c>
      <c r="J18" s="65" t="s">
        <v>4</v>
      </c>
      <c r="K18" s="65" t="s">
        <v>4</v>
      </c>
      <c r="L18" s="67"/>
      <c r="M18" s="69" t="str">
        <f>IF(Main[[#This Row],[Tech Start Date]]&lt;1/1/1990,"",IF(Main[[#This Row],[Class]]="C",WORKDAY(Main[[#This Row],[Tech Start Date]],9),IF(Main[[#This Row],[Class]]="B", WORKDAY(Main[[#This Row],[Tech Start Date]],6),IF(Main[[#This Row],[Class]]="A",WORKDAY(Main[[#This Row],[Tech Start Date]],2),""))))</f>
        <v/>
      </c>
      <c r="N18" s="69" t="str">
        <f>IF(Main[[#This Row],[Tech Start Date]]&lt;1/1/1990,"",IF(Main[[#This Row],[Class]]="C",WORKDAY(Main[[#This Row],[Tech Start Date]],19),IF(Main[[#This Row],[Class]]="B", WORKDAY(Main[[#This Row],[Tech Start Date]],12),IF(Main[[#This Row],[Class]]="A",WORKDAY(Main[[#This Row],[Tech Start Date]],4),""))))</f>
        <v/>
      </c>
      <c r="O18" s="69" t="str">
        <f>IF(Main[[#This Row],[Tech Start Date]]&lt;1/1/1990,"",IF(Main[[#This Row],[Class]]="C",WORKDAY(Main[[#This Row],[Tech Start Date]],23),IF(Main[[#This Row],[Class]]="B", WORKDAY(Main[[#This Row],[Tech Start Date]],15),IF(Main[[#This Row],[Class]]="A",WORKDAY(Main[[#This Row],[Tech Start Date]],5),""))))</f>
        <v/>
      </c>
      <c r="P18" s="69" t="str">
        <f>IF(Main[[#This Row],[Tech Start Date]]&lt;1/1/1990,"",IF(Main[[#This Row],[Class]]="C",WORKDAY(Main[[#This Row],[Tech Start Date]],28),IF(Main[[#This Row],[Class]]="B", WORKDAY(Main[[#This Row],[Tech Start Date]],19),IF(Main[[#This Row],[Class]]="A",WORKDAY(Main[[#This Row],[Tech Start Date]],9),""))))</f>
        <v/>
      </c>
      <c r="Q18" s="67">
        <v>40781</v>
      </c>
      <c r="R18" s="67"/>
      <c r="S18" s="65" t="s">
        <v>11</v>
      </c>
      <c r="T18" s="70" t="s">
        <v>4</v>
      </c>
      <c r="U18" s="65" t="s">
        <v>14</v>
      </c>
      <c r="V18" s="65" t="s">
        <v>1914</v>
      </c>
      <c r="W18" s="65" t="s">
        <v>1918</v>
      </c>
      <c r="X18" s="65" t="s">
        <v>2821</v>
      </c>
      <c r="Y18" s="65" t="s">
        <v>2936</v>
      </c>
      <c r="Z18" s="65" t="s">
        <v>4</v>
      </c>
      <c r="AA18" s="65" t="s">
        <v>2821</v>
      </c>
    </row>
    <row r="19" spans="1:27" ht="17.45" hidden="1" customHeight="1">
      <c r="A19" s="100" t="str">
        <f>IF(priority(Main[[#This Row],[Comments]])&lt;&gt;0, priority(Main[[#This Row],[Comments]]),"")</f>
        <v/>
      </c>
      <c r="B19" s="77" t="s">
        <v>1021</v>
      </c>
      <c r="C19" s="65" t="s">
        <v>26</v>
      </c>
      <c r="D19" s="66" t="s">
        <v>38</v>
      </c>
      <c r="E19" s="67"/>
      <c r="F19" s="67">
        <v>40743</v>
      </c>
      <c r="G19" s="64" t="str">
        <f>IF(stdProdLT(Main[[#This Row],[Comments]])=0.1,"N/A",IF(stdProdLT(Main[[#This Row],[Comments]])=0,"",stdProdLT(Main[[#This Row],[Comments]])))</f>
        <v/>
      </c>
      <c r="H19" s="68" t="str">
        <f>IF(AND(Main[[#This Row],[In Stock Date]]&lt;&gt;"",Main[[#This Row],[Revised Due Date]]&lt;&gt;""),Main[[#This Row],[In Stock Date]]-Main[[#This Row],[Revised Due Date]],"")</f>
        <v/>
      </c>
      <c r="I19" s="65" t="s">
        <v>4</v>
      </c>
      <c r="J19" s="65" t="s">
        <v>28</v>
      </c>
      <c r="K19" s="71" t="s">
        <v>4</v>
      </c>
      <c r="L19" s="67"/>
      <c r="M19" s="69" t="str">
        <f>IF(Main[[#This Row],[Tech Start Date]]&lt;1/1/1990,"",IF(Main[[#This Row],[Class]]="C",WORKDAY(Main[[#This Row],[Tech Start Date]],9),IF(Main[[#This Row],[Class]]="B", WORKDAY(Main[[#This Row],[Tech Start Date]],6),IF(Main[[#This Row],[Class]]="A",WORKDAY(Main[[#This Row],[Tech Start Date]],2),""))))</f>
        <v/>
      </c>
      <c r="N19" s="69" t="str">
        <f>IF(Main[[#This Row],[Tech Start Date]]&lt;1/1/1990,"",IF(Main[[#This Row],[Class]]="C",WORKDAY(Main[[#This Row],[Tech Start Date]],19),IF(Main[[#This Row],[Class]]="B", WORKDAY(Main[[#This Row],[Tech Start Date]],12),IF(Main[[#This Row],[Class]]="A",WORKDAY(Main[[#This Row],[Tech Start Date]],4),""))))</f>
        <v/>
      </c>
      <c r="O19" s="69" t="str">
        <f>IF(Main[[#This Row],[Tech Start Date]]&lt;1/1/1990,"",IF(Main[[#This Row],[Class]]="C",WORKDAY(Main[[#This Row],[Tech Start Date]],23),IF(Main[[#This Row],[Class]]="B", WORKDAY(Main[[#This Row],[Tech Start Date]],15),IF(Main[[#This Row],[Class]]="A",WORKDAY(Main[[#This Row],[Tech Start Date]],5),""))))</f>
        <v/>
      </c>
      <c r="P19" s="69" t="str">
        <f>IF(Main[[#This Row],[Tech Start Date]]&lt;1/1/1990,"",IF(Main[[#This Row],[Class]]="C",WORKDAY(Main[[#This Row],[Tech Start Date]],28),IF(Main[[#This Row],[Class]]="B", WORKDAY(Main[[#This Row],[Tech Start Date]],19),IF(Main[[#This Row],[Class]]="A",WORKDAY(Main[[#This Row],[Tech Start Date]],9),""))))</f>
        <v/>
      </c>
      <c r="Q19" s="67">
        <v>40638</v>
      </c>
      <c r="R19" s="67"/>
      <c r="S19" s="65" t="s">
        <v>11</v>
      </c>
      <c r="T19" s="70" t="s">
        <v>4</v>
      </c>
      <c r="U19" s="65" t="s">
        <v>12</v>
      </c>
      <c r="V19" s="65" t="s">
        <v>1914</v>
      </c>
      <c r="W19" s="65" t="s">
        <v>1922</v>
      </c>
      <c r="X19" s="65" t="s">
        <v>129</v>
      </c>
      <c r="Y19" s="65" t="s">
        <v>4</v>
      </c>
      <c r="Z19" s="65" t="s">
        <v>129</v>
      </c>
      <c r="AA19" s="65" t="s">
        <v>3376</v>
      </c>
    </row>
    <row r="20" spans="1:27" ht="17.45" hidden="1" customHeight="1">
      <c r="A20" s="100" t="str">
        <f>IF(priority(Main[[#This Row],[Comments]])&lt;&gt;0, priority(Main[[#This Row],[Comments]]),"")</f>
        <v/>
      </c>
      <c r="B20" s="77" t="s">
        <v>1022</v>
      </c>
      <c r="C20" s="65" t="s">
        <v>4</v>
      </c>
      <c r="D20" s="66" t="s">
        <v>39</v>
      </c>
      <c r="E20" s="67"/>
      <c r="F20" s="67"/>
      <c r="G20" s="64" t="str">
        <f>IF(stdProdLT(Main[[#This Row],[Comments]])=0.1,"N/A",IF(stdProdLT(Main[[#This Row],[Comments]])=0,"",stdProdLT(Main[[#This Row],[Comments]])))</f>
        <v/>
      </c>
      <c r="H20" s="68" t="str">
        <f>IF(AND(Main[[#This Row],[In Stock Date]]&lt;&gt;"",Main[[#This Row],[Revised Due Date]]&lt;&gt;""),Main[[#This Row],[In Stock Date]]-Main[[#This Row],[Revised Due Date]],"")</f>
        <v/>
      </c>
      <c r="I20" s="65" t="s">
        <v>4</v>
      </c>
      <c r="J20" s="65" t="s">
        <v>4</v>
      </c>
      <c r="K20" s="65" t="s">
        <v>4</v>
      </c>
      <c r="L20" s="67"/>
      <c r="M20" s="69" t="str">
        <f>IF(Main[[#This Row],[Tech Start Date]]&lt;1/1/1990,"",IF(Main[[#This Row],[Class]]="C",WORKDAY(Main[[#This Row],[Tech Start Date]],9),IF(Main[[#This Row],[Class]]="B", WORKDAY(Main[[#This Row],[Tech Start Date]],6),IF(Main[[#This Row],[Class]]="A",WORKDAY(Main[[#This Row],[Tech Start Date]],2),""))))</f>
        <v/>
      </c>
      <c r="N20" s="69" t="str">
        <f>IF(Main[[#This Row],[Tech Start Date]]&lt;1/1/1990,"",IF(Main[[#This Row],[Class]]="C",WORKDAY(Main[[#This Row],[Tech Start Date]],19),IF(Main[[#This Row],[Class]]="B", WORKDAY(Main[[#This Row],[Tech Start Date]],12),IF(Main[[#This Row],[Class]]="A",WORKDAY(Main[[#This Row],[Tech Start Date]],4),""))))</f>
        <v/>
      </c>
      <c r="O20" s="69" t="str">
        <f>IF(Main[[#This Row],[Tech Start Date]]&lt;1/1/1990,"",IF(Main[[#This Row],[Class]]="C",WORKDAY(Main[[#This Row],[Tech Start Date]],23),IF(Main[[#This Row],[Class]]="B", WORKDAY(Main[[#This Row],[Tech Start Date]],15),IF(Main[[#This Row],[Class]]="A",WORKDAY(Main[[#This Row],[Tech Start Date]],5),""))))</f>
        <v/>
      </c>
      <c r="P20" s="69" t="str">
        <f>IF(Main[[#This Row],[Tech Start Date]]&lt;1/1/1990,"",IF(Main[[#This Row],[Class]]="C",WORKDAY(Main[[#This Row],[Tech Start Date]],28),IF(Main[[#This Row],[Class]]="B", WORKDAY(Main[[#This Row],[Tech Start Date]],19),IF(Main[[#This Row],[Class]]="A",WORKDAY(Main[[#This Row],[Tech Start Date]],9),""))))</f>
        <v/>
      </c>
      <c r="Q20" s="67">
        <v>40669</v>
      </c>
      <c r="R20" s="67"/>
      <c r="S20" s="65" t="s">
        <v>6</v>
      </c>
      <c r="T20" s="70" t="s">
        <v>4</v>
      </c>
      <c r="U20" s="65" t="s">
        <v>14</v>
      </c>
      <c r="V20" s="65" t="s">
        <v>1917</v>
      </c>
      <c r="W20" s="65" t="s">
        <v>4</v>
      </c>
      <c r="X20" s="65" t="s">
        <v>2818</v>
      </c>
      <c r="Y20" s="65" t="s">
        <v>2929</v>
      </c>
      <c r="Z20" s="65" t="s">
        <v>4</v>
      </c>
      <c r="AA20" s="65" t="s">
        <v>2818</v>
      </c>
    </row>
    <row r="21" spans="1:27" ht="17.45" hidden="1" customHeight="1">
      <c r="A21" s="12" t="str">
        <f>IF(priority(Main[[#This Row],[Comments]])&lt;&gt;0, priority(Main[[#This Row],[Comments]]),"")</f>
        <v/>
      </c>
      <c r="B21" s="77" t="s">
        <v>1023</v>
      </c>
      <c r="C21" s="63" t="s">
        <v>4</v>
      </c>
      <c r="D21" s="72" t="s">
        <v>40</v>
      </c>
      <c r="E21" s="73"/>
      <c r="F21" s="73"/>
      <c r="G21" s="63" t="str">
        <f>IF(stdProdLT(Main[[#This Row],[Comments]])=0.1,"N/A",IF(stdProdLT(Main[[#This Row],[Comments]])=0,"",stdProdLT(Main[[#This Row],[Comments]])))</f>
        <v/>
      </c>
      <c r="H21" s="74" t="str">
        <f>IF(AND(Main[[#This Row],[In Stock Date]]&lt;&gt;"",Main[[#This Row],[Revised Due Date]]&lt;&gt;""),Main[[#This Row],[In Stock Date]]-Main[[#This Row],[Revised Due Date]],"")</f>
        <v/>
      </c>
      <c r="I21" s="63" t="s">
        <v>4</v>
      </c>
      <c r="J21" s="63" t="s">
        <v>4</v>
      </c>
      <c r="K21" s="63" t="s">
        <v>4</v>
      </c>
      <c r="L21" s="73"/>
      <c r="M21" s="69" t="str">
        <f>IF(Main[[#This Row],[Tech Start Date]]&lt;1/1/1990,"",IF(Main[[#This Row],[Class]]="C",WORKDAY(Main[[#This Row],[Tech Start Date]],9),IF(Main[[#This Row],[Class]]="B", WORKDAY(Main[[#This Row],[Tech Start Date]],6),IF(Main[[#This Row],[Class]]="A",WORKDAY(Main[[#This Row],[Tech Start Date]],2),""))))</f>
        <v/>
      </c>
      <c r="N21" s="69" t="str">
        <f>IF(Main[[#This Row],[Tech Start Date]]&lt;1/1/1990,"",IF(Main[[#This Row],[Class]]="C",WORKDAY(Main[[#This Row],[Tech Start Date]],19),IF(Main[[#This Row],[Class]]="B", WORKDAY(Main[[#This Row],[Tech Start Date]],12),IF(Main[[#This Row],[Class]]="A",WORKDAY(Main[[#This Row],[Tech Start Date]],4),""))))</f>
        <v/>
      </c>
      <c r="O21" s="69" t="str">
        <f>IF(Main[[#This Row],[Tech Start Date]]&lt;1/1/1990,"",IF(Main[[#This Row],[Class]]="C",WORKDAY(Main[[#This Row],[Tech Start Date]],23),IF(Main[[#This Row],[Class]]="B", WORKDAY(Main[[#This Row],[Tech Start Date]],15),IF(Main[[#This Row],[Class]]="A",WORKDAY(Main[[#This Row],[Tech Start Date]],5),""))))</f>
        <v/>
      </c>
      <c r="P21" s="69" t="str">
        <f>IF(Main[[#This Row],[Tech Start Date]]&lt;1/1/1990,"",IF(Main[[#This Row],[Class]]="C",WORKDAY(Main[[#This Row],[Tech Start Date]],28),IF(Main[[#This Row],[Class]]="B", WORKDAY(Main[[#This Row],[Tech Start Date]],19),IF(Main[[#This Row],[Class]]="A",WORKDAY(Main[[#This Row],[Tech Start Date]],9),""))))</f>
        <v/>
      </c>
      <c r="Q21" s="73">
        <v>40368</v>
      </c>
      <c r="R21" s="73"/>
      <c r="S21" s="63" t="s">
        <v>6</v>
      </c>
      <c r="T21" s="75" t="s">
        <v>4</v>
      </c>
      <c r="U21" s="63" t="s">
        <v>14</v>
      </c>
      <c r="V21" s="63" t="s">
        <v>1924</v>
      </c>
      <c r="W21" s="63" t="s">
        <v>1916</v>
      </c>
      <c r="X21" s="63" t="s">
        <v>50</v>
      </c>
      <c r="Y21" s="63" t="s">
        <v>2947</v>
      </c>
      <c r="Z21" s="63" t="s">
        <v>4</v>
      </c>
      <c r="AA21" s="65" t="s">
        <v>971</v>
      </c>
    </row>
    <row r="22" spans="1:27" ht="17.45" hidden="1" customHeight="1">
      <c r="A22" s="100" t="str">
        <f>IF(priority(Main[[#This Row],[Comments]])&lt;&gt;0, priority(Main[[#This Row],[Comments]]),"")</f>
        <v/>
      </c>
      <c r="B22" s="77" t="s">
        <v>1024</v>
      </c>
      <c r="C22" s="65" t="s">
        <v>33</v>
      </c>
      <c r="D22" s="66" t="s">
        <v>41</v>
      </c>
      <c r="E22" s="67"/>
      <c r="F22" s="67"/>
      <c r="G22" s="64" t="str">
        <f>IF(stdProdLT(Main[[#This Row],[Comments]])=0.1,"N/A",IF(stdProdLT(Main[[#This Row],[Comments]])=0,"",stdProdLT(Main[[#This Row],[Comments]])))</f>
        <v/>
      </c>
      <c r="H22" s="68" t="str">
        <f>IF(AND(Main[[#This Row],[In Stock Date]]&lt;&gt;"",Main[[#This Row],[Revised Due Date]]&lt;&gt;""),Main[[#This Row],[In Stock Date]]-Main[[#This Row],[Revised Due Date]],"")</f>
        <v/>
      </c>
      <c r="I22" s="65" t="s">
        <v>4</v>
      </c>
      <c r="J22" s="65" t="s">
        <v>4</v>
      </c>
      <c r="K22" s="65" t="s">
        <v>4</v>
      </c>
      <c r="L22" s="67"/>
      <c r="M22" s="69" t="str">
        <f>IF(Main[[#This Row],[Tech Start Date]]&lt;1/1/1990,"",IF(Main[[#This Row],[Class]]="C",WORKDAY(Main[[#This Row],[Tech Start Date]],9),IF(Main[[#This Row],[Class]]="B", WORKDAY(Main[[#This Row],[Tech Start Date]],6),IF(Main[[#This Row],[Class]]="A",WORKDAY(Main[[#This Row],[Tech Start Date]],2),""))))</f>
        <v/>
      </c>
      <c r="N22" s="69" t="str">
        <f>IF(Main[[#This Row],[Tech Start Date]]&lt;1/1/1990,"",IF(Main[[#This Row],[Class]]="C",WORKDAY(Main[[#This Row],[Tech Start Date]],19),IF(Main[[#This Row],[Class]]="B", WORKDAY(Main[[#This Row],[Tech Start Date]],12),IF(Main[[#This Row],[Class]]="A",WORKDAY(Main[[#This Row],[Tech Start Date]],4),""))))</f>
        <v/>
      </c>
      <c r="O22" s="69" t="str">
        <f>IF(Main[[#This Row],[Tech Start Date]]&lt;1/1/1990,"",IF(Main[[#This Row],[Class]]="C",WORKDAY(Main[[#This Row],[Tech Start Date]],23),IF(Main[[#This Row],[Class]]="B", WORKDAY(Main[[#This Row],[Tech Start Date]],15),IF(Main[[#This Row],[Class]]="A",WORKDAY(Main[[#This Row],[Tech Start Date]],5),""))))</f>
        <v/>
      </c>
      <c r="P22" s="69" t="str">
        <f>IF(Main[[#This Row],[Tech Start Date]]&lt;1/1/1990,"",IF(Main[[#This Row],[Class]]="C",WORKDAY(Main[[#This Row],[Tech Start Date]],28),IF(Main[[#This Row],[Class]]="B", WORKDAY(Main[[#This Row],[Tech Start Date]],19),IF(Main[[#This Row],[Class]]="A",WORKDAY(Main[[#This Row],[Tech Start Date]],9),""))))</f>
        <v/>
      </c>
      <c r="Q22" s="67"/>
      <c r="R22" s="67"/>
      <c r="S22" s="65" t="s">
        <v>11</v>
      </c>
      <c r="T22" s="70" t="s">
        <v>4</v>
      </c>
      <c r="U22" s="65" t="s">
        <v>14</v>
      </c>
      <c r="V22" s="65" t="s">
        <v>1915</v>
      </c>
      <c r="W22" s="65" t="s">
        <v>1922</v>
      </c>
      <c r="X22" s="65" t="s">
        <v>2827</v>
      </c>
      <c r="Y22" s="65" t="s">
        <v>2948</v>
      </c>
      <c r="Z22" s="65" t="s">
        <v>4</v>
      </c>
      <c r="AA22" s="65" t="s">
        <v>2827</v>
      </c>
    </row>
    <row r="23" spans="1:27" ht="17.45" hidden="1" customHeight="1">
      <c r="A23" s="100" t="str">
        <f>IF(priority(Main[[#This Row],[Comments]])&lt;&gt;0, priority(Main[[#This Row],[Comments]]),"")</f>
        <v/>
      </c>
      <c r="B23" s="77" t="s">
        <v>1025</v>
      </c>
      <c r="C23" s="65" t="s">
        <v>4</v>
      </c>
      <c r="D23" s="66" t="s">
        <v>43</v>
      </c>
      <c r="E23" s="67">
        <v>40500.605023148149</v>
      </c>
      <c r="F23" s="67"/>
      <c r="G23" s="64" t="str">
        <f>IF(stdProdLT(Main[[#This Row],[Comments]])=0.1,"N/A",IF(stdProdLT(Main[[#This Row],[Comments]])=0,"",stdProdLT(Main[[#This Row],[Comments]])))</f>
        <v/>
      </c>
      <c r="H23" s="68" t="str">
        <f>IF(AND(Main[[#This Row],[In Stock Date]]&lt;&gt;"",Main[[#This Row],[Revised Due Date]]&lt;&gt;""),Main[[#This Row],[In Stock Date]]-Main[[#This Row],[Revised Due Date]],"")</f>
        <v/>
      </c>
      <c r="I23" s="65" t="s">
        <v>4</v>
      </c>
      <c r="J23" s="65" t="s">
        <v>4</v>
      </c>
      <c r="K23" s="65" t="s">
        <v>4</v>
      </c>
      <c r="L23" s="67"/>
      <c r="M23" s="69" t="str">
        <f>IF(Main[[#This Row],[Tech Start Date]]&lt;1/1/1990,"",IF(Main[[#This Row],[Class]]="C",WORKDAY(Main[[#This Row],[Tech Start Date]],9),IF(Main[[#This Row],[Class]]="B", WORKDAY(Main[[#This Row],[Tech Start Date]],6),IF(Main[[#This Row],[Class]]="A",WORKDAY(Main[[#This Row],[Tech Start Date]],2),""))))</f>
        <v/>
      </c>
      <c r="N23" s="69" t="str">
        <f>IF(Main[[#This Row],[Tech Start Date]]&lt;1/1/1990,"",IF(Main[[#This Row],[Class]]="C",WORKDAY(Main[[#This Row],[Tech Start Date]],19),IF(Main[[#This Row],[Class]]="B", WORKDAY(Main[[#This Row],[Tech Start Date]],12),IF(Main[[#This Row],[Class]]="A",WORKDAY(Main[[#This Row],[Tech Start Date]],4),""))))</f>
        <v/>
      </c>
      <c r="O23" s="69" t="str">
        <f>IF(Main[[#This Row],[Tech Start Date]]&lt;1/1/1990,"",IF(Main[[#This Row],[Class]]="C",WORKDAY(Main[[#This Row],[Tech Start Date]],23),IF(Main[[#This Row],[Class]]="B", WORKDAY(Main[[#This Row],[Tech Start Date]],15),IF(Main[[#This Row],[Class]]="A",WORKDAY(Main[[#This Row],[Tech Start Date]],5),""))))</f>
        <v/>
      </c>
      <c r="P23" s="69" t="str">
        <f>IF(Main[[#This Row],[Tech Start Date]]&lt;1/1/1990,"",IF(Main[[#This Row],[Class]]="C",WORKDAY(Main[[#This Row],[Tech Start Date]],28),IF(Main[[#This Row],[Class]]="B", WORKDAY(Main[[#This Row],[Tech Start Date]],19),IF(Main[[#This Row],[Class]]="A",WORKDAY(Main[[#This Row],[Tech Start Date]],9),""))))</f>
        <v/>
      </c>
      <c r="Q23" s="67">
        <v>40519</v>
      </c>
      <c r="R23" s="67"/>
      <c r="S23" s="65" t="s">
        <v>4</v>
      </c>
      <c r="T23" s="70" t="s">
        <v>4</v>
      </c>
      <c r="U23" s="65" t="s">
        <v>7</v>
      </c>
      <c r="V23" s="65" t="s">
        <v>1914</v>
      </c>
      <c r="W23" s="65" t="s">
        <v>4</v>
      </c>
      <c r="X23" s="65" t="s">
        <v>2821</v>
      </c>
      <c r="Y23" s="65" t="s">
        <v>2936</v>
      </c>
      <c r="Z23" s="65" t="s">
        <v>4</v>
      </c>
      <c r="AA23" s="65" t="s">
        <v>2821</v>
      </c>
    </row>
    <row r="24" spans="1:27" ht="17.45" hidden="1" customHeight="1">
      <c r="A24" s="100" t="str">
        <f>IF(priority(Main[[#This Row],[Comments]])&lt;&gt;0, priority(Main[[#This Row],[Comments]]),"")</f>
        <v/>
      </c>
      <c r="B24" s="77" t="s">
        <v>1027</v>
      </c>
      <c r="C24" s="65" t="s">
        <v>4</v>
      </c>
      <c r="D24" s="66" t="s">
        <v>45</v>
      </c>
      <c r="E24" s="67">
        <v>40486.407523148147</v>
      </c>
      <c r="F24" s="67"/>
      <c r="G24" s="64" t="str">
        <f>IF(stdProdLT(Main[[#This Row],[Comments]])=0.1,"N/A",IF(stdProdLT(Main[[#This Row],[Comments]])=0,"",stdProdLT(Main[[#This Row],[Comments]])))</f>
        <v/>
      </c>
      <c r="H24" s="68" t="str">
        <f>IF(AND(Main[[#This Row],[In Stock Date]]&lt;&gt;"",Main[[#This Row],[Revised Due Date]]&lt;&gt;""),Main[[#This Row],[In Stock Date]]-Main[[#This Row],[Revised Due Date]],"")</f>
        <v/>
      </c>
      <c r="I24" s="65" t="s">
        <v>4</v>
      </c>
      <c r="J24" s="65" t="s">
        <v>4</v>
      </c>
      <c r="K24" s="65" t="s">
        <v>4</v>
      </c>
      <c r="L24" s="67"/>
      <c r="M24" s="69" t="str">
        <f>IF(Main[[#This Row],[Tech Start Date]]&lt;1/1/1990,"",IF(Main[[#This Row],[Class]]="C",WORKDAY(Main[[#This Row],[Tech Start Date]],9),IF(Main[[#This Row],[Class]]="B", WORKDAY(Main[[#This Row],[Tech Start Date]],6),IF(Main[[#This Row],[Class]]="A",WORKDAY(Main[[#This Row],[Tech Start Date]],2),""))))</f>
        <v/>
      </c>
      <c r="N24" s="69" t="str">
        <f>IF(Main[[#This Row],[Tech Start Date]]&lt;1/1/1990,"",IF(Main[[#This Row],[Class]]="C",WORKDAY(Main[[#This Row],[Tech Start Date]],19),IF(Main[[#This Row],[Class]]="B", WORKDAY(Main[[#This Row],[Tech Start Date]],12),IF(Main[[#This Row],[Class]]="A",WORKDAY(Main[[#This Row],[Tech Start Date]],4),""))))</f>
        <v/>
      </c>
      <c r="O24" s="69" t="str">
        <f>IF(Main[[#This Row],[Tech Start Date]]&lt;1/1/1990,"",IF(Main[[#This Row],[Class]]="C",WORKDAY(Main[[#This Row],[Tech Start Date]],23),IF(Main[[#This Row],[Class]]="B", WORKDAY(Main[[#This Row],[Tech Start Date]],15),IF(Main[[#This Row],[Class]]="A",WORKDAY(Main[[#This Row],[Tech Start Date]],5),""))))</f>
        <v/>
      </c>
      <c r="P24" s="69" t="str">
        <f>IF(Main[[#This Row],[Tech Start Date]]&lt;1/1/1990,"",IF(Main[[#This Row],[Class]]="C",WORKDAY(Main[[#This Row],[Tech Start Date]],28),IF(Main[[#This Row],[Class]]="B", WORKDAY(Main[[#This Row],[Tech Start Date]],19),IF(Main[[#This Row],[Class]]="A",WORKDAY(Main[[#This Row],[Tech Start Date]],9),""))))</f>
        <v/>
      </c>
      <c r="Q24" s="67">
        <v>40522</v>
      </c>
      <c r="R24" s="67"/>
      <c r="S24" s="65" t="s">
        <v>6</v>
      </c>
      <c r="T24" s="70" t="s">
        <v>4</v>
      </c>
      <c r="U24" s="65" t="s">
        <v>7</v>
      </c>
      <c r="V24" s="65" t="s">
        <v>1914</v>
      </c>
      <c r="W24" s="65" t="s">
        <v>4</v>
      </c>
      <c r="X24" s="65" t="s">
        <v>2818</v>
      </c>
      <c r="Y24" s="65" t="s">
        <v>2929</v>
      </c>
      <c r="Z24" s="65" t="s">
        <v>4</v>
      </c>
      <c r="AA24" s="65" t="s">
        <v>2818</v>
      </c>
    </row>
    <row r="25" spans="1:27" ht="17.45" hidden="1" customHeight="1">
      <c r="A25" s="100" t="str">
        <f>IF(priority(Main[[#This Row],[Comments]])&lt;&gt;0, priority(Main[[#This Row],[Comments]]),"")</f>
        <v/>
      </c>
      <c r="B25" s="77" t="s">
        <v>1029</v>
      </c>
      <c r="C25" s="65" t="s">
        <v>47</v>
      </c>
      <c r="D25" s="66" t="s">
        <v>48</v>
      </c>
      <c r="E25" s="67"/>
      <c r="F25" s="67"/>
      <c r="G25" s="64" t="str">
        <f>IF(stdProdLT(Main[[#This Row],[Comments]])=0.1,"N/A",IF(stdProdLT(Main[[#This Row],[Comments]])=0,"",stdProdLT(Main[[#This Row],[Comments]])))</f>
        <v/>
      </c>
      <c r="H25" s="68" t="str">
        <f>IF(AND(Main[[#This Row],[In Stock Date]]&lt;&gt;"",Main[[#This Row],[Revised Due Date]]&lt;&gt;""),Main[[#This Row],[In Stock Date]]-Main[[#This Row],[Revised Due Date]],"")</f>
        <v/>
      </c>
      <c r="I25" s="65" t="s">
        <v>4</v>
      </c>
      <c r="J25" s="65" t="s">
        <v>4</v>
      </c>
      <c r="K25" s="65" t="s">
        <v>4</v>
      </c>
      <c r="L25" s="67"/>
      <c r="M25" s="69" t="str">
        <f>IF(Main[[#This Row],[Tech Start Date]]&lt;1/1/1990,"",IF(Main[[#This Row],[Class]]="C",WORKDAY(Main[[#This Row],[Tech Start Date]],9),IF(Main[[#This Row],[Class]]="B", WORKDAY(Main[[#This Row],[Tech Start Date]],6),IF(Main[[#This Row],[Class]]="A",WORKDAY(Main[[#This Row],[Tech Start Date]],2),""))))</f>
        <v/>
      </c>
      <c r="N25" s="69" t="str">
        <f>IF(Main[[#This Row],[Tech Start Date]]&lt;1/1/1990,"",IF(Main[[#This Row],[Class]]="C",WORKDAY(Main[[#This Row],[Tech Start Date]],19),IF(Main[[#This Row],[Class]]="B", WORKDAY(Main[[#This Row],[Tech Start Date]],12),IF(Main[[#This Row],[Class]]="A",WORKDAY(Main[[#This Row],[Tech Start Date]],4),""))))</f>
        <v/>
      </c>
      <c r="O25" s="69" t="str">
        <f>IF(Main[[#This Row],[Tech Start Date]]&lt;1/1/1990,"",IF(Main[[#This Row],[Class]]="C",WORKDAY(Main[[#This Row],[Tech Start Date]],23),IF(Main[[#This Row],[Class]]="B", WORKDAY(Main[[#This Row],[Tech Start Date]],15),IF(Main[[#This Row],[Class]]="A",WORKDAY(Main[[#This Row],[Tech Start Date]],5),""))))</f>
        <v/>
      </c>
      <c r="P25" s="69" t="str">
        <f>IF(Main[[#This Row],[Tech Start Date]]&lt;1/1/1990,"",IF(Main[[#This Row],[Class]]="C",WORKDAY(Main[[#This Row],[Tech Start Date]],28),IF(Main[[#This Row],[Class]]="B", WORKDAY(Main[[#This Row],[Tech Start Date]],19),IF(Main[[#This Row],[Class]]="A",WORKDAY(Main[[#This Row],[Tech Start Date]],9),""))))</f>
        <v/>
      </c>
      <c r="Q25" s="67"/>
      <c r="R25" s="67"/>
      <c r="S25" s="65" t="s">
        <v>49</v>
      </c>
      <c r="T25" s="70" t="s">
        <v>4</v>
      </c>
      <c r="U25" s="65" t="s">
        <v>14</v>
      </c>
      <c r="V25" s="65" t="s">
        <v>1917</v>
      </c>
      <c r="W25" s="65" t="s">
        <v>1918</v>
      </c>
      <c r="X25" s="65" t="s">
        <v>306</v>
      </c>
      <c r="Y25" s="65" t="s">
        <v>2941</v>
      </c>
      <c r="Z25" s="65" t="s">
        <v>4</v>
      </c>
      <c r="AA25" s="65" t="s">
        <v>3377</v>
      </c>
    </row>
    <row r="26" spans="1:27" ht="17.45" hidden="1" customHeight="1">
      <c r="A26" s="100" t="str">
        <f>IF(priority(Main[[#This Row],[Comments]])&lt;&gt;0, priority(Main[[#This Row],[Comments]]),"")</f>
        <v/>
      </c>
      <c r="B26" s="77" t="s">
        <v>1043</v>
      </c>
      <c r="C26" s="65" t="s">
        <v>67</v>
      </c>
      <c r="D26" s="66" t="s">
        <v>68</v>
      </c>
      <c r="E26" s="67"/>
      <c r="F26" s="67"/>
      <c r="G26" s="64" t="str">
        <f>IF(stdProdLT(Main[[#This Row],[Comments]])=0.1,"N/A",IF(stdProdLT(Main[[#This Row],[Comments]])=0,"",stdProdLT(Main[[#This Row],[Comments]])))</f>
        <v/>
      </c>
      <c r="H26" s="68" t="str">
        <f>IF(AND(Main[[#This Row],[In Stock Date]]&lt;&gt;"",Main[[#This Row],[Revised Due Date]]&lt;&gt;""),Main[[#This Row],[In Stock Date]]-Main[[#This Row],[Revised Due Date]],"")</f>
        <v/>
      </c>
      <c r="I26" s="65" t="s">
        <v>4</v>
      </c>
      <c r="J26" s="65" t="s">
        <v>4</v>
      </c>
      <c r="K26" s="65" t="s">
        <v>4</v>
      </c>
      <c r="L26" s="67"/>
      <c r="M26" s="69" t="str">
        <f>IF(Main[[#This Row],[Tech Start Date]]&lt;1/1/1990,"",IF(Main[[#This Row],[Class]]="C",WORKDAY(Main[[#This Row],[Tech Start Date]],9),IF(Main[[#This Row],[Class]]="B", WORKDAY(Main[[#This Row],[Tech Start Date]],6),IF(Main[[#This Row],[Class]]="A",WORKDAY(Main[[#This Row],[Tech Start Date]],2),""))))</f>
        <v/>
      </c>
      <c r="N26" s="69" t="str">
        <f>IF(Main[[#This Row],[Tech Start Date]]&lt;1/1/1990,"",IF(Main[[#This Row],[Class]]="C",WORKDAY(Main[[#This Row],[Tech Start Date]],19),IF(Main[[#This Row],[Class]]="B", WORKDAY(Main[[#This Row],[Tech Start Date]],12),IF(Main[[#This Row],[Class]]="A",WORKDAY(Main[[#This Row],[Tech Start Date]],4),""))))</f>
        <v/>
      </c>
      <c r="O26" s="69" t="str">
        <f>IF(Main[[#This Row],[Tech Start Date]]&lt;1/1/1990,"",IF(Main[[#This Row],[Class]]="C",WORKDAY(Main[[#This Row],[Tech Start Date]],23),IF(Main[[#This Row],[Class]]="B", WORKDAY(Main[[#This Row],[Tech Start Date]],15),IF(Main[[#This Row],[Class]]="A",WORKDAY(Main[[#This Row],[Tech Start Date]],5),""))))</f>
        <v/>
      </c>
      <c r="P26" s="69" t="str">
        <f>IF(Main[[#This Row],[Tech Start Date]]&lt;1/1/1990,"",IF(Main[[#This Row],[Class]]="C",WORKDAY(Main[[#This Row],[Tech Start Date]],28),IF(Main[[#This Row],[Class]]="B", WORKDAY(Main[[#This Row],[Tech Start Date]],19),IF(Main[[#This Row],[Class]]="A",WORKDAY(Main[[#This Row],[Tech Start Date]],9),""))))</f>
        <v/>
      </c>
      <c r="Q26" s="67">
        <v>40298</v>
      </c>
      <c r="R26" s="67"/>
      <c r="S26" s="65" t="s">
        <v>17</v>
      </c>
      <c r="T26" s="70" t="s">
        <v>4</v>
      </c>
      <c r="U26" s="65" t="s">
        <v>14</v>
      </c>
      <c r="V26" s="65" t="s">
        <v>1917</v>
      </c>
      <c r="W26" s="65" t="s">
        <v>1922</v>
      </c>
      <c r="X26" s="65" t="s">
        <v>306</v>
      </c>
      <c r="Y26" s="65" t="s">
        <v>2949</v>
      </c>
      <c r="Z26" s="65" t="s">
        <v>4</v>
      </c>
      <c r="AA26" s="65" t="s">
        <v>415</v>
      </c>
    </row>
    <row r="27" spans="1:27" ht="17.45" hidden="1" customHeight="1">
      <c r="A27" s="100" t="str">
        <f>IF(priority(Main[[#This Row],[Comments]])&lt;&gt;0, priority(Main[[#This Row],[Comments]]),"")</f>
        <v/>
      </c>
      <c r="B27" s="77" t="s">
        <v>1276</v>
      </c>
      <c r="C27" s="65" t="s">
        <v>4</v>
      </c>
      <c r="D27" s="66" t="s">
        <v>2326</v>
      </c>
      <c r="E27" s="67">
        <v>40578.5078587963</v>
      </c>
      <c r="F27" s="67"/>
      <c r="G27" s="64" t="str">
        <f>IF(stdProdLT(Main[[#This Row],[Comments]])=0.1,"N/A",IF(stdProdLT(Main[[#This Row],[Comments]])=0,"",stdProdLT(Main[[#This Row],[Comments]])))</f>
        <v/>
      </c>
      <c r="H27" s="68" t="str">
        <f>IF(AND(Main[[#This Row],[In Stock Date]]&lt;&gt;"",Main[[#This Row],[Revised Due Date]]&lt;&gt;""),Main[[#This Row],[In Stock Date]]-Main[[#This Row],[Revised Due Date]],"")</f>
        <v/>
      </c>
      <c r="I27" s="65" t="s">
        <v>912</v>
      </c>
      <c r="J27" s="65" t="s">
        <v>52</v>
      </c>
      <c r="K27" s="65" t="s">
        <v>4</v>
      </c>
      <c r="L27" s="67"/>
      <c r="M27" s="69" t="str">
        <f>IF(Main[[#This Row],[Tech Start Date]]&lt;1/1/1990,"",IF(Main[[#This Row],[Class]]="C",WORKDAY(Main[[#This Row],[Tech Start Date]],9),IF(Main[[#This Row],[Class]]="B", WORKDAY(Main[[#This Row],[Tech Start Date]],6),IF(Main[[#This Row],[Class]]="A",WORKDAY(Main[[#This Row],[Tech Start Date]],2),""))))</f>
        <v/>
      </c>
      <c r="N27" s="69" t="str">
        <f>IF(Main[[#This Row],[Tech Start Date]]&lt;1/1/1990,"",IF(Main[[#This Row],[Class]]="C",WORKDAY(Main[[#This Row],[Tech Start Date]],19),IF(Main[[#This Row],[Class]]="B", WORKDAY(Main[[#This Row],[Tech Start Date]],12),IF(Main[[#This Row],[Class]]="A",WORKDAY(Main[[#This Row],[Tech Start Date]],4),""))))</f>
        <v/>
      </c>
      <c r="O27" s="69" t="str">
        <f>IF(Main[[#This Row],[Tech Start Date]]&lt;1/1/1990,"",IF(Main[[#This Row],[Class]]="C",WORKDAY(Main[[#This Row],[Tech Start Date]],23),IF(Main[[#This Row],[Class]]="B", WORKDAY(Main[[#This Row],[Tech Start Date]],15),IF(Main[[#This Row],[Class]]="A",WORKDAY(Main[[#This Row],[Tech Start Date]],5),""))))</f>
        <v/>
      </c>
      <c r="P27" s="69" t="str">
        <f>IF(Main[[#This Row],[Tech Start Date]]&lt;1/1/1990,"",IF(Main[[#This Row],[Class]]="C",WORKDAY(Main[[#This Row],[Tech Start Date]],28),IF(Main[[#This Row],[Class]]="B", WORKDAY(Main[[#This Row],[Tech Start Date]],19),IF(Main[[#This Row],[Class]]="A",WORKDAY(Main[[#This Row],[Tech Start Date]],9),""))))</f>
        <v/>
      </c>
      <c r="Q27" s="67">
        <v>40592</v>
      </c>
      <c r="R27" s="67"/>
      <c r="S27" s="65" t="s">
        <v>6</v>
      </c>
      <c r="T27" s="70" t="s">
        <v>4</v>
      </c>
      <c r="U27" s="65" t="s">
        <v>29</v>
      </c>
      <c r="V27" s="65" t="s">
        <v>1914</v>
      </c>
      <c r="W27" s="65" t="s">
        <v>1918</v>
      </c>
      <c r="X27" s="65" t="s">
        <v>2828</v>
      </c>
      <c r="Y27" s="65" t="s">
        <v>2950</v>
      </c>
      <c r="Z27" s="65" t="s">
        <v>4</v>
      </c>
      <c r="AA27" s="65" t="s">
        <v>2828</v>
      </c>
    </row>
    <row r="28" spans="1:27" ht="17.45" hidden="1" customHeight="1">
      <c r="A28" s="100" t="str">
        <f>IF(priority(Main[[#This Row],[Comments]])&lt;&gt;0, priority(Main[[#This Row],[Comments]]),"")</f>
        <v/>
      </c>
      <c r="B28" s="77" t="s">
        <v>1044</v>
      </c>
      <c r="C28" s="65" t="s">
        <v>4</v>
      </c>
      <c r="D28" s="66" t="s">
        <v>71</v>
      </c>
      <c r="E28" s="67"/>
      <c r="F28" s="67"/>
      <c r="G28" s="64" t="str">
        <f>IF(stdProdLT(Main[[#This Row],[Comments]])=0.1,"N/A",IF(stdProdLT(Main[[#This Row],[Comments]])=0,"",stdProdLT(Main[[#This Row],[Comments]])))</f>
        <v/>
      </c>
      <c r="H28" s="68" t="str">
        <f>IF(AND(Main[[#This Row],[In Stock Date]]&lt;&gt;"",Main[[#This Row],[Revised Due Date]]&lt;&gt;""),Main[[#This Row],[In Stock Date]]-Main[[#This Row],[Revised Due Date]],"")</f>
        <v/>
      </c>
      <c r="I28" s="65" t="s">
        <v>4</v>
      </c>
      <c r="J28" s="65" t="s">
        <v>4</v>
      </c>
      <c r="K28" s="65" t="s">
        <v>4</v>
      </c>
      <c r="L28" s="67"/>
      <c r="M28" s="69" t="str">
        <f>IF(Main[[#This Row],[Tech Start Date]]&lt;1/1/1990,"",IF(Main[[#This Row],[Class]]="C",WORKDAY(Main[[#This Row],[Tech Start Date]],9),IF(Main[[#This Row],[Class]]="B", WORKDAY(Main[[#This Row],[Tech Start Date]],6),IF(Main[[#This Row],[Class]]="A",WORKDAY(Main[[#This Row],[Tech Start Date]],2),""))))</f>
        <v/>
      </c>
      <c r="N28" s="69" t="str">
        <f>IF(Main[[#This Row],[Tech Start Date]]&lt;1/1/1990,"",IF(Main[[#This Row],[Class]]="C",WORKDAY(Main[[#This Row],[Tech Start Date]],19),IF(Main[[#This Row],[Class]]="B", WORKDAY(Main[[#This Row],[Tech Start Date]],12),IF(Main[[#This Row],[Class]]="A",WORKDAY(Main[[#This Row],[Tech Start Date]],4),""))))</f>
        <v/>
      </c>
      <c r="O28" s="69" t="str">
        <f>IF(Main[[#This Row],[Tech Start Date]]&lt;1/1/1990,"",IF(Main[[#This Row],[Class]]="C",WORKDAY(Main[[#This Row],[Tech Start Date]],23),IF(Main[[#This Row],[Class]]="B", WORKDAY(Main[[#This Row],[Tech Start Date]],15),IF(Main[[#This Row],[Class]]="A",WORKDAY(Main[[#This Row],[Tech Start Date]],5),""))))</f>
        <v/>
      </c>
      <c r="P28" s="69" t="str">
        <f>IF(Main[[#This Row],[Tech Start Date]]&lt;1/1/1990,"",IF(Main[[#This Row],[Class]]="C",WORKDAY(Main[[#This Row],[Tech Start Date]],28),IF(Main[[#This Row],[Class]]="B", WORKDAY(Main[[#This Row],[Tech Start Date]],19),IF(Main[[#This Row],[Class]]="A",WORKDAY(Main[[#This Row],[Tech Start Date]],9),""))))</f>
        <v/>
      </c>
      <c r="Q28" s="67"/>
      <c r="R28" s="67"/>
      <c r="S28" s="65" t="s">
        <v>23</v>
      </c>
      <c r="T28" s="70" t="s">
        <v>4</v>
      </c>
      <c r="U28" s="65" t="s">
        <v>14</v>
      </c>
      <c r="V28" s="65" t="s">
        <v>1914</v>
      </c>
      <c r="W28" s="65" t="s">
        <v>1918</v>
      </c>
      <c r="X28" s="65" t="s">
        <v>399</v>
      </c>
      <c r="Y28" s="65" t="s">
        <v>4</v>
      </c>
      <c r="Z28" s="65" t="s">
        <v>4</v>
      </c>
      <c r="AA28" s="65" t="s">
        <v>3375</v>
      </c>
    </row>
    <row r="29" spans="1:27" ht="17.45" hidden="1" customHeight="1">
      <c r="A29" s="100" t="str">
        <f>IF(priority(Main[[#This Row],[Comments]])&lt;&gt;0, priority(Main[[#This Row],[Comments]]),"")</f>
        <v/>
      </c>
      <c r="B29" s="77" t="s">
        <v>1011</v>
      </c>
      <c r="C29" s="65" t="s">
        <v>15</v>
      </c>
      <c r="D29" s="66" t="s">
        <v>16</v>
      </c>
      <c r="E29" s="67">
        <v>40611.379872685182</v>
      </c>
      <c r="F29" s="67"/>
      <c r="G29" s="64" t="str">
        <f>IF(stdProdLT(Main[[#This Row],[Comments]])=0.1,"N/A",IF(stdProdLT(Main[[#This Row],[Comments]])=0,"",stdProdLT(Main[[#This Row],[Comments]])))</f>
        <v/>
      </c>
      <c r="H29" s="68" t="str">
        <f>IF(AND(Main[[#This Row],[In Stock Date]]&lt;&gt;"",Main[[#This Row],[Revised Due Date]]&lt;&gt;""),Main[[#This Row],[In Stock Date]]-Main[[#This Row],[Revised Due Date]],"")</f>
        <v/>
      </c>
      <c r="I29" s="65" t="s">
        <v>4</v>
      </c>
      <c r="J29" s="65" t="s">
        <v>4</v>
      </c>
      <c r="K29" s="65" t="s">
        <v>4</v>
      </c>
      <c r="L29" s="67"/>
      <c r="M29" s="69" t="str">
        <f>IF(Main[[#This Row],[Tech Start Date]]&lt;1/1/1990,"",IF(Main[[#This Row],[Class]]="C",WORKDAY(Main[[#This Row],[Tech Start Date]],9),IF(Main[[#This Row],[Class]]="B", WORKDAY(Main[[#This Row],[Tech Start Date]],6),IF(Main[[#This Row],[Class]]="A",WORKDAY(Main[[#This Row],[Tech Start Date]],2),""))))</f>
        <v/>
      </c>
      <c r="N29" s="69" t="str">
        <f>IF(Main[[#This Row],[Tech Start Date]]&lt;1/1/1990,"",IF(Main[[#This Row],[Class]]="C",WORKDAY(Main[[#This Row],[Tech Start Date]],19),IF(Main[[#This Row],[Class]]="B", WORKDAY(Main[[#This Row],[Tech Start Date]],12),IF(Main[[#This Row],[Class]]="A",WORKDAY(Main[[#This Row],[Tech Start Date]],4),""))))</f>
        <v/>
      </c>
      <c r="O29" s="69" t="str">
        <f>IF(Main[[#This Row],[Tech Start Date]]&lt;1/1/1990,"",IF(Main[[#This Row],[Class]]="C",WORKDAY(Main[[#This Row],[Tech Start Date]],23),IF(Main[[#This Row],[Class]]="B", WORKDAY(Main[[#This Row],[Tech Start Date]],15),IF(Main[[#This Row],[Class]]="A",WORKDAY(Main[[#This Row],[Tech Start Date]],5),""))))</f>
        <v/>
      </c>
      <c r="P29" s="69" t="str">
        <f>IF(Main[[#This Row],[Tech Start Date]]&lt;1/1/1990,"",IF(Main[[#This Row],[Class]]="C",WORKDAY(Main[[#This Row],[Tech Start Date]],28),IF(Main[[#This Row],[Class]]="B", WORKDAY(Main[[#This Row],[Tech Start Date]],19),IF(Main[[#This Row],[Class]]="A",WORKDAY(Main[[#This Row],[Tech Start Date]],9),""))))</f>
        <v/>
      </c>
      <c r="Q29" s="67">
        <v>40695</v>
      </c>
      <c r="R29" s="67"/>
      <c r="S29" s="65" t="s">
        <v>17</v>
      </c>
      <c r="T29" s="70" t="s">
        <v>4</v>
      </c>
      <c r="U29" s="65" t="s">
        <v>7</v>
      </c>
      <c r="V29" s="65" t="s">
        <v>1917</v>
      </c>
      <c r="W29" s="65" t="s">
        <v>1919</v>
      </c>
      <c r="X29" s="65" t="s">
        <v>553</v>
      </c>
      <c r="Y29" s="65" t="s">
        <v>2952</v>
      </c>
      <c r="Z29" s="65" t="s">
        <v>4</v>
      </c>
      <c r="AA29" s="65" t="s">
        <v>553</v>
      </c>
    </row>
    <row r="30" spans="1:27" ht="17.45" hidden="1" customHeight="1">
      <c r="A30" s="100" t="str">
        <f>IF(priority(Main[[#This Row],[Comments]])&lt;&gt;0, priority(Main[[#This Row],[Comments]]),"")</f>
        <v/>
      </c>
      <c r="B30" s="77" t="s">
        <v>2168</v>
      </c>
      <c r="C30" s="65" t="s">
        <v>2160</v>
      </c>
      <c r="D30" s="66" t="s">
        <v>3245</v>
      </c>
      <c r="E30" s="67">
        <v>40781.402488425927</v>
      </c>
      <c r="F30" s="67"/>
      <c r="G30" s="64" t="str">
        <f>IF(stdProdLT(Main[[#This Row],[Comments]])=0.1,"N/A",IF(stdProdLT(Main[[#This Row],[Comments]])=0,"",stdProdLT(Main[[#This Row],[Comments]])))</f>
        <v/>
      </c>
      <c r="H30" s="68" t="str">
        <f>IF(AND(Main[[#This Row],[In Stock Date]]&lt;&gt;"",Main[[#This Row],[Revised Due Date]]&lt;&gt;""),Main[[#This Row],[In Stock Date]]-Main[[#This Row],[Revised Due Date]],"")</f>
        <v/>
      </c>
      <c r="I30" s="65" t="s">
        <v>429</v>
      </c>
      <c r="J30" s="65" t="s">
        <v>70</v>
      </c>
      <c r="K30" s="65" t="s">
        <v>1923</v>
      </c>
      <c r="L30" s="67"/>
      <c r="M30" s="69" t="str">
        <f>IF(Main[[#This Row],[Tech Start Date]]&lt;1/1/1990,"",IF(Main[[#This Row],[Class]]="C",WORKDAY(Main[[#This Row],[Tech Start Date]],9),IF(Main[[#This Row],[Class]]="B", WORKDAY(Main[[#This Row],[Tech Start Date]],6),IF(Main[[#This Row],[Class]]="A",WORKDAY(Main[[#This Row],[Tech Start Date]],2),""))))</f>
        <v/>
      </c>
      <c r="N30" s="69" t="str">
        <f>IF(Main[[#This Row],[Tech Start Date]]&lt;1/1/1990,"",IF(Main[[#This Row],[Class]]="C",WORKDAY(Main[[#This Row],[Tech Start Date]],19),IF(Main[[#This Row],[Class]]="B", WORKDAY(Main[[#This Row],[Tech Start Date]],12),IF(Main[[#This Row],[Class]]="A",WORKDAY(Main[[#This Row],[Tech Start Date]],4),""))))</f>
        <v/>
      </c>
      <c r="O30" s="69" t="str">
        <f>IF(Main[[#This Row],[Tech Start Date]]&lt;1/1/1990,"",IF(Main[[#This Row],[Class]]="C",WORKDAY(Main[[#This Row],[Tech Start Date]],23),IF(Main[[#This Row],[Class]]="B", WORKDAY(Main[[#This Row],[Tech Start Date]],15),IF(Main[[#This Row],[Class]]="A",WORKDAY(Main[[#This Row],[Tech Start Date]],5),""))))</f>
        <v/>
      </c>
      <c r="P30" s="69" t="str">
        <f>IF(Main[[#This Row],[Tech Start Date]]&lt;1/1/1990,"",IF(Main[[#This Row],[Class]]="C",WORKDAY(Main[[#This Row],[Tech Start Date]],28),IF(Main[[#This Row],[Class]]="B", WORKDAY(Main[[#This Row],[Tech Start Date]],19),IF(Main[[#This Row],[Class]]="A",WORKDAY(Main[[#This Row],[Tech Start Date]],9),""))))</f>
        <v/>
      </c>
      <c r="Q30" s="67">
        <v>40836</v>
      </c>
      <c r="R30" s="67"/>
      <c r="S30" s="65" t="s">
        <v>6</v>
      </c>
      <c r="T30" s="70" t="s">
        <v>4</v>
      </c>
      <c r="U30" s="65" t="s">
        <v>29</v>
      </c>
      <c r="V30" s="65" t="s">
        <v>1917</v>
      </c>
      <c r="W30" s="65" t="s">
        <v>1918</v>
      </c>
      <c r="X30" s="65" t="s">
        <v>2836</v>
      </c>
      <c r="Y30" s="65" t="s">
        <v>2965</v>
      </c>
      <c r="Z30" s="65" t="s">
        <v>30</v>
      </c>
      <c r="AA30" s="65" t="s">
        <v>2836</v>
      </c>
    </row>
    <row r="31" spans="1:27" ht="17.45" hidden="1" customHeight="1">
      <c r="A31" s="100" t="str">
        <f>IF(priority(Main[[#This Row],[Comments]])&lt;&gt;0, priority(Main[[#This Row],[Comments]]),"")</f>
        <v/>
      </c>
      <c r="B31" s="77" t="s">
        <v>1046</v>
      </c>
      <c r="C31" s="65" t="s">
        <v>31</v>
      </c>
      <c r="D31" s="66" t="s">
        <v>77</v>
      </c>
      <c r="E31" s="67"/>
      <c r="F31" s="67">
        <v>40512</v>
      </c>
      <c r="G31" s="64" t="str">
        <f>IF(stdProdLT(Main[[#This Row],[Comments]])=0.1,"N/A",IF(stdProdLT(Main[[#This Row],[Comments]])=0,"",stdProdLT(Main[[#This Row],[Comments]])))</f>
        <v/>
      </c>
      <c r="H31" s="68" t="str">
        <f>IF(AND(Main[[#This Row],[In Stock Date]]&lt;&gt;"",Main[[#This Row],[Revised Due Date]]&lt;&gt;""),Main[[#This Row],[In Stock Date]]-Main[[#This Row],[Revised Due Date]],"")</f>
        <v/>
      </c>
      <c r="I31" s="65" t="s">
        <v>4</v>
      </c>
      <c r="J31" s="65" t="s">
        <v>4</v>
      </c>
      <c r="K31" s="65" t="s">
        <v>4</v>
      </c>
      <c r="L31" s="67"/>
      <c r="M31" s="69" t="str">
        <f>IF(Main[[#This Row],[Tech Start Date]]&lt;1/1/1990,"",IF(Main[[#This Row],[Class]]="C",WORKDAY(Main[[#This Row],[Tech Start Date]],9),IF(Main[[#This Row],[Class]]="B", WORKDAY(Main[[#This Row],[Tech Start Date]],6),IF(Main[[#This Row],[Class]]="A",WORKDAY(Main[[#This Row],[Tech Start Date]],2),""))))</f>
        <v/>
      </c>
      <c r="N31" s="69" t="str">
        <f>IF(Main[[#This Row],[Tech Start Date]]&lt;1/1/1990,"",IF(Main[[#This Row],[Class]]="C",WORKDAY(Main[[#This Row],[Tech Start Date]],19),IF(Main[[#This Row],[Class]]="B", WORKDAY(Main[[#This Row],[Tech Start Date]],12),IF(Main[[#This Row],[Class]]="A",WORKDAY(Main[[#This Row],[Tech Start Date]],4),""))))</f>
        <v/>
      </c>
      <c r="O31" s="69" t="str">
        <f>IF(Main[[#This Row],[Tech Start Date]]&lt;1/1/1990,"",IF(Main[[#This Row],[Class]]="C",WORKDAY(Main[[#This Row],[Tech Start Date]],23),IF(Main[[#This Row],[Class]]="B", WORKDAY(Main[[#This Row],[Tech Start Date]],15),IF(Main[[#This Row],[Class]]="A",WORKDAY(Main[[#This Row],[Tech Start Date]],5),""))))</f>
        <v/>
      </c>
      <c r="P31" s="69" t="str">
        <f>IF(Main[[#This Row],[Tech Start Date]]&lt;1/1/1990,"",IF(Main[[#This Row],[Class]]="C",WORKDAY(Main[[#This Row],[Tech Start Date]],28),IF(Main[[#This Row],[Class]]="B", WORKDAY(Main[[#This Row],[Tech Start Date]],19),IF(Main[[#This Row],[Class]]="A",WORKDAY(Main[[#This Row],[Tech Start Date]],9),""))))</f>
        <v/>
      </c>
      <c r="Q31" s="67">
        <v>40415</v>
      </c>
      <c r="R31" s="67"/>
      <c r="S31" s="65" t="s">
        <v>11</v>
      </c>
      <c r="T31" s="70" t="s">
        <v>4</v>
      </c>
      <c r="U31" s="65" t="s">
        <v>14</v>
      </c>
      <c r="V31" s="65" t="s">
        <v>1917</v>
      </c>
      <c r="W31" s="65" t="s">
        <v>1920</v>
      </c>
      <c r="X31" s="65" t="s">
        <v>2830</v>
      </c>
      <c r="Y31" s="65" t="s">
        <v>2953</v>
      </c>
      <c r="Z31" s="65" t="s">
        <v>4</v>
      </c>
      <c r="AA31" s="65" t="s">
        <v>2830</v>
      </c>
    </row>
    <row r="32" spans="1:27" ht="17.45" hidden="1" customHeight="1">
      <c r="A32" s="100" t="str">
        <f>IF(priority(Main[[#This Row],[Comments]])&lt;&gt;0, priority(Main[[#This Row],[Comments]]),"")</f>
        <v/>
      </c>
      <c r="B32" s="77" t="s">
        <v>1047</v>
      </c>
      <c r="C32" s="65" t="s">
        <v>4</v>
      </c>
      <c r="D32" s="66" t="s">
        <v>78</v>
      </c>
      <c r="E32" s="67"/>
      <c r="F32" s="67"/>
      <c r="G32" s="64" t="str">
        <f>IF(stdProdLT(Main[[#This Row],[Comments]])=0.1,"N/A",IF(stdProdLT(Main[[#This Row],[Comments]])=0,"",stdProdLT(Main[[#This Row],[Comments]])))</f>
        <v/>
      </c>
      <c r="H32" s="68" t="str">
        <f>IF(AND(Main[[#This Row],[In Stock Date]]&lt;&gt;"",Main[[#This Row],[Revised Due Date]]&lt;&gt;""),Main[[#This Row],[In Stock Date]]-Main[[#This Row],[Revised Due Date]],"")</f>
        <v/>
      </c>
      <c r="I32" s="65" t="s">
        <v>4</v>
      </c>
      <c r="J32" s="65" t="s">
        <v>4</v>
      </c>
      <c r="K32" s="71" t="s">
        <v>4</v>
      </c>
      <c r="L32" s="67"/>
      <c r="M32" s="69" t="str">
        <f>IF(Main[[#This Row],[Tech Start Date]]&lt;1/1/1990,"",IF(Main[[#This Row],[Class]]="C",WORKDAY(Main[[#This Row],[Tech Start Date]],9),IF(Main[[#This Row],[Class]]="B", WORKDAY(Main[[#This Row],[Tech Start Date]],6),IF(Main[[#This Row],[Class]]="A",WORKDAY(Main[[#This Row],[Tech Start Date]],2),""))))</f>
        <v/>
      </c>
      <c r="N32" s="69" t="str">
        <f>IF(Main[[#This Row],[Tech Start Date]]&lt;1/1/1990,"",IF(Main[[#This Row],[Class]]="C",WORKDAY(Main[[#This Row],[Tech Start Date]],19),IF(Main[[#This Row],[Class]]="B", WORKDAY(Main[[#This Row],[Tech Start Date]],12),IF(Main[[#This Row],[Class]]="A",WORKDAY(Main[[#This Row],[Tech Start Date]],4),""))))</f>
        <v/>
      </c>
      <c r="O32" s="69" t="str">
        <f>IF(Main[[#This Row],[Tech Start Date]]&lt;1/1/1990,"",IF(Main[[#This Row],[Class]]="C",WORKDAY(Main[[#This Row],[Tech Start Date]],23),IF(Main[[#This Row],[Class]]="B", WORKDAY(Main[[#This Row],[Tech Start Date]],15),IF(Main[[#This Row],[Class]]="A",WORKDAY(Main[[#This Row],[Tech Start Date]],5),""))))</f>
        <v/>
      </c>
      <c r="P32" s="69" t="str">
        <f>IF(Main[[#This Row],[Tech Start Date]]&lt;1/1/1990,"",IF(Main[[#This Row],[Class]]="C",WORKDAY(Main[[#This Row],[Tech Start Date]],28),IF(Main[[#This Row],[Class]]="B", WORKDAY(Main[[#This Row],[Tech Start Date]],19),IF(Main[[#This Row],[Class]]="A",WORKDAY(Main[[#This Row],[Tech Start Date]],9),""))))</f>
        <v/>
      </c>
      <c r="Q32" s="67"/>
      <c r="R32" s="67"/>
      <c r="S32" s="65" t="s">
        <v>49</v>
      </c>
      <c r="T32" s="70" t="s">
        <v>4</v>
      </c>
      <c r="U32" s="65" t="s">
        <v>14</v>
      </c>
      <c r="V32" s="65" t="s">
        <v>1914</v>
      </c>
      <c r="W32" s="65" t="s">
        <v>1918</v>
      </c>
      <c r="X32" s="65" t="s">
        <v>306</v>
      </c>
      <c r="Y32" s="65" t="s">
        <v>4</v>
      </c>
      <c r="Z32" s="65" t="s">
        <v>4</v>
      </c>
      <c r="AA32" s="65" t="s">
        <v>4</v>
      </c>
    </row>
    <row r="33" spans="1:32" ht="17.45" hidden="1" customHeight="1">
      <c r="A33" s="100" t="str">
        <f>IF(priority(Main[[#This Row],[Comments]])&lt;&gt;0, priority(Main[[#This Row],[Comments]]),"")</f>
        <v/>
      </c>
      <c r="B33" s="77" t="s">
        <v>2087</v>
      </c>
      <c r="C33" s="65" t="s">
        <v>2088</v>
      </c>
      <c r="D33" s="66" t="s">
        <v>2089</v>
      </c>
      <c r="E33" s="67"/>
      <c r="F33" s="67">
        <v>40831</v>
      </c>
      <c r="G33" s="64" t="str">
        <f>IF(stdProdLT(Main[[#This Row],[Comments]])=0.1,"N/A",IF(stdProdLT(Main[[#This Row],[Comments]])=0,"",stdProdLT(Main[[#This Row],[Comments]])))</f>
        <v/>
      </c>
      <c r="H33" s="68" t="str">
        <f>IF(AND(Main[[#This Row],[In Stock Date]]&lt;&gt;"",Main[[#This Row],[Revised Due Date]]&lt;&gt;""),Main[[#This Row],[In Stock Date]]-Main[[#This Row],[Revised Due Date]],"")</f>
        <v/>
      </c>
      <c r="I33" s="65" t="s">
        <v>4</v>
      </c>
      <c r="J33" s="65" t="s">
        <v>4</v>
      </c>
      <c r="K33" s="65" t="s">
        <v>4</v>
      </c>
      <c r="L33" s="67"/>
      <c r="M33" s="69" t="str">
        <f>IF(Main[[#This Row],[Tech Start Date]]&lt;1/1/1990,"",IF(Main[[#This Row],[Class]]="C",WORKDAY(Main[[#This Row],[Tech Start Date]],9),IF(Main[[#This Row],[Class]]="B", WORKDAY(Main[[#This Row],[Tech Start Date]],6),IF(Main[[#This Row],[Class]]="A",WORKDAY(Main[[#This Row],[Tech Start Date]],2),""))))</f>
        <v/>
      </c>
      <c r="N33" s="69" t="str">
        <f>IF(Main[[#This Row],[Tech Start Date]]&lt;1/1/1990,"",IF(Main[[#This Row],[Class]]="C",WORKDAY(Main[[#This Row],[Tech Start Date]],19),IF(Main[[#This Row],[Class]]="B", WORKDAY(Main[[#This Row],[Tech Start Date]],12),IF(Main[[#This Row],[Class]]="A",WORKDAY(Main[[#This Row],[Tech Start Date]],4),""))))</f>
        <v/>
      </c>
      <c r="O33" s="69" t="str">
        <f>IF(Main[[#This Row],[Tech Start Date]]&lt;1/1/1990,"",IF(Main[[#This Row],[Class]]="C",WORKDAY(Main[[#This Row],[Tech Start Date]],23),IF(Main[[#This Row],[Class]]="B", WORKDAY(Main[[#This Row],[Tech Start Date]],15),IF(Main[[#This Row],[Class]]="A",WORKDAY(Main[[#This Row],[Tech Start Date]],5),""))))</f>
        <v/>
      </c>
      <c r="P33" s="69" t="str">
        <f>IF(Main[[#This Row],[Tech Start Date]]&lt;1/1/1990,"",IF(Main[[#This Row],[Class]]="C",WORKDAY(Main[[#This Row],[Tech Start Date]],28),IF(Main[[#This Row],[Class]]="B", WORKDAY(Main[[#This Row],[Tech Start Date]],19),IF(Main[[#This Row],[Class]]="A",WORKDAY(Main[[#This Row],[Tech Start Date]],9),""))))</f>
        <v/>
      </c>
      <c r="Q33" s="67">
        <v>40786</v>
      </c>
      <c r="R33" s="67"/>
      <c r="S33" s="65" t="s">
        <v>11</v>
      </c>
      <c r="T33" s="70" t="s">
        <v>4</v>
      </c>
      <c r="U33" s="65" t="s">
        <v>12</v>
      </c>
      <c r="V33" s="65" t="s">
        <v>1917</v>
      </c>
      <c r="W33" s="65" t="s">
        <v>1922</v>
      </c>
      <c r="X33" s="65" t="s">
        <v>2831</v>
      </c>
      <c r="Y33" s="65" t="s">
        <v>2954</v>
      </c>
      <c r="Z33" s="65" t="s">
        <v>4</v>
      </c>
      <c r="AA33" s="65" t="s">
        <v>2831</v>
      </c>
    </row>
    <row r="34" spans="1:32" ht="17.45" hidden="1" customHeight="1">
      <c r="A34" s="100" t="str">
        <f>IF(priority(Main[[#This Row],[Comments]])&lt;&gt;0, priority(Main[[#This Row],[Comments]]),"")</f>
        <v/>
      </c>
      <c r="B34" s="77" t="s">
        <v>2213</v>
      </c>
      <c r="C34" s="65" t="s">
        <v>2214</v>
      </c>
      <c r="D34" s="66" t="s">
        <v>2215</v>
      </c>
      <c r="E34" s="67">
        <v>40798.585381944446</v>
      </c>
      <c r="F34" s="67">
        <v>40848</v>
      </c>
      <c r="G34" s="64" t="str">
        <f>IF(stdProdLT(Main[[#This Row],[Comments]])=0.1,"N/A",IF(stdProdLT(Main[[#This Row],[Comments]])=0,"",stdProdLT(Main[[#This Row],[Comments]])))</f>
        <v/>
      </c>
      <c r="H34" s="68" t="str">
        <f>IF(AND(Main[[#This Row],[In Stock Date]]&lt;&gt;"",Main[[#This Row],[Revised Due Date]]&lt;&gt;""),Main[[#This Row],[In Stock Date]]-Main[[#This Row],[Revised Due Date]],"")</f>
        <v/>
      </c>
      <c r="I34" s="65" t="s">
        <v>4</v>
      </c>
      <c r="J34" s="65" t="s">
        <v>4</v>
      </c>
      <c r="K34" s="65" t="s">
        <v>4</v>
      </c>
      <c r="L34" s="67"/>
      <c r="M34" s="69" t="str">
        <f>IF(Main[[#This Row],[Tech Start Date]]&lt;1/1/1990,"",IF(Main[[#This Row],[Class]]="C",WORKDAY(Main[[#This Row],[Tech Start Date]],9),IF(Main[[#This Row],[Class]]="B", WORKDAY(Main[[#This Row],[Tech Start Date]],6),IF(Main[[#This Row],[Class]]="A",WORKDAY(Main[[#This Row],[Tech Start Date]],2),""))))</f>
        <v/>
      </c>
      <c r="N34" s="69" t="str">
        <f>IF(Main[[#This Row],[Tech Start Date]]&lt;1/1/1990,"",IF(Main[[#This Row],[Class]]="C",WORKDAY(Main[[#This Row],[Tech Start Date]],19),IF(Main[[#This Row],[Class]]="B", WORKDAY(Main[[#This Row],[Tech Start Date]],12),IF(Main[[#This Row],[Class]]="A",WORKDAY(Main[[#This Row],[Tech Start Date]],4),""))))</f>
        <v/>
      </c>
      <c r="O34" s="69" t="str">
        <f>IF(Main[[#This Row],[Tech Start Date]]&lt;1/1/1990,"",IF(Main[[#This Row],[Class]]="C",WORKDAY(Main[[#This Row],[Tech Start Date]],23),IF(Main[[#This Row],[Class]]="B", WORKDAY(Main[[#This Row],[Tech Start Date]],15),IF(Main[[#This Row],[Class]]="A",WORKDAY(Main[[#This Row],[Tech Start Date]],5),""))))</f>
        <v/>
      </c>
      <c r="P34" s="69" t="str">
        <f>IF(Main[[#This Row],[Tech Start Date]]&lt;1/1/1990,"",IF(Main[[#This Row],[Class]]="C",WORKDAY(Main[[#This Row],[Tech Start Date]],28),IF(Main[[#This Row],[Class]]="B", WORKDAY(Main[[#This Row],[Tech Start Date]],19),IF(Main[[#This Row],[Class]]="A",WORKDAY(Main[[#This Row],[Tech Start Date]],9),""))))</f>
        <v/>
      </c>
      <c r="Q34" s="67"/>
      <c r="R34" s="67"/>
      <c r="S34" s="65" t="s">
        <v>49</v>
      </c>
      <c r="T34" s="70" t="s">
        <v>4</v>
      </c>
      <c r="U34" s="65" t="s">
        <v>7</v>
      </c>
      <c r="V34" s="65" t="s">
        <v>1914</v>
      </c>
      <c r="W34" s="65" t="s">
        <v>1919</v>
      </c>
      <c r="X34" s="65" t="s">
        <v>2832</v>
      </c>
      <c r="Y34" s="65" t="s">
        <v>2955</v>
      </c>
      <c r="Z34" s="65" t="s">
        <v>4</v>
      </c>
      <c r="AA34" s="65" t="s">
        <v>2832</v>
      </c>
      <c r="AF34" s="90"/>
    </row>
    <row r="35" spans="1:32" ht="17.45" hidden="1" customHeight="1">
      <c r="A35" s="100" t="str">
        <f>IF(priority(Main[[#This Row],[Comments]])&lt;&gt;0, priority(Main[[#This Row],[Comments]]),"")</f>
        <v/>
      </c>
      <c r="B35" s="77" t="s">
        <v>1048</v>
      </c>
      <c r="C35" s="65" t="s">
        <v>79</v>
      </c>
      <c r="D35" s="66" t="s">
        <v>80</v>
      </c>
      <c r="E35" s="67"/>
      <c r="F35" s="67"/>
      <c r="G35" s="64" t="str">
        <f>IF(stdProdLT(Main[[#This Row],[Comments]])=0.1,"N/A",IF(stdProdLT(Main[[#This Row],[Comments]])=0,"",stdProdLT(Main[[#This Row],[Comments]])))</f>
        <v/>
      </c>
      <c r="H35" s="68" t="str">
        <f>IF(AND(Main[[#This Row],[In Stock Date]]&lt;&gt;"",Main[[#This Row],[Revised Due Date]]&lt;&gt;""),Main[[#This Row],[In Stock Date]]-Main[[#This Row],[Revised Due Date]],"")</f>
        <v/>
      </c>
      <c r="I35" s="65" t="s">
        <v>81</v>
      </c>
      <c r="J35" s="65" t="s">
        <v>4</v>
      </c>
      <c r="K35" s="65" t="s">
        <v>4</v>
      </c>
      <c r="L35" s="67"/>
      <c r="M35" s="69" t="str">
        <f>IF(Main[[#This Row],[Tech Start Date]]&lt;1/1/1990,"",IF(Main[[#This Row],[Class]]="C",WORKDAY(Main[[#This Row],[Tech Start Date]],9),IF(Main[[#This Row],[Class]]="B", WORKDAY(Main[[#This Row],[Tech Start Date]],6),IF(Main[[#This Row],[Class]]="A",WORKDAY(Main[[#This Row],[Tech Start Date]],2),""))))</f>
        <v/>
      </c>
      <c r="N35" s="69" t="str">
        <f>IF(Main[[#This Row],[Tech Start Date]]&lt;1/1/1990,"",IF(Main[[#This Row],[Class]]="C",WORKDAY(Main[[#This Row],[Tech Start Date]],19),IF(Main[[#This Row],[Class]]="B", WORKDAY(Main[[#This Row],[Tech Start Date]],12),IF(Main[[#This Row],[Class]]="A",WORKDAY(Main[[#This Row],[Tech Start Date]],4),""))))</f>
        <v/>
      </c>
      <c r="O35" s="69" t="str">
        <f>IF(Main[[#This Row],[Tech Start Date]]&lt;1/1/1990,"",IF(Main[[#This Row],[Class]]="C",WORKDAY(Main[[#This Row],[Tech Start Date]],23),IF(Main[[#This Row],[Class]]="B", WORKDAY(Main[[#This Row],[Tech Start Date]],15),IF(Main[[#This Row],[Class]]="A",WORKDAY(Main[[#This Row],[Tech Start Date]],5),""))))</f>
        <v/>
      </c>
      <c r="P35" s="69" t="str">
        <f>IF(Main[[#This Row],[Tech Start Date]]&lt;1/1/1990,"",IF(Main[[#This Row],[Class]]="C",WORKDAY(Main[[#This Row],[Tech Start Date]],28),IF(Main[[#This Row],[Class]]="B", WORKDAY(Main[[#This Row],[Tech Start Date]],19),IF(Main[[#This Row],[Class]]="A",WORKDAY(Main[[#This Row],[Tech Start Date]],9),""))))</f>
        <v/>
      </c>
      <c r="Q35" s="67">
        <v>39986</v>
      </c>
      <c r="R35" s="67"/>
      <c r="S35" s="65" t="s">
        <v>11</v>
      </c>
      <c r="T35" s="70" t="s">
        <v>4</v>
      </c>
      <c r="U35" s="65" t="s">
        <v>14</v>
      </c>
      <c r="V35" s="65" t="s">
        <v>1917</v>
      </c>
      <c r="W35" s="65" t="s">
        <v>1925</v>
      </c>
      <c r="X35" s="65" t="s">
        <v>2820</v>
      </c>
      <c r="Y35" s="65" t="s">
        <v>2956</v>
      </c>
      <c r="Z35" s="65" t="s">
        <v>4</v>
      </c>
      <c r="AA35" s="65" t="s">
        <v>2861</v>
      </c>
    </row>
    <row r="36" spans="1:32" ht="17.45" hidden="1" customHeight="1">
      <c r="A36" s="100" t="str">
        <f>IF(priority(Main[[#This Row],[Comments]])&lt;&gt;0, priority(Main[[#This Row],[Comments]]),"")</f>
        <v/>
      </c>
      <c r="B36" s="77" t="s">
        <v>1049</v>
      </c>
      <c r="C36" s="65" t="s">
        <v>4</v>
      </c>
      <c r="D36" s="66" t="s">
        <v>82</v>
      </c>
      <c r="E36" s="67"/>
      <c r="F36" s="67"/>
      <c r="G36" s="64" t="str">
        <f>IF(stdProdLT(Main[[#This Row],[Comments]])=0.1,"N/A",IF(stdProdLT(Main[[#This Row],[Comments]])=0,"",stdProdLT(Main[[#This Row],[Comments]])))</f>
        <v/>
      </c>
      <c r="H36" s="68" t="str">
        <f>IF(AND(Main[[#This Row],[In Stock Date]]&lt;&gt;"",Main[[#This Row],[Revised Due Date]]&lt;&gt;""),Main[[#This Row],[In Stock Date]]-Main[[#This Row],[Revised Due Date]],"")</f>
        <v/>
      </c>
      <c r="I36" s="65" t="s">
        <v>4</v>
      </c>
      <c r="J36" s="65" t="s">
        <v>4</v>
      </c>
      <c r="K36" s="65" t="s">
        <v>4</v>
      </c>
      <c r="L36" s="67"/>
      <c r="M36" s="69" t="str">
        <f>IF(Main[[#This Row],[Tech Start Date]]&lt;1/1/1990,"",IF(Main[[#This Row],[Class]]="C",WORKDAY(Main[[#This Row],[Tech Start Date]],9),IF(Main[[#This Row],[Class]]="B", WORKDAY(Main[[#This Row],[Tech Start Date]],6),IF(Main[[#This Row],[Class]]="A",WORKDAY(Main[[#This Row],[Tech Start Date]],2),""))))</f>
        <v/>
      </c>
      <c r="N36" s="69" t="str">
        <f>IF(Main[[#This Row],[Tech Start Date]]&lt;1/1/1990,"",IF(Main[[#This Row],[Class]]="C",WORKDAY(Main[[#This Row],[Tech Start Date]],19),IF(Main[[#This Row],[Class]]="B", WORKDAY(Main[[#This Row],[Tech Start Date]],12),IF(Main[[#This Row],[Class]]="A",WORKDAY(Main[[#This Row],[Tech Start Date]],4),""))))</f>
        <v/>
      </c>
      <c r="O36" s="69" t="str">
        <f>IF(Main[[#This Row],[Tech Start Date]]&lt;1/1/1990,"",IF(Main[[#This Row],[Class]]="C",WORKDAY(Main[[#This Row],[Tech Start Date]],23),IF(Main[[#This Row],[Class]]="B", WORKDAY(Main[[#This Row],[Tech Start Date]],15),IF(Main[[#This Row],[Class]]="A",WORKDAY(Main[[#This Row],[Tech Start Date]],5),""))))</f>
        <v/>
      </c>
      <c r="P36" s="69" t="str">
        <f>IF(Main[[#This Row],[Tech Start Date]]&lt;1/1/1990,"",IF(Main[[#This Row],[Class]]="C",WORKDAY(Main[[#This Row],[Tech Start Date]],28),IF(Main[[#This Row],[Class]]="B", WORKDAY(Main[[#This Row],[Tech Start Date]],19),IF(Main[[#This Row],[Class]]="A",WORKDAY(Main[[#This Row],[Tech Start Date]],9),""))))</f>
        <v/>
      </c>
      <c r="Q36" s="67">
        <v>40602</v>
      </c>
      <c r="R36" s="67"/>
      <c r="S36" s="65" t="s">
        <v>6</v>
      </c>
      <c r="T36" s="70" t="s">
        <v>4</v>
      </c>
      <c r="U36" s="65" t="s">
        <v>14</v>
      </c>
      <c r="V36" s="65" t="s">
        <v>1924</v>
      </c>
      <c r="W36" s="65" t="s">
        <v>1918</v>
      </c>
      <c r="X36" s="65" t="s">
        <v>30</v>
      </c>
      <c r="Y36" s="65" t="s">
        <v>2957</v>
      </c>
      <c r="Z36" s="65" t="s">
        <v>4</v>
      </c>
      <c r="AA36" s="65" t="s">
        <v>30</v>
      </c>
    </row>
    <row r="37" spans="1:32" ht="17.45" hidden="1" customHeight="1">
      <c r="A37" s="100" t="str">
        <f>IF(priority(Main[[#This Row],[Comments]])&lt;&gt;0, priority(Main[[#This Row],[Comments]]),"")</f>
        <v/>
      </c>
      <c r="B37" s="77" t="s">
        <v>2682</v>
      </c>
      <c r="C37" s="65" t="s">
        <v>2683</v>
      </c>
      <c r="D37" s="66" t="s">
        <v>2684</v>
      </c>
      <c r="E37" s="67"/>
      <c r="F37" s="67"/>
      <c r="G37" s="64" t="str">
        <f>IF(stdProdLT(Main[[#This Row],[Comments]])=0.1,"N/A",IF(stdProdLT(Main[[#This Row],[Comments]])=0,"",stdProdLT(Main[[#This Row],[Comments]])))</f>
        <v/>
      </c>
      <c r="H37" s="68" t="str">
        <f>IF(AND(Main[[#This Row],[In Stock Date]]&lt;&gt;"",Main[[#This Row],[Revised Due Date]]&lt;&gt;""),Main[[#This Row],[In Stock Date]]-Main[[#This Row],[Revised Due Date]],"")</f>
        <v/>
      </c>
      <c r="I37" s="65" t="s">
        <v>4</v>
      </c>
      <c r="J37" s="65" t="s">
        <v>4</v>
      </c>
      <c r="K37" s="65" t="s">
        <v>4</v>
      </c>
      <c r="L37" s="67"/>
      <c r="M37" s="69" t="str">
        <f>IF(Main[[#This Row],[Tech Start Date]]&lt;1/1/1990,"",IF(Main[[#This Row],[Class]]="C",WORKDAY(Main[[#This Row],[Tech Start Date]],9),IF(Main[[#This Row],[Class]]="B", WORKDAY(Main[[#This Row],[Tech Start Date]],6),IF(Main[[#This Row],[Class]]="A",WORKDAY(Main[[#This Row],[Tech Start Date]],2),""))))</f>
        <v/>
      </c>
      <c r="N37" s="69" t="str">
        <f>IF(Main[[#This Row],[Tech Start Date]]&lt;1/1/1990,"",IF(Main[[#This Row],[Class]]="C",WORKDAY(Main[[#This Row],[Tech Start Date]],19),IF(Main[[#This Row],[Class]]="B", WORKDAY(Main[[#This Row],[Tech Start Date]],12),IF(Main[[#This Row],[Class]]="A",WORKDAY(Main[[#This Row],[Tech Start Date]],4),""))))</f>
        <v/>
      </c>
      <c r="O37" s="69" t="str">
        <f>IF(Main[[#This Row],[Tech Start Date]]&lt;1/1/1990,"",IF(Main[[#This Row],[Class]]="C",WORKDAY(Main[[#This Row],[Tech Start Date]],23),IF(Main[[#This Row],[Class]]="B", WORKDAY(Main[[#This Row],[Tech Start Date]],15),IF(Main[[#This Row],[Class]]="A",WORKDAY(Main[[#This Row],[Tech Start Date]],5),""))))</f>
        <v/>
      </c>
      <c r="P37" s="69" t="str">
        <f>IF(Main[[#This Row],[Tech Start Date]]&lt;1/1/1990,"",IF(Main[[#This Row],[Class]]="C",WORKDAY(Main[[#This Row],[Tech Start Date]],28),IF(Main[[#This Row],[Class]]="B", WORKDAY(Main[[#This Row],[Tech Start Date]],19),IF(Main[[#This Row],[Class]]="A",WORKDAY(Main[[#This Row],[Tech Start Date]],9),""))))</f>
        <v/>
      </c>
      <c r="Q37" s="67"/>
      <c r="R37" s="67"/>
      <c r="S37" s="65" t="s">
        <v>6</v>
      </c>
      <c r="T37" s="70" t="s">
        <v>4</v>
      </c>
      <c r="U37" s="65" t="s">
        <v>14</v>
      </c>
      <c r="V37" s="65" t="s">
        <v>1917</v>
      </c>
      <c r="W37" s="65" t="s">
        <v>1922</v>
      </c>
      <c r="X37" s="65" t="s">
        <v>883</v>
      </c>
      <c r="Y37" s="65" t="s">
        <v>2958</v>
      </c>
      <c r="Z37" s="65" t="s">
        <v>4</v>
      </c>
      <c r="AA37" s="65" t="s">
        <v>3378</v>
      </c>
    </row>
    <row r="38" spans="1:32" ht="17.45" hidden="1" customHeight="1">
      <c r="A38" s="100" t="str">
        <f>IF(priority(Main[[#This Row],[Comments]])&lt;&gt;0, priority(Main[[#This Row],[Comments]]),"")</f>
        <v/>
      </c>
      <c r="B38" s="77" t="s">
        <v>1050</v>
      </c>
      <c r="C38" s="65" t="s">
        <v>86</v>
      </c>
      <c r="D38" s="66" t="s">
        <v>87</v>
      </c>
      <c r="E38" s="67"/>
      <c r="F38" s="67">
        <v>40555</v>
      </c>
      <c r="G38" s="64" t="str">
        <f>IF(stdProdLT(Main[[#This Row],[Comments]])=0.1,"N/A",IF(stdProdLT(Main[[#This Row],[Comments]])=0,"",stdProdLT(Main[[#This Row],[Comments]])))</f>
        <v/>
      </c>
      <c r="H38" s="68" t="str">
        <f>IF(AND(Main[[#This Row],[In Stock Date]]&lt;&gt;"",Main[[#This Row],[Revised Due Date]]&lt;&gt;""),Main[[#This Row],[In Stock Date]]-Main[[#This Row],[Revised Due Date]],"")</f>
        <v/>
      </c>
      <c r="I38" s="65" t="s">
        <v>4</v>
      </c>
      <c r="J38" s="65" t="s">
        <v>75</v>
      </c>
      <c r="K38" s="65" t="s">
        <v>4</v>
      </c>
      <c r="L38" s="67"/>
      <c r="M38" s="69" t="str">
        <f>IF(Main[[#This Row],[Tech Start Date]]&lt;1/1/1990,"",IF(Main[[#This Row],[Class]]="C",WORKDAY(Main[[#This Row],[Tech Start Date]],9),IF(Main[[#This Row],[Class]]="B", WORKDAY(Main[[#This Row],[Tech Start Date]],6),IF(Main[[#This Row],[Class]]="A",WORKDAY(Main[[#This Row],[Tech Start Date]],2),""))))</f>
        <v/>
      </c>
      <c r="N38" s="69" t="str">
        <f>IF(Main[[#This Row],[Tech Start Date]]&lt;1/1/1990,"",IF(Main[[#This Row],[Class]]="C",WORKDAY(Main[[#This Row],[Tech Start Date]],19),IF(Main[[#This Row],[Class]]="B", WORKDAY(Main[[#This Row],[Tech Start Date]],12),IF(Main[[#This Row],[Class]]="A",WORKDAY(Main[[#This Row],[Tech Start Date]],4),""))))</f>
        <v/>
      </c>
      <c r="O38" s="69" t="str">
        <f>IF(Main[[#This Row],[Tech Start Date]]&lt;1/1/1990,"",IF(Main[[#This Row],[Class]]="C",WORKDAY(Main[[#This Row],[Tech Start Date]],23),IF(Main[[#This Row],[Class]]="B", WORKDAY(Main[[#This Row],[Tech Start Date]],15),IF(Main[[#This Row],[Class]]="A",WORKDAY(Main[[#This Row],[Tech Start Date]],5),""))))</f>
        <v/>
      </c>
      <c r="P38" s="69" t="str">
        <f>IF(Main[[#This Row],[Tech Start Date]]&lt;1/1/1990,"",IF(Main[[#This Row],[Class]]="C",WORKDAY(Main[[#This Row],[Tech Start Date]],28),IF(Main[[#This Row],[Class]]="B", WORKDAY(Main[[#This Row],[Tech Start Date]],19),IF(Main[[#This Row],[Class]]="A",WORKDAY(Main[[#This Row],[Tech Start Date]],9),""))))</f>
        <v/>
      </c>
      <c r="Q38" s="67">
        <v>40446</v>
      </c>
      <c r="R38" s="67"/>
      <c r="S38" s="65" t="s">
        <v>49</v>
      </c>
      <c r="T38" s="70" t="s">
        <v>4</v>
      </c>
      <c r="U38" s="65" t="s">
        <v>14</v>
      </c>
      <c r="V38" s="65" t="s">
        <v>1917</v>
      </c>
      <c r="W38" s="65" t="s">
        <v>1916</v>
      </c>
      <c r="X38" s="65" t="s">
        <v>306</v>
      </c>
      <c r="Y38" s="65" t="s">
        <v>2976</v>
      </c>
      <c r="Z38" s="65" t="s">
        <v>306</v>
      </c>
      <c r="AA38" s="65" t="s">
        <v>306</v>
      </c>
    </row>
    <row r="39" spans="1:32" ht="17.45" hidden="1" customHeight="1">
      <c r="A39" s="100" t="str">
        <f>IF(priority(Main[[#This Row],[Comments]])&lt;&gt;0, priority(Main[[#This Row],[Comments]]),"")</f>
        <v/>
      </c>
      <c r="B39" s="77" t="s">
        <v>2541</v>
      </c>
      <c r="C39" s="65" t="s">
        <v>2354</v>
      </c>
      <c r="D39" s="66" t="s">
        <v>2542</v>
      </c>
      <c r="E39" s="67"/>
      <c r="F39" s="67">
        <v>41008</v>
      </c>
      <c r="G39" s="64" t="str">
        <f>IF(stdProdLT(Main[[#This Row],[Comments]])=0.1,"N/A",IF(stdProdLT(Main[[#This Row],[Comments]])=0,"",stdProdLT(Main[[#This Row],[Comments]])))</f>
        <v/>
      </c>
      <c r="H39" s="68" t="str">
        <f>IF(AND(Main[[#This Row],[In Stock Date]]&lt;&gt;"",Main[[#This Row],[Revised Due Date]]&lt;&gt;""),Main[[#This Row],[In Stock Date]]-Main[[#This Row],[Revised Due Date]],"")</f>
        <v/>
      </c>
      <c r="I39" s="65" t="s">
        <v>4</v>
      </c>
      <c r="J39" s="65" t="s">
        <v>4</v>
      </c>
      <c r="K39" s="65" t="s">
        <v>4</v>
      </c>
      <c r="L39" s="67"/>
      <c r="M39" s="69" t="str">
        <f>IF(Main[[#This Row],[Tech Start Date]]&lt;1/1/1990,"",IF(Main[[#This Row],[Class]]="C",WORKDAY(Main[[#This Row],[Tech Start Date]],9),IF(Main[[#This Row],[Class]]="B", WORKDAY(Main[[#This Row],[Tech Start Date]],6),IF(Main[[#This Row],[Class]]="A",WORKDAY(Main[[#This Row],[Tech Start Date]],2),""))))</f>
        <v/>
      </c>
      <c r="N39" s="69" t="str">
        <f>IF(Main[[#This Row],[Tech Start Date]]&lt;1/1/1990,"",IF(Main[[#This Row],[Class]]="C",WORKDAY(Main[[#This Row],[Tech Start Date]],19),IF(Main[[#This Row],[Class]]="B", WORKDAY(Main[[#This Row],[Tech Start Date]],12),IF(Main[[#This Row],[Class]]="A",WORKDAY(Main[[#This Row],[Tech Start Date]],4),""))))</f>
        <v/>
      </c>
      <c r="O39" s="69" t="str">
        <f>IF(Main[[#This Row],[Tech Start Date]]&lt;1/1/1990,"",IF(Main[[#This Row],[Class]]="C",WORKDAY(Main[[#This Row],[Tech Start Date]],23),IF(Main[[#This Row],[Class]]="B", WORKDAY(Main[[#This Row],[Tech Start Date]],15),IF(Main[[#This Row],[Class]]="A",WORKDAY(Main[[#This Row],[Tech Start Date]],5),""))))</f>
        <v/>
      </c>
      <c r="P39" s="69" t="str">
        <f>IF(Main[[#This Row],[Tech Start Date]]&lt;1/1/1990,"",IF(Main[[#This Row],[Class]]="C",WORKDAY(Main[[#This Row],[Tech Start Date]],28),IF(Main[[#This Row],[Class]]="B", WORKDAY(Main[[#This Row],[Tech Start Date]],19),IF(Main[[#This Row],[Class]]="A",WORKDAY(Main[[#This Row],[Tech Start Date]],9),""))))</f>
        <v/>
      </c>
      <c r="Q39" s="67">
        <v>40826</v>
      </c>
      <c r="R39" s="67"/>
      <c r="S39" s="65" t="s">
        <v>11</v>
      </c>
      <c r="T39" s="70" t="s">
        <v>4</v>
      </c>
      <c r="U39" s="65" t="s">
        <v>12</v>
      </c>
      <c r="V39" s="65" t="s">
        <v>1917</v>
      </c>
      <c r="W39" s="65" t="s">
        <v>1920</v>
      </c>
      <c r="X39" s="65" t="s">
        <v>2843</v>
      </c>
      <c r="Y39" s="65" t="s">
        <v>4</v>
      </c>
      <c r="Z39" s="65" t="s">
        <v>4</v>
      </c>
      <c r="AA39" s="65" t="s">
        <v>2843</v>
      </c>
    </row>
    <row r="40" spans="1:32" ht="17.45" hidden="1" customHeight="1">
      <c r="A40" s="100" t="str">
        <f>IF(priority(Main[[#This Row],[Comments]])&lt;&gt;0, priority(Main[[#This Row],[Comments]]),"")</f>
        <v/>
      </c>
      <c r="B40" s="77" t="s">
        <v>1051</v>
      </c>
      <c r="C40" s="65" t="s">
        <v>88</v>
      </c>
      <c r="D40" s="66" t="s">
        <v>89</v>
      </c>
      <c r="E40" s="67"/>
      <c r="F40" s="67">
        <v>40709</v>
      </c>
      <c r="G40" s="64" t="str">
        <f>IF(stdProdLT(Main[[#This Row],[Comments]])=0.1,"N/A",IF(stdProdLT(Main[[#This Row],[Comments]])=0,"",stdProdLT(Main[[#This Row],[Comments]])))</f>
        <v/>
      </c>
      <c r="H40" s="68" t="str">
        <f>IF(AND(Main[[#This Row],[In Stock Date]]&lt;&gt;"",Main[[#This Row],[Revised Due Date]]&lt;&gt;""),Main[[#This Row],[In Stock Date]]-Main[[#This Row],[Revised Due Date]],"")</f>
        <v/>
      </c>
      <c r="I40" s="65" t="s">
        <v>4</v>
      </c>
      <c r="J40" s="65" t="s">
        <v>28</v>
      </c>
      <c r="K40" s="65" t="s">
        <v>1927</v>
      </c>
      <c r="L40" s="67"/>
      <c r="M40" s="69" t="str">
        <f>IF(Main[[#This Row],[Tech Start Date]]&lt;1/1/1990,"",IF(Main[[#This Row],[Class]]="C",WORKDAY(Main[[#This Row],[Tech Start Date]],9),IF(Main[[#This Row],[Class]]="B", WORKDAY(Main[[#This Row],[Tech Start Date]],6),IF(Main[[#This Row],[Class]]="A",WORKDAY(Main[[#This Row],[Tech Start Date]],2),""))))</f>
        <v/>
      </c>
      <c r="N40" s="69" t="str">
        <f>IF(Main[[#This Row],[Tech Start Date]]&lt;1/1/1990,"",IF(Main[[#This Row],[Class]]="C",WORKDAY(Main[[#This Row],[Tech Start Date]],19),IF(Main[[#This Row],[Class]]="B", WORKDAY(Main[[#This Row],[Tech Start Date]],12),IF(Main[[#This Row],[Class]]="A",WORKDAY(Main[[#This Row],[Tech Start Date]],4),""))))</f>
        <v/>
      </c>
      <c r="O40" s="69" t="str">
        <f>IF(Main[[#This Row],[Tech Start Date]]&lt;1/1/1990,"",IF(Main[[#This Row],[Class]]="C",WORKDAY(Main[[#This Row],[Tech Start Date]],23),IF(Main[[#This Row],[Class]]="B", WORKDAY(Main[[#This Row],[Tech Start Date]],15),IF(Main[[#This Row],[Class]]="A",WORKDAY(Main[[#This Row],[Tech Start Date]],5),""))))</f>
        <v/>
      </c>
      <c r="P40" s="69" t="str">
        <f>IF(Main[[#This Row],[Tech Start Date]]&lt;1/1/1990,"",IF(Main[[#This Row],[Class]]="C",WORKDAY(Main[[#This Row],[Tech Start Date]],28),IF(Main[[#This Row],[Class]]="B", WORKDAY(Main[[#This Row],[Tech Start Date]],19),IF(Main[[#This Row],[Class]]="A",WORKDAY(Main[[#This Row],[Tech Start Date]],9),""))))</f>
        <v/>
      </c>
      <c r="Q40" s="67">
        <v>40612</v>
      </c>
      <c r="R40" s="67"/>
      <c r="S40" s="65" t="s">
        <v>11</v>
      </c>
      <c r="T40" s="70" t="s">
        <v>4</v>
      </c>
      <c r="U40" s="65" t="s">
        <v>14</v>
      </c>
      <c r="V40" s="65" t="s">
        <v>1914</v>
      </c>
      <c r="W40" s="65" t="s">
        <v>1919</v>
      </c>
      <c r="X40" s="65" t="s">
        <v>2844</v>
      </c>
      <c r="Y40" s="65" t="s">
        <v>2977</v>
      </c>
      <c r="Z40" s="65" t="s">
        <v>129</v>
      </c>
      <c r="AA40" s="65" t="s">
        <v>2844</v>
      </c>
    </row>
    <row r="41" spans="1:32" ht="17.45" hidden="1" customHeight="1">
      <c r="A41" s="100" t="str">
        <f>IF(priority(Main[[#This Row],[Comments]])&lt;&gt;0, priority(Main[[#This Row],[Comments]]),"")</f>
        <v/>
      </c>
      <c r="B41" s="77" t="s">
        <v>1052</v>
      </c>
      <c r="C41" s="65" t="s">
        <v>4</v>
      </c>
      <c r="D41" s="66" t="s">
        <v>90</v>
      </c>
      <c r="E41" s="67"/>
      <c r="F41" s="67"/>
      <c r="G41" s="64" t="str">
        <f>IF(stdProdLT(Main[[#This Row],[Comments]])=0.1,"N/A",IF(stdProdLT(Main[[#This Row],[Comments]])=0,"",stdProdLT(Main[[#This Row],[Comments]])))</f>
        <v/>
      </c>
      <c r="H41" s="68" t="str">
        <f>IF(AND(Main[[#This Row],[In Stock Date]]&lt;&gt;"",Main[[#This Row],[Revised Due Date]]&lt;&gt;""),Main[[#This Row],[In Stock Date]]-Main[[#This Row],[Revised Due Date]],"")</f>
        <v/>
      </c>
      <c r="I41" s="65" t="s">
        <v>4</v>
      </c>
      <c r="J41" s="65" t="s">
        <v>4</v>
      </c>
      <c r="K41" s="65" t="s">
        <v>4</v>
      </c>
      <c r="L41" s="67"/>
      <c r="M41" s="69" t="str">
        <f>IF(Main[[#This Row],[Tech Start Date]]&lt;1/1/1990,"",IF(Main[[#This Row],[Class]]="C",WORKDAY(Main[[#This Row],[Tech Start Date]],9),IF(Main[[#This Row],[Class]]="B", WORKDAY(Main[[#This Row],[Tech Start Date]],6),IF(Main[[#This Row],[Class]]="A",WORKDAY(Main[[#This Row],[Tech Start Date]],2),""))))</f>
        <v/>
      </c>
      <c r="N41" s="69" t="str">
        <f>IF(Main[[#This Row],[Tech Start Date]]&lt;1/1/1990,"",IF(Main[[#This Row],[Class]]="C",WORKDAY(Main[[#This Row],[Tech Start Date]],19),IF(Main[[#This Row],[Class]]="B", WORKDAY(Main[[#This Row],[Tech Start Date]],12),IF(Main[[#This Row],[Class]]="A",WORKDAY(Main[[#This Row],[Tech Start Date]],4),""))))</f>
        <v/>
      </c>
      <c r="O41" s="69" t="str">
        <f>IF(Main[[#This Row],[Tech Start Date]]&lt;1/1/1990,"",IF(Main[[#This Row],[Class]]="C",WORKDAY(Main[[#This Row],[Tech Start Date]],23),IF(Main[[#This Row],[Class]]="B", WORKDAY(Main[[#This Row],[Tech Start Date]],15),IF(Main[[#This Row],[Class]]="A",WORKDAY(Main[[#This Row],[Tech Start Date]],5),""))))</f>
        <v/>
      </c>
      <c r="P41" s="69" t="str">
        <f>IF(Main[[#This Row],[Tech Start Date]]&lt;1/1/1990,"",IF(Main[[#This Row],[Class]]="C",WORKDAY(Main[[#This Row],[Tech Start Date]],28),IF(Main[[#This Row],[Class]]="B", WORKDAY(Main[[#This Row],[Tech Start Date]],19),IF(Main[[#This Row],[Class]]="A",WORKDAY(Main[[#This Row],[Tech Start Date]],9),""))))</f>
        <v/>
      </c>
      <c r="Q41" s="67"/>
      <c r="R41" s="67"/>
      <c r="S41" s="65" t="s">
        <v>23</v>
      </c>
      <c r="T41" s="70" t="s">
        <v>4</v>
      </c>
      <c r="U41" s="65" t="s">
        <v>14</v>
      </c>
      <c r="V41" s="65" t="s">
        <v>1914</v>
      </c>
      <c r="W41" s="65" t="s">
        <v>1918</v>
      </c>
      <c r="X41" s="65" t="s">
        <v>399</v>
      </c>
      <c r="Y41" s="65" t="s">
        <v>2958</v>
      </c>
      <c r="Z41" s="65" t="s">
        <v>4</v>
      </c>
      <c r="AA41" s="65" t="s">
        <v>3378</v>
      </c>
    </row>
    <row r="42" spans="1:32" ht="17.45" hidden="1" customHeight="1">
      <c r="A42" s="100" t="str">
        <f>IF(priority(Main[[#This Row],[Comments]])&lt;&gt;0, priority(Main[[#This Row],[Comments]]),"")</f>
        <v/>
      </c>
      <c r="B42" s="77" t="s">
        <v>1054</v>
      </c>
      <c r="C42" s="65" t="s">
        <v>93</v>
      </c>
      <c r="D42" s="66" t="s">
        <v>94</v>
      </c>
      <c r="E42" s="67"/>
      <c r="F42" s="67">
        <v>40299</v>
      </c>
      <c r="G42" s="64" t="str">
        <f>IF(stdProdLT(Main[[#This Row],[Comments]])=0.1,"N/A",IF(stdProdLT(Main[[#This Row],[Comments]])=0,"",stdProdLT(Main[[#This Row],[Comments]])))</f>
        <v/>
      </c>
      <c r="H42" s="68" t="str">
        <f>IF(AND(Main[[#This Row],[In Stock Date]]&lt;&gt;"",Main[[#This Row],[Revised Due Date]]&lt;&gt;""),Main[[#This Row],[In Stock Date]]-Main[[#This Row],[Revised Due Date]],"")</f>
        <v/>
      </c>
      <c r="I42" s="65" t="s">
        <v>4</v>
      </c>
      <c r="J42" s="65" t="s">
        <v>4</v>
      </c>
      <c r="K42" s="65" t="s">
        <v>4</v>
      </c>
      <c r="L42" s="67"/>
      <c r="M42" s="69" t="str">
        <f>IF(Main[[#This Row],[Tech Start Date]]&lt;1/1/1990,"",IF(Main[[#This Row],[Class]]="C",WORKDAY(Main[[#This Row],[Tech Start Date]],9),IF(Main[[#This Row],[Class]]="B", WORKDAY(Main[[#This Row],[Tech Start Date]],6),IF(Main[[#This Row],[Class]]="A",WORKDAY(Main[[#This Row],[Tech Start Date]],2),""))))</f>
        <v/>
      </c>
      <c r="N42" s="69" t="str">
        <f>IF(Main[[#This Row],[Tech Start Date]]&lt;1/1/1990,"",IF(Main[[#This Row],[Class]]="C",WORKDAY(Main[[#This Row],[Tech Start Date]],19),IF(Main[[#This Row],[Class]]="B", WORKDAY(Main[[#This Row],[Tech Start Date]],12),IF(Main[[#This Row],[Class]]="A",WORKDAY(Main[[#This Row],[Tech Start Date]],4),""))))</f>
        <v/>
      </c>
      <c r="O42" s="69" t="str">
        <f>IF(Main[[#This Row],[Tech Start Date]]&lt;1/1/1990,"",IF(Main[[#This Row],[Class]]="C",WORKDAY(Main[[#This Row],[Tech Start Date]],23),IF(Main[[#This Row],[Class]]="B", WORKDAY(Main[[#This Row],[Tech Start Date]],15),IF(Main[[#This Row],[Class]]="A",WORKDAY(Main[[#This Row],[Tech Start Date]],5),""))))</f>
        <v/>
      </c>
      <c r="P42" s="69" t="str">
        <f>IF(Main[[#This Row],[Tech Start Date]]&lt;1/1/1990,"",IF(Main[[#This Row],[Class]]="C",WORKDAY(Main[[#This Row],[Tech Start Date]],28),IF(Main[[#This Row],[Class]]="B", WORKDAY(Main[[#This Row],[Tech Start Date]],19),IF(Main[[#This Row],[Class]]="A",WORKDAY(Main[[#This Row],[Tech Start Date]],9),""))))</f>
        <v/>
      </c>
      <c r="Q42" s="67">
        <v>40209</v>
      </c>
      <c r="R42" s="67"/>
      <c r="S42" s="65" t="s">
        <v>11</v>
      </c>
      <c r="T42" s="70" t="s">
        <v>4</v>
      </c>
      <c r="U42" s="65" t="s">
        <v>14</v>
      </c>
      <c r="V42" s="65" t="s">
        <v>1914</v>
      </c>
      <c r="W42" s="65" t="s">
        <v>1925</v>
      </c>
      <c r="X42" s="65" t="s">
        <v>2845</v>
      </c>
      <c r="Y42" s="65" t="s">
        <v>4</v>
      </c>
      <c r="Z42" s="65" t="s">
        <v>4</v>
      </c>
      <c r="AA42" s="65" t="s">
        <v>2845</v>
      </c>
    </row>
    <row r="43" spans="1:32" ht="17.45" hidden="1" customHeight="1">
      <c r="A43" s="100" t="str">
        <f>IF(priority(Main[[#This Row],[Comments]])&lt;&gt;0, priority(Main[[#This Row],[Comments]]),"")</f>
        <v/>
      </c>
      <c r="B43" s="77" t="s">
        <v>1548</v>
      </c>
      <c r="C43" s="65" t="s">
        <v>4</v>
      </c>
      <c r="D43" s="66" t="s">
        <v>2688</v>
      </c>
      <c r="E43" s="67">
        <v>40718.447500000002</v>
      </c>
      <c r="F43" s="67"/>
      <c r="G43" s="64" t="str">
        <f>IF(stdProdLT(Main[[#This Row],[Comments]])=0.1,"N/A",IF(stdProdLT(Main[[#This Row],[Comments]])=0,"",stdProdLT(Main[[#This Row],[Comments]])))</f>
        <v/>
      </c>
      <c r="H43" s="68" t="str">
        <f>IF(AND(Main[[#This Row],[In Stock Date]]&lt;&gt;"",Main[[#This Row],[Revised Due Date]]&lt;&gt;""),Main[[#This Row],[In Stock Date]]-Main[[#This Row],[Revised Due Date]],"")</f>
        <v/>
      </c>
      <c r="I43" s="65" t="s">
        <v>530</v>
      </c>
      <c r="J43" s="65" t="s">
        <v>52</v>
      </c>
      <c r="K43" s="65" t="s">
        <v>1923</v>
      </c>
      <c r="L43" s="67"/>
      <c r="M43" s="69" t="str">
        <f>IF(Main[[#This Row],[Tech Start Date]]&lt;1/1/1990,"",IF(Main[[#This Row],[Class]]="C",WORKDAY(Main[[#This Row],[Tech Start Date]],9),IF(Main[[#This Row],[Class]]="B", WORKDAY(Main[[#This Row],[Tech Start Date]],6),IF(Main[[#This Row],[Class]]="A",WORKDAY(Main[[#This Row],[Tech Start Date]],2),""))))</f>
        <v/>
      </c>
      <c r="N43" s="69" t="str">
        <f>IF(Main[[#This Row],[Tech Start Date]]&lt;1/1/1990,"",IF(Main[[#This Row],[Class]]="C",WORKDAY(Main[[#This Row],[Tech Start Date]],19),IF(Main[[#This Row],[Class]]="B", WORKDAY(Main[[#This Row],[Tech Start Date]],12),IF(Main[[#This Row],[Class]]="A",WORKDAY(Main[[#This Row],[Tech Start Date]],4),""))))</f>
        <v/>
      </c>
      <c r="O43" s="69" t="str">
        <f>IF(Main[[#This Row],[Tech Start Date]]&lt;1/1/1990,"",IF(Main[[#This Row],[Class]]="C",WORKDAY(Main[[#This Row],[Tech Start Date]],23),IF(Main[[#This Row],[Class]]="B", WORKDAY(Main[[#This Row],[Tech Start Date]],15),IF(Main[[#This Row],[Class]]="A",WORKDAY(Main[[#This Row],[Tech Start Date]],5),""))))</f>
        <v/>
      </c>
      <c r="P43" s="69" t="str">
        <f>IF(Main[[#This Row],[Tech Start Date]]&lt;1/1/1990,"",IF(Main[[#This Row],[Class]]="C",WORKDAY(Main[[#This Row],[Tech Start Date]],28),IF(Main[[#This Row],[Class]]="B", WORKDAY(Main[[#This Row],[Tech Start Date]],19),IF(Main[[#This Row],[Class]]="A",WORKDAY(Main[[#This Row],[Tech Start Date]],9),""))))</f>
        <v/>
      </c>
      <c r="Q43" s="67">
        <v>40786</v>
      </c>
      <c r="R43" s="67"/>
      <c r="S43" s="65" t="s">
        <v>6</v>
      </c>
      <c r="T43" s="70" t="s">
        <v>4</v>
      </c>
      <c r="U43" s="65" t="s">
        <v>29</v>
      </c>
      <c r="V43" s="65" t="s">
        <v>1917</v>
      </c>
      <c r="W43" s="65" t="s">
        <v>1918</v>
      </c>
      <c r="X43" s="65" t="s">
        <v>306</v>
      </c>
      <c r="Y43" s="65" t="s">
        <v>2941</v>
      </c>
      <c r="Z43" s="65" t="s">
        <v>30</v>
      </c>
      <c r="AA43" s="65" t="s">
        <v>306</v>
      </c>
    </row>
    <row r="44" spans="1:32" ht="17.45" hidden="1" customHeight="1">
      <c r="A44" s="100" t="str">
        <f>IF(priority(Main[[#This Row],[Comments]])&lt;&gt;0, priority(Main[[#This Row],[Comments]]),"")</f>
        <v/>
      </c>
      <c r="B44" s="77" t="s">
        <v>1056</v>
      </c>
      <c r="C44" s="65" t="s">
        <v>4</v>
      </c>
      <c r="D44" s="66" t="s">
        <v>39</v>
      </c>
      <c r="E44" s="67"/>
      <c r="F44" s="67"/>
      <c r="G44" s="64" t="str">
        <f>IF(stdProdLT(Main[[#This Row],[Comments]])=0.1,"N/A",IF(stdProdLT(Main[[#This Row],[Comments]])=0,"",stdProdLT(Main[[#This Row],[Comments]])))</f>
        <v/>
      </c>
      <c r="H44" s="68" t="str">
        <f>IF(AND(Main[[#This Row],[In Stock Date]]&lt;&gt;"",Main[[#This Row],[Revised Due Date]]&lt;&gt;""),Main[[#This Row],[In Stock Date]]-Main[[#This Row],[Revised Due Date]],"")</f>
        <v/>
      </c>
      <c r="I44" s="65" t="s">
        <v>4</v>
      </c>
      <c r="J44" s="65" t="s">
        <v>4</v>
      </c>
      <c r="K44" s="65" t="s">
        <v>4</v>
      </c>
      <c r="L44" s="67"/>
      <c r="M44" s="69" t="str">
        <f>IF(Main[[#This Row],[Tech Start Date]]&lt;1/1/1990,"",IF(Main[[#This Row],[Class]]="C",WORKDAY(Main[[#This Row],[Tech Start Date]],9),IF(Main[[#This Row],[Class]]="B", WORKDAY(Main[[#This Row],[Tech Start Date]],6),IF(Main[[#This Row],[Class]]="A",WORKDAY(Main[[#This Row],[Tech Start Date]],2),""))))</f>
        <v/>
      </c>
      <c r="N44" s="69" t="str">
        <f>IF(Main[[#This Row],[Tech Start Date]]&lt;1/1/1990,"",IF(Main[[#This Row],[Class]]="C",WORKDAY(Main[[#This Row],[Tech Start Date]],19),IF(Main[[#This Row],[Class]]="B", WORKDAY(Main[[#This Row],[Tech Start Date]],12),IF(Main[[#This Row],[Class]]="A",WORKDAY(Main[[#This Row],[Tech Start Date]],4),""))))</f>
        <v/>
      </c>
      <c r="O44" s="69" t="str">
        <f>IF(Main[[#This Row],[Tech Start Date]]&lt;1/1/1990,"",IF(Main[[#This Row],[Class]]="C",WORKDAY(Main[[#This Row],[Tech Start Date]],23),IF(Main[[#This Row],[Class]]="B", WORKDAY(Main[[#This Row],[Tech Start Date]],15),IF(Main[[#This Row],[Class]]="A",WORKDAY(Main[[#This Row],[Tech Start Date]],5),""))))</f>
        <v/>
      </c>
      <c r="P44" s="69" t="str">
        <f>IF(Main[[#This Row],[Tech Start Date]]&lt;1/1/1990,"",IF(Main[[#This Row],[Class]]="C",WORKDAY(Main[[#This Row],[Tech Start Date]],28),IF(Main[[#This Row],[Class]]="B", WORKDAY(Main[[#This Row],[Tech Start Date]],19),IF(Main[[#This Row],[Class]]="A",WORKDAY(Main[[#This Row],[Tech Start Date]],9),""))))</f>
        <v/>
      </c>
      <c r="Q44" s="67">
        <v>40669</v>
      </c>
      <c r="R44" s="67"/>
      <c r="S44" s="65" t="s">
        <v>6</v>
      </c>
      <c r="T44" s="70" t="s">
        <v>4</v>
      </c>
      <c r="U44" s="65" t="s">
        <v>14</v>
      </c>
      <c r="V44" s="65" t="s">
        <v>1917</v>
      </c>
      <c r="W44" s="65" t="s">
        <v>4</v>
      </c>
      <c r="X44" s="65" t="s">
        <v>2818</v>
      </c>
      <c r="Y44" s="65" t="s">
        <v>2929</v>
      </c>
      <c r="Z44" s="65" t="s">
        <v>4</v>
      </c>
      <c r="AA44" s="65" t="s">
        <v>2818</v>
      </c>
    </row>
    <row r="45" spans="1:32" ht="17.45" hidden="1" customHeight="1">
      <c r="A45" s="100" t="str">
        <f>IF(priority(Main[[#This Row],[Comments]])&lt;&gt;0, priority(Main[[#This Row],[Comments]]),"")</f>
        <v/>
      </c>
      <c r="B45" s="77" t="s">
        <v>1057</v>
      </c>
      <c r="C45" s="65" t="s">
        <v>47</v>
      </c>
      <c r="D45" s="66" t="s">
        <v>91</v>
      </c>
      <c r="E45" s="67"/>
      <c r="F45" s="67"/>
      <c r="G45" s="64" t="str">
        <f>IF(stdProdLT(Main[[#This Row],[Comments]])=0.1,"N/A",IF(stdProdLT(Main[[#This Row],[Comments]])=0,"",stdProdLT(Main[[#This Row],[Comments]])))</f>
        <v/>
      </c>
      <c r="H45" s="68" t="str">
        <f>IF(AND(Main[[#This Row],[In Stock Date]]&lt;&gt;"",Main[[#This Row],[Revised Due Date]]&lt;&gt;""),Main[[#This Row],[In Stock Date]]-Main[[#This Row],[Revised Due Date]],"")</f>
        <v/>
      </c>
      <c r="I45" s="65" t="s">
        <v>4</v>
      </c>
      <c r="J45" s="65" t="s">
        <v>4</v>
      </c>
      <c r="K45" s="65" t="s">
        <v>4</v>
      </c>
      <c r="L45" s="67"/>
      <c r="M45" s="69" t="str">
        <f>IF(Main[[#This Row],[Tech Start Date]]&lt;1/1/1990,"",IF(Main[[#This Row],[Class]]="C",WORKDAY(Main[[#This Row],[Tech Start Date]],9),IF(Main[[#This Row],[Class]]="B", WORKDAY(Main[[#This Row],[Tech Start Date]],6),IF(Main[[#This Row],[Class]]="A",WORKDAY(Main[[#This Row],[Tech Start Date]],2),""))))</f>
        <v/>
      </c>
      <c r="N45" s="69" t="str">
        <f>IF(Main[[#This Row],[Tech Start Date]]&lt;1/1/1990,"",IF(Main[[#This Row],[Class]]="C",WORKDAY(Main[[#This Row],[Tech Start Date]],19),IF(Main[[#This Row],[Class]]="B", WORKDAY(Main[[#This Row],[Tech Start Date]],12),IF(Main[[#This Row],[Class]]="A",WORKDAY(Main[[#This Row],[Tech Start Date]],4),""))))</f>
        <v/>
      </c>
      <c r="O45" s="69" t="str">
        <f>IF(Main[[#This Row],[Tech Start Date]]&lt;1/1/1990,"",IF(Main[[#This Row],[Class]]="C",WORKDAY(Main[[#This Row],[Tech Start Date]],23),IF(Main[[#This Row],[Class]]="B", WORKDAY(Main[[#This Row],[Tech Start Date]],15),IF(Main[[#This Row],[Class]]="A",WORKDAY(Main[[#This Row],[Tech Start Date]],5),""))))</f>
        <v/>
      </c>
      <c r="P45" s="69" t="str">
        <f>IF(Main[[#This Row],[Tech Start Date]]&lt;1/1/1990,"",IF(Main[[#This Row],[Class]]="C",WORKDAY(Main[[#This Row],[Tech Start Date]],28),IF(Main[[#This Row],[Class]]="B", WORKDAY(Main[[#This Row],[Tech Start Date]],19),IF(Main[[#This Row],[Class]]="A",WORKDAY(Main[[#This Row],[Tech Start Date]],9),""))))</f>
        <v/>
      </c>
      <c r="Q45" s="67"/>
      <c r="R45" s="67"/>
      <c r="S45" s="65" t="s">
        <v>49</v>
      </c>
      <c r="T45" s="70" t="s">
        <v>4</v>
      </c>
      <c r="U45" s="65" t="s">
        <v>14</v>
      </c>
      <c r="V45" s="65" t="s">
        <v>1917</v>
      </c>
      <c r="W45" s="65" t="s">
        <v>1918</v>
      </c>
      <c r="X45" s="65" t="s">
        <v>306</v>
      </c>
      <c r="Y45" s="65" t="s">
        <v>2941</v>
      </c>
      <c r="Z45" s="65" t="s">
        <v>4</v>
      </c>
      <c r="AA45" s="65" t="s">
        <v>3377</v>
      </c>
    </row>
    <row r="46" spans="1:32" ht="17.45" hidden="1" customHeight="1">
      <c r="A46" s="100" t="str">
        <f>IF(priority(Main[[#This Row],[Comments]])&lt;&gt;0, priority(Main[[#This Row],[Comments]]),"")</f>
        <v/>
      </c>
      <c r="B46" s="77" t="s">
        <v>1058</v>
      </c>
      <c r="C46" s="65" t="s">
        <v>4</v>
      </c>
      <c r="D46" s="66" t="s">
        <v>92</v>
      </c>
      <c r="E46" s="67"/>
      <c r="F46" s="67"/>
      <c r="G46" s="64" t="str">
        <f>IF(stdProdLT(Main[[#This Row],[Comments]])=0.1,"N/A",IF(stdProdLT(Main[[#This Row],[Comments]])=0,"",stdProdLT(Main[[#This Row],[Comments]])))</f>
        <v/>
      </c>
      <c r="H46" s="68" t="str">
        <f>IF(AND(Main[[#This Row],[In Stock Date]]&lt;&gt;"",Main[[#This Row],[Revised Due Date]]&lt;&gt;""),Main[[#This Row],[In Stock Date]]-Main[[#This Row],[Revised Due Date]],"")</f>
        <v/>
      </c>
      <c r="I46" s="65" t="s">
        <v>4</v>
      </c>
      <c r="J46" s="65" t="s">
        <v>4</v>
      </c>
      <c r="K46" s="71" t="s">
        <v>4</v>
      </c>
      <c r="L46" s="67"/>
      <c r="M46" s="69" t="str">
        <f>IF(Main[[#This Row],[Tech Start Date]]&lt;1/1/1990,"",IF(Main[[#This Row],[Class]]="C",WORKDAY(Main[[#This Row],[Tech Start Date]],9),IF(Main[[#This Row],[Class]]="B", WORKDAY(Main[[#This Row],[Tech Start Date]],6),IF(Main[[#This Row],[Class]]="A",WORKDAY(Main[[#This Row],[Tech Start Date]],2),""))))</f>
        <v/>
      </c>
      <c r="N46" s="69" t="str">
        <f>IF(Main[[#This Row],[Tech Start Date]]&lt;1/1/1990,"",IF(Main[[#This Row],[Class]]="C",WORKDAY(Main[[#This Row],[Tech Start Date]],19),IF(Main[[#This Row],[Class]]="B", WORKDAY(Main[[#This Row],[Tech Start Date]],12),IF(Main[[#This Row],[Class]]="A",WORKDAY(Main[[#This Row],[Tech Start Date]],4),""))))</f>
        <v/>
      </c>
      <c r="O46" s="69" t="str">
        <f>IF(Main[[#This Row],[Tech Start Date]]&lt;1/1/1990,"",IF(Main[[#This Row],[Class]]="C",WORKDAY(Main[[#This Row],[Tech Start Date]],23),IF(Main[[#This Row],[Class]]="B", WORKDAY(Main[[#This Row],[Tech Start Date]],15),IF(Main[[#This Row],[Class]]="A",WORKDAY(Main[[#This Row],[Tech Start Date]],5),""))))</f>
        <v/>
      </c>
      <c r="P46" s="69" t="str">
        <f>IF(Main[[#This Row],[Tech Start Date]]&lt;1/1/1990,"",IF(Main[[#This Row],[Class]]="C",WORKDAY(Main[[#This Row],[Tech Start Date]],28),IF(Main[[#This Row],[Class]]="B", WORKDAY(Main[[#This Row],[Tech Start Date]],19),IF(Main[[#This Row],[Class]]="A",WORKDAY(Main[[#This Row],[Tech Start Date]],9),""))))</f>
        <v/>
      </c>
      <c r="Q46" s="67">
        <v>40289</v>
      </c>
      <c r="R46" s="67"/>
      <c r="S46" s="65" t="s">
        <v>11</v>
      </c>
      <c r="T46" s="70" t="s">
        <v>4</v>
      </c>
      <c r="U46" s="65" t="s">
        <v>14</v>
      </c>
      <c r="V46" s="65" t="s">
        <v>1914</v>
      </c>
      <c r="W46" s="65" t="s">
        <v>1916</v>
      </c>
      <c r="X46" s="65" t="s">
        <v>2821</v>
      </c>
      <c r="Y46" s="65" t="s">
        <v>2936</v>
      </c>
      <c r="Z46" s="65" t="s">
        <v>4</v>
      </c>
      <c r="AA46" s="65" t="s">
        <v>2821</v>
      </c>
    </row>
    <row r="47" spans="1:32" ht="17.45" hidden="1" customHeight="1">
      <c r="A47" s="100" t="str">
        <f>IF(priority(Main[[#This Row],[Comments]])&lt;&gt;0, priority(Main[[#This Row],[Comments]]),"")</f>
        <v/>
      </c>
      <c r="B47" s="77" t="s">
        <v>1059</v>
      </c>
      <c r="C47" s="65" t="s">
        <v>95</v>
      </c>
      <c r="D47" s="66" t="s">
        <v>96</v>
      </c>
      <c r="E47" s="67"/>
      <c r="F47" s="67"/>
      <c r="G47" s="64" t="str">
        <f>IF(stdProdLT(Main[[#This Row],[Comments]])=0.1,"N/A",IF(stdProdLT(Main[[#This Row],[Comments]])=0,"",stdProdLT(Main[[#This Row],[Comments]])))</f>
        <v/>
      </c>
      <c r="H47" s="68" t="str">
        <f>IF(AND(Main[[#This Row],[In Stock Date]]&lt;&gt;"",Main[[#This Row],[Revised Due Date]]&lt;&gt;""),Main[[#This Row],[In Stock Date]]-Main[[#This Row],[Revised Due Date]],"")</f>
        <v/>
      </c>
      <c r="I47" s="65" t="s">
        <v>4</v>
      </c>
      <c r="J47" s="65" t="s">
        <v>4</v>
      </c>
      <c r="K47" s="65" t="s">
        <v>4</v>
      </c>
      <c r="L47" s="67"/>
      <c r="M47" s="69" t="str">
        <f>IF(Main[[#This Row],[Tech Start Date]]&lt;1/1/1990,"",IF(Main[[#This Row],[Class]]="C",WORKDAY(Main[[#This Row],[Tech Start Date]],9),IF(Main[[#This Row],[Class]]="B", WORKDAY(Main[[#This Row],[Tech Start Date]],6),IF(Main[[#This Row],[Class]]="A",WORKDAY(Main[[#This Row],[Tech Start Date]],2),""))))</f>
        <v/>
      </c>
      <c r="N47" s="69" t="str">
        <f>IF(Main[[#This Row],[Tech Start Date]]&lt;1/1/1990,"",IF(Main[[#This Row],[Class]]="C",WORKDAY(Main[[#This Row],[Tech Start Date]],19),IF(Main[[#This Row],[Class]]="B", WORKDAY(Main[[#This Row],[Tech Start Date]],12),IF(Main[[#This Row],[Class]]="A",WORKDAY(Main[[#This Row],[Tech Start Date]],4),""))))</f>
        <v/>
      </c>
      <c r="O47" s="69" t="str">
        <f>IF(Main[[#This Row],[Tech Start Date]]&lt;1/1/1990,"",IF(Main[[#This Row],[Class]]="C",WORKDAY(Main[[#This Row],[Tech Start Date]],23),IF(Main[[#This Row],[Class]]="B", WORKDAY(Main[[#This Row],[Tech Start Date]],15),IF(Main[[#This Row],[Class]]="A",WORKDAY(Main[[#This Row],[Tech Start Date]],5),""))))</f>
        <v/>
      </c>
      <c r="P47" s="69" t="str">
        <f>IF(Main[[#This Row],[Tech Start Date]]&lt;1/1/1990,"",IF(Main[[#This Row],[Class]]="C",WORKDAY(Main[[#This Row],[Tech Start Date]],28),IF(Main[[#This Row],[Class]]="B", WORKDAY(Main[[#This Row],[Tech Start Date]],19),IF(Main[[#This Row],[Class]]="A",WORKDAY(Main[[#This Row],[Tech Start Date]],9),""))))</f>
        <v/>
      </c>
      <c r="Q47" s="67">
        <v>40302</v>
      </c>
      <c r="R47" s="67"/>
      <c r="S47" s="65" t="s">
        <v>6</v>
      </c>
      <c r="T47" s="70" t="s">
        <v>4</v>
      </c>
      <c r="U47" s="65" t="s">
        <v>14</v>
      </c>
      <c r="V47" s="65" t="s">
        <v>1914</v>
      </c>
      <c r="W47" s="65" t="s">
        <v>1920</v>
      </c>
      <c r="X47" s="65" t="s">
        <v>129</v>
      </c>
      <c r="Y47" s="65" t="s">
        <v>4</v>
      </c>
      <c r="Z47" s="65" t="s">
        <v>4</v>
      </c>
      <c r="AA47" s="65" t="s">
        <v>883</v>
      </c>
    </row>
    <row r="48" spans="1:32" ht="17.45" hidden="1" customHeight="1">
      <c r="A48" s="100" t="str">
        <f>IF(priority(Main[[#This Row],[Comments]])&lt;&gt;0, priority(Main[[#This Row],[Comments]]),"")</f>
        <v/>
      </c>
      <c r="B48" s="77" t="s">
        <v>1060</v>
      </c>
      <c r="C48" s="65" t="s">
        <v>4</v>
      </c>
      <c r="D48" s="66" t="s">
        <v>105</v>
      </c>
      <c r="E48" s="67"/>
      <c r="F48" s="67"/>
      <c r="G48" s="64" t="str">
        <f>IF(stdProdLT(Main[[#This Row],[Comments]])=0.1,"N/A",IF(stdProdLT(Main[[#This Row],[Comments]])=0,"",stdProdLT(Main[[#This Row],[Comments]])))</f>
        <v/>
      </c>
      <c r="H48" s="68" t="str">
        <f>IF(AND(Main[[#This Row],[In Stock Date]]&lt;&gt;"",Main[[#This Row],[Revised Due Date]]&lt;&gt;""),Main[[#This Row],[In Stock Date]]-Main[[#This Row],[Revised Due Date]],"")</f>
        <v/>
      </c>
      <c r="I48" s="65" t="s">
        <v>44</v>
      </c>
      <c r="J48" s="65" t="s">
        <v>28</v>
      </c>
      <c r="K48" s="65" t="s">
        <v>1923</v>
      </c>
      <c r="L48" s="67"/>
      <c r="M48" s="69" t="str">
        <f>IF(Main[[#This Row],[Tech Start Date]]&lt;1/1/1990,"",IF(Main[[#This Row],[Class]]="C",WORKDAY(Main[[#This Row],[Tech Start Date]],9),IF(Main[[#This Row],[Class]]="B", WORKDAY(Main[[#This Row],[Tech Start Date]],6),IF(Main[[#This Row],[Class]]="A",WORKDAY(Main[[#This Row],[Tech Start Date]],2),""))))</f>
        <v/>
      </c>
      <c r="N48" s="69" t="str">
        <f>IF(Main[[#This Row],[Tech Start Date]]&lt;1/1/1990,"",IF(Main[[#This Row],[Class]]="C",WORKDAY(Main[[#This Row],[Tech Start Date]],19),IF(Main[[#This Row],[Class]]="B", WORKDAY(Main[[#This Row],[Tech Start Date]],12),IF(Main[[#This Row],[Class]]="A",WORKDAY(Main[[#This Row],[Tech Start Date]],4),""))))</f>
        <v/>
      </c>
      <c r="O48" s="69" t="str">
        <f>IF(Main[[#This Row],[Tech Start Date]]&lt;1/1/1990,"",IF(Main[[#This Row],[Class]]="C",WORKDAY(Main[[#This Row],[Tech Start Date]],23),IF(Main[[#This Row],[Class]]="B", WORKDAY(Main[[#This Row],[Tech Start Date]],15),IF(Main[[#This Row],[Class]]="A",WORKDAY(Main[[#This Row],[Tech Start Date]],5),""))))</f>
        <v/>
      </c>
      <c r="P48" s="69" t="str">
        <f>IF(Main[[#This Row],[Tech Start Date]]&lt;1/1/1990,"",IF(Main[[#This Row],[Class]]="C",WORKDAY(Main[[#This Row],[Tech Start Date]],28),IF(Main[[#This Row],[Class]]="B", WORKDAY(Main[[#This Row],[Tech Start Date]],19),IF(Main[[#This Row],[Class]]="A",WORKDAY(Main[[#This Row],[Tech Start Date]],9),""))))</f>
        <v/>
      </c>
      <c r="Q48" s="67">
        <v>40725</v>
      </c>
      <c r="R48" s="67"/>
      <c r="S48" s="65" t="s">
        <v>6</v>
      </c>
      <c r="T48" s="70" t="s">
        <v>4</v>
      </c>
      <c r="U48" s="65" t="s">
        <v>14</v>
      </c>
      <c r="V48" s="65" t="s">
        <v>1917</v>
      </c>
      <c r="W48" s="65" t="s">
        <v>1918</v>
      </c>
      <c r="X48" s="65" t="s">
        <v>2819</v>
      </c>
      <c r="Y48" s="65" t="s">
        <v>2932</v>
      </c>
      <c r="Z48" s="65" t="s">
        <v>44</v>
      </c>
      <c r="AA48" s="65" t="s">
        <v>2819</v>
      </c>
    </row>
    <row r="49" spans="1:27" ht="17.45" hidden="1" customHeight="1">
      <c r="A49" s="100" t="str">
        <f>IF(priority(Main[[#This Row],[Comments]])&lt;&gt;0, priority(Main[[#This Row],[Comments]]),"")</f>
        <v/>
      </c>
      <c r="B49" s="77" t="s">
        <v>1061</v>
      </c>
      <c r="C49" s="65" t="s">
        <v>106</v>
      </c>
      <c r="D49" s="66" t="s">
        <v>107</v>
      </c>
      <c r="E49" s="67"/>
      <c r="F49" s="67"/>
      <c r="G49" s="64" t="str">
        <f>IF(stdProdLT(Main[[#This Row],[Comments]])=0.1,"N/A",IF(stdProdLT(Main[[#This Row],[Comments]])=0,"",stdProdLT(Main[[#This Row],[Comments]])))</f>
        <v/>
      </c>
      <c r="H49" s="68" t="str">
        <f>IF(AND(Main[[#This Row],[In Stock Date]]&lt;&gt;"",Main[[#This Row],[Revised Due Date]]&lt;&gt;""),Main[[#This Row],[In Stock Date]]-Main[[#This Row],[Revised Due Date]],"")</f>
        <v/>
      </c>
      <c r="I49" s="65" t="s">
        <v>108</v>
      </c>
      <c r="J49" s="65" t="s">
        <v>28</v>
      </c>
      <c r="K49" s="65" t="s">
        <v>1927</v>
      </c>
      <c r="L49" s="67"/>
      <c r="M49" s="69" t="str">
        <f>IF(Main[[#This Row],[Tech Start Date]]&lt;1/1/1990,"",IF(Main[[#This Row],[Class]]="C",WORKDAY(Main[[#This Row],[Tech Start Date]],9),IF(Main[[#This Row],[Class]]="B", WORKDAY(Main[[#This Row],[Tech Start Date]],6),IF(Main[[#This Row],[Class]]="A",WORKDAY(Main[[#This Row],[Tech Start Date]],2),""))))</f>
        <v/>
      </c>
      <c r="N49" s="69" t="str">
        <f>IF(Main[[#This Row],[Tech Start Date]]&lt;1/1/1990,"",IF(Main[[#This Row],[Class]]="C",WORKDAY(Main[[#This Row],[Tech Start Date]],19),IF(Main[[#This Row],[Class]]="B", WORKDAY(Main[[#This Row],[Tech Start Date]],12),IF(Main[[#This Row],[Class]]="A",WORKDAY(Main[[#This Row],[Tech Start Date]],4),""))))</f>
        <v/>
      </c>
      <c r="O49" s="69" t="str">
        <f>IF(Main[[#This Row],[Tech Start Date]]&lt;1/1/1990,"",IF(Main[[#This Row],[Class]]="C",WORKDAY(Main[[#This Row],[Tech Start Date]],23),IF(Main[[#This Row],[Class]]="B", WORKDAY(Main[[#This Row],[Tech Start Date]],15),IF(Main[[#This Row],[Class]]="A",WORKDAY(Main[[#This Row],[Tech Start Date]],5),""))))</f>
        <v/>
      </c>
      <c r="P49" s="69" t="str">
        <f>IF(Main[[#This Row],[Tech Start Date]]&lt;1/1/1990,"",IF(Main[[#This Row],[Class]]="C",WORKDAY(Main[[#This Row],[Tech Start Date]],28),IF(Main[[#This Row],[Class]]="B", WORKDAY(Main[[#This Row],[Tech Start Date]],19),IF(Main[[#This Row],[Class]]="A",WORKDAY(Main[[#This Row],[Tech Start Date]],9),""))))</f>
        <v/>
      </c>
      <c r="Q49" s="67">
        <v>40626</v>
      </c>
      <c r="R49" s="67"/>
      <c r="S49" s="65" t="s">
        <v>11</v>
      </c>
      <c r="T49" s="70" t="s">
        <v>4</v>
      </c>
      <c r="U49" s="65" t="s">
        <v>14</v>
      </c>
      <c r="V49" s="65" t="s">
        <v>1915</v>
      </c>
      <c r="W49" s="65" t="s">
        <v>1916</v>
      </c>
      <c r="X49" s="65" t="s">
        <v>2816</v>
      </c>
      <c r="Y49" s="65" t="s">
        <v>2928</v>
      </c>
      <c r="Z49" s="65" t="s">
        <v>108</v>
      </c>
      <c r="AA49" s="65" t="s">
        <v>2816</v>
      </c>
    </row>
    <row r="50" spans="1:27" ht="17.45" hidden="1" customHeight="1">
      <c r="A50" s="100" t="str">
        <f>IF(priority(Main[[#This Row],[Comments]])&lt;&gt;0, priority(Main[[#This Row],[Comments]]),"")</f>
        <v/>
      </c>
      <c r="B50" s="77" t="s">
        <v>1068</v>
      </c>
      <c r="C50" s="65" t="s">
        <v>31</v>
      </c>
      <c r="D50" s="66" t="s">
        <v>109</v>
      </c>
      <c r="E50" s="67"/>
      <c r="F50" s="67"/>
      <c r="G50" s="64" t="str">
        <f>IF(stdProdLT(Main[[#This Row],[Comments]])=0.1,"N/A",IF(stdProdLT(Main[[#This Row],[Comments]])=0,"",stdProdLT(Main[[#This Row],[Comments]])))</f>
        <v/>
      </c>
      <c r="H50" s="68" t="str">
        <f>IF(AND(Main[[#This Row],[In Stock Date]]&lt;&gt;"",Main[[#This Row],[Revised Due Date]]&lt;&gt;""),Main[[#This Row],[In Stock Date]]-Main[[#This Row],[Revised Due Date]],"")</f>
        <v/>
      </c>
      <c r="I50" s="65" t="s">
        <v>4</v>
      </c>
      <c r="J50" s="65" t="s">
        <v>4</v>
      </c>
      <c r="K50" s="65" t="s">
        <v>4</v>
      </c>
      <c r="L50" s="67"/>
      <c r="M50" s="69" t="str">
        <f>IF(Main[[#This Row],[Tech Start Date]]&lt;1/1/1990,"",IF(Main[[#This Row],[Class]]="C",WORKDAY(Main[[#This Row],[Tech Start Date]],9),IF(Main[[#This Row],[Class]]="B", WORKDAY(Main[[#This Row],[Tech Start Date]],6),IF(Main[[#This Row],[Class]]="A",WORKDAY(Main[[#This Row],[Tech Start Date]],2),""))))</f>
        <v/>
      </c>
      <c r="N50" s="69" t="str">
        <f>IF(Main[[#This Row],[Tech Start Date]]&lt;1/1/1990,"",IF(Main[[#This Row],[Class]]="C",WORKDAY(Main[[#This Row],[Tech Start Date]],19),IF(Main[[#This Row],[Class]]="B", WORKDAY(Main[[#This Row],[Tech Start Date]],12),IF(Main[[#This Row],[Class]]="A",WORKDAY(Main[[#This Row],[Tech Start Date]],4),""))))</f>
        <v/>
      </c>
      <c r="O50" s="69" t="str">
        <f>IF(Main[[#This Row],[Tech Start Date]]&lt;1/1/1990,"",IF(Main[[#This Row],[Class]]="C",WORKDAY(Main[[#This Row],[Tech Start Date]],23),IF(Main[[#This Row],[Class]]="B", WORKDAY(Main[[#This Row],[Tech Start Date]],15),IF(Main[[#This Row],[Class]]="A",WORKDAY(Main[[#This Row],[Tech Start Date]],5),""))))</f>
        <v/>
      </c>
      <c r="P50" s="69" t="str">
        <f>IF(Main[[#This Row],[Tech Start Date]]&lt;1/1/1990,"",IF(Main[[#This Row],[Class]]="C",WORKDAY(Main[[#This Row],[Tech Start Date]],28),IF(Main[[#This Row],[Class]]="B", WORKDAY(Main[[#This Row],[Tech Start Date]],19),IF(Main[[#This Row],[Class]]="A",WORKDAY(Main[[#This Row],[Tech Start Date]],9),""))))</f>
        <v/>
      </c>
      <c r="Q50" s="67">
        <v>40318</v>
      </c>
      <c r="R50" s="67"/>
      <c r="S50" s="65" t="s">
        <v>11</v>
      </c>
      <c r="T50" s="70" t="s">
        <v>4</v>
      </c>
      <c r="U50" s="65" t="s">
        <v>14</v>
      </c>
      <c r="V50" s="65" t="s">
        <v>1917</v>
      </c>
      <c r="W50" s="65" t="s">
        <v>1916</v>
      </c>
      <c r="X50" s="65" t="s">
        <v>2830</v>
      </c>
      <c r="Y50" s="65" t="s">
        <v>4</v>
      </c>
      <c r="Z50" s="65" t="s">
        <v>4</v>
      </c>
      <c r="AA50" s="65" t="s">
        <v>2830</v>
      </c>
    </row>
    <row r="51" spans="1:27" ht="17.45" hidden="1" customHeight="1">
      <c r="A51" s="100" t="str">
        <f>IF(priority(Main[[#This Row],[Comments]])&lt;&gt;0, priority(Main[[#This Row],[Comments]]),"")</f>
        <v/>
      </c>
      <c r="B51" s="77" t="s">
        <v>2042</v>
      </c>
      <c r="C51" s="65" t="s">
        <v>4</v>
      </c>
      <c r="D51" s="66" t="s">
        <v>2041</v>
      </c>
      <c r="E51" s="67"/>
      <c r="F51" s="67"/>
      <c r="G51" s="64" t="str">
        <f>IF(stdProdLT(Main[[#This Row],[Comments]])=0.1,"N/A",IF(stdProdLT(Main[[#This Row],[Comments]])=0,"",stdProdLT(Main[[#This Row],[Comments]])))</f>
        <v/>
      </c>
      <c r="H51" s="68" t="str">
        <f>IF(AND(Main[[#This Row],[In Stock Date]]&lt;&gt;"",Main[[#This Row],[Revised Due Date]]&lt;&gt;""),Main[[#This Row],[In Stock Date]]-Main[[#This Row],[Revised Due Date]],"")</f>
        <v/>
      </c>
      <c r="I51" s="65" t="s">
        <v>4</v>
      </c>
      <c r="J51" s="65" t="s">
        <v>4</v>
      </c>
      <c r="K51" s="65" t="s">
        <v>4</v>
      </c>
      <c r="L51" s="67"/>
      <c r="M51" s="69" t="str">
        <f>IF(Main[[#This Row],[Tech Start Date]]&lt;1/1/1990,"",IF(Main[[#This Row],[Class]]="C",WORKDAY(Main[[#This Row],[Tech Start Date]],9),IF(Main[[#This Row],[Class]]="B", WORKDAY(Main[[#This Row],[Tech Start Date]],6),IF(Main[[#This Row],[Class]]="A",WORKDAY(Main[[#This Row],[Tech Start Date]],2),""))))</f>
        <v/>
      </c>
      <c r="N51" s="69" t="str">
        <f>IF(Main[[#This Row],[Tech Start Date]]&lt;1/1/1990,"",IF(Main[[#This Row],[Class]]="C",WORKDAY(Main[[#This Row],[Tech Start Date]],19),IF(Main[[#This Row],[Class]]="B", WORKDAY(Main[[#This Row],[Tech Start Date]],12),IF(Main[[#This Row],[Class]]="A",WORKDAY(Main[[#This Row],[Tech Start Date]],4),""))))</f>
        <v/>
      </c>
      <c r="O51" s="69" t="str">
        <f>IF(Main[[#This Row],[Tech Start Date]]&lt;1/1/1990,"",IF(Main[[#This Row],[Class]]="C",WORKDAY(Main[[#This Row],[Tech Start Date]],23),IF(Main[[#This Row],[Class]]="B", WORKDAY(Main[[#This Row],[Tech Start Date]],15),IF(Main[[#This Row],[Class]]="A",WORKDAY(Main[[#This Row],[Tech Start Date]],5),""))))</f>
        <v/>
      </c>
      <c r="P51" s="69" t="str">
        <f>IF(Main[[#This Row],[Tech Start Date]]&lt;1/1/1990,"",IF(Main[[#This Row],[Class]]="C",WORKDAY(Main[[#This Row],[Tech Start Date]],28),IF(Main[[#This Row],[Class]]="B", WORKDAY(Main[[#This Row],[Tech Start Date]],19),IF(Main[[#This Row],[Class]]="A",WORKDAY(Main[[#This Row],[Tech Start Date]],9),""))))</f>
        <v/>
      </c>
      <c r="Q51" s="67"/>
      <c r="R51" s="67"/>
      <c r="S51" s="65" t="s">
        <v>6</v>
      </c>
      <c r="T51" s="70" t="s">
        <v>4</v>
      </c>
      <c r="U51" s="65" t="s">
        <v>14</v>
      </c>
      <c r="V51" s="65" t="s">
        <v>1915</v>
      </c>
      <c r="W51" s="65" t="s">
        <v>1918</v>
      </c>
      <c r="X51" s="65" t="s">
        <v>306</v>
      </c>
      <c r="Y51" s="65" t="s">
        <v>4</v>
      </c>
      <c r="Z51" s="65" t="s">
        <v>4</v>
      </c>
      <c r="AA51" s="65" t="s">
        <v>4</v>
      </c>
    </row>
    <row r="52" spans="1:27" ht="17.45" hidden="1" customHeight="1">
      <c r="A52" s="100" t="str">
        <f>IF(priority(Main[[#This Row],[Comments]])&lt;&gt;0, priority(Main[[#This Row],[Comments]]),"")</f>
        <v/>
      </c>
      <c r="B52" s="77" t="s">
        <v>1069</v>
      </c>
      <c r="C52" s="65" t="s">
        <v>19</v>
      </c>
      <c r="D52" s="66" t="s">
        <v>110</v>
      </c>
      <c r="E52" s="67"/>
      <c r="F52" s="67">
        <v>40548</v>
      </c>
      <c r="G52" s="64" t="str">
        <f>IF(stdProdLT(Main[[#This Row],[Comments]])=0.1,"N/A",IF(stdProdLT(Main[[#This Row],[Comments]])=0,"",stdProdLT(Main[[#This Row],[Comments]])))</f>
        <v/>
      </c>
      <c r="H52" s="68" t="str">
        <f>IF(AND(Main[[#This Row],[In Stock Date]]&lt;&gt;"",Main[[#This Row],[Revised Due Date]]&lt;&gt;""),Main[[#This Row],[In Stock Date]]-Main[[#This Row],[Revised Due Date]],"")</f>
        <v/>
      </c>
      <c r="I52" s="65" t="s">
        <v>4</v>
      </c>
      <c r="J52" s="65" t="s">
        <v>4</v>
      </c>
      <c r="K52" s="65" t="s">
        <v>4</v>
      </c>
      <c r="L52" s="67"/>
      <c r="M52" s="69" t="str">
        <f>IF(Main[[#This Row],[Tech Start Date]]&lt;1/1/1990,"",IF(Main[[#This Row],[Class]]="C",WORKDAY(Main[[#This Row],[Tech Start Date]],9),IF(Main[[#This Row],[Class]]="B", WORKDAY(Main[[#This Row],[Tech Start Date]],6),IF(Main[[#This Row],[Class]]="A",WORKDAY(Main[[#This Row],[Tech Start Date]],2),""))))</f>
        <v/>
      </c>
      <c r="N52" s="69" t="str">
        <f>IF(Main[[#This Row],[Tech Start Date]]&lt;1/1/1990,"",IF(Main[[#This Row],[Class]]="C",WORKDAY(Main[[#This Row],[Tech Start Date]],19),IF(Main[[#This Row],[Class]]="B", WORKDAY(Main[[#This Row],[Tech Start Date]],12),IF(Main[[#This Row],[Class]]="A",WORKDAY(Main[[#This Row],[Tech Start Date]],4),""))))</f>
        <v/>
      </c>
      <c r="O52" s="69" t="str">
        <f>IF(Main[[#This Row],[Tech Start Date]]&lt;1/1/1990,"",IF(Main[[#This Row],[Class]]="C",WORKDAY(Main[[#This Row],[Tech Start Date]],23),IF(Main[[#This Row],[Class]]="B", WORKDAY(Main[[#This Row],[Tech Start Date]],15),IF(Main[[#This Row],[Class]]="A",WORKDAY(Main[[#This Row],[Tech Start Date]],5),""))))</f>
        <v/>
      </c>
      <c r="P52" s="69" t="str">
        <f>IF(Main[[#This Row],[Tech Start Date]]&lt;1/1/1990,"",IF(Main[[#This Row],[Class]]="C",WORKDAY(Main[[#This Row],[Tech Start Date]],28),IF(Main[[#This Row],[Class]]="B", WORKDAY(Main[[#This Row],[Tech Start Date]],19),IF(Main[[#This Row],[Class]]="A",WORKDAY(Main[[#This Row],[Tech Start Date]],9),""))))</f>
        <v/>
      </c>
      <c r="Q52" s="67">
        <v>40415</v>
      </c>
      <c r="R52" s="67"/>
      <c r="S52" s="65" t="s">
        <v>17</v>
      </c>
      <c r="T52" s="70" t="s">
        <v>4</v>
      </c>
      <c r="U52" s="65" t="s">
        <v>12</v>
      </c>
      <c r="V52" s="65" t="s">
        <v>1917</v>
      </c>
      <c r="W52" s="65" t="s">
        <v>1922</v>
      </c>
      <c r="X52" s="65" t="s">
        <v>2833</v>
      </c>
      <c r="Y52" s="65" t="s">
        <v>2939</v>
      </c>
      <c r="Z52" s="65" t="s">
        <v>4</v>
      </c>
      <c r="AA52" s="65" t="s">
        <v>2833</v>
      </c>
    </row>
    <row r="53" spans="1:27" ht="17.45" hidden="1" customHeight="1">
      <c r="A53" s="100" t="str">
        <f>IF(priority(Main[[#This Row],[Comments]])&lt;&gt;0, priority(Main[[#This Row],[Comments]]),"")</f>
        <v/>
      </c>
      <c r="B53" s="77" t="s">
        <v>1062</v>
      </c>
      <c r="C53" s="65" t="s">
        <v>4</v>
      </c>
      <c r="D53" s="66" t="s">
        <v>97</v>
      </c>
      <c r="E53" s="67"/>
      <c r="F53" s="67"/>
      <c r="G53" s="64" t="str">
        <f>IF(stdProdLT(Main[[#This Row],[Comments]])=0.1,"N/A",IF(stdProdLT(Main[[#This Row],[Comments]])=0,"",stdProdLT(Main[[#This Row],[Comments]])))</f>
        <v/>
      </c>
      <c r="H53" s="68" t="str">
        <f>IF(AND(Main[[#This Row],[In Stock Date]]&lt;&gt;"",Main[[#This Row],[Revised Due Date]]&lt;&gt;""),Main[[#This Row],[In Stock Date]]-Main[[#This Row],[Revised Due Date]],"")</f>
        <v/>
      </c>
      <c r="I53" s="65" t="s">
        <v>4</v>
      </c>
      <c r="J53" s="65" t="s">
        <v>4</v>
      </c>
      <c r="K53" s="65" t="s">
        <v>4</v>
      </c>
      <c r="L53" s="67"/>
      <c r="M53" s="69" t="str">
        <f>IF(Main[[#This Row],[Tech Start Date]]&lt;1/1/1990,"",IF(Main[[#This Row],[Class]]="C",WORKDAY(Main[[#This Row],[Tech Start Date]],9),IF(Main[[#This Row],[Class]]="B", WORKDAY(Main[[#This Row],[Tech Start Date]],6),IF(Main[[#This Row],[Class]]="A",WORKDAY(Main[[#This Row],[Tech Start Date]],2),""))))</f>
        <v/>
      </c>
      <c r="N53" s="69" t="str">
        <f>IF(Main[[#This Row],[Tech Start Date]]&lt;1/1/1990,"",IF(Main[[#This Row],[Class]]="C",WORKDAY(Main[[#This Row],[Tech Start Date]],19),IF(Main[[#This Row],[Class]]="B", WORKDAY(Main[[#This Row],[Tech Start Date]],12),IF(Main[[#This Row],[Class]]="A",WORKDAY(Main[[#This Row],[Tech Start Date]],4),""))))</f>
        <v/>
      </c>
      <c r="O53" s="69" t="str">
        <f>IF(Main[[#This Row],[Tech Start Date]]&lt;1/1/1990,"",IF(Main[[#This Row],[Class]]="C",WORKDAY(Main[[#This Row],[Tech Start Date]],23),IF(Main[[#This Row],[Class]]="B", WORKDAY(Main[[#This Row],[Tech Start Date]],15),IF(Main[[#This Row],[Class]]="A",WORKDAY(Main[[#This Row],[Tech Start Date]],5),""))))</f>
        <v/>
      </c>
      <c r="P53" s="69" t="str">
        <f>IF(Main[[#This Row],[Tech Start Date]]&lt;1/1/1990,"",IF(Main[[#This Row],[Class]]="C",WORKDAY(Main[[#This Row],[Tech Start Date]],28),IF(Main[[#This Row],[Class]]="B", WORKDAY(Main[[#This Row],[Tech Start Date]],19),IF(Main[[#This Row],[Class]]="A",WORKDAY(Main[[#This Row],[Tech Start Date]],9),""))))</f>
        <v/>
      </c>
      <c r="Q53" s="67">
        <v>40858</v>
      </c>
      <c r="R53" s="67"/>
      <c r="S53" s="65" t="s">
        <v>17</v>
      </c>
      <c r="T53" s="70" t="s">
        <v>4</v>
      </c>
      <c r="U53" s="65" t="s">
        <v>14</v>
      </c>
      <c r="V53" s="65" t="s">
        <v>1914</v>
      </c>
      <c r="W53" s="65" t="s">
        <v>1919</v>
      </c>
      <c r="X53" s="65" t="s">
        <v>50</v>
      </c>
      <c r="Y53" s="65" t="s">
        <v>2959</v>
      </c>
      <c r="Z53" s="65" t="s">
        <v>4</v>
      </c>
      <c r="AA53" s="65" t="s">
        <v>2828</v>
      </c>
    </row>
    <row r="54" spans="1:27" ht="17.45" hidden="1" customHeight="1">
      <c r="A54" s="100" t="str">
        <f>IF(priority(Main[[#This Row],[Comments]])&lt;&gt;0, priority(Main[[#This Row],[Comments]]),"")</f>
        <v/>
      </c>
      <c r="B54" s="77" t="s">
        <v>1063</v>
      </c>
      <c r="C54" s="65" t="s">
        <v>4</v>
      </c>
      <c r="D54" s="66" t="s">
        <v>98</v>
      </c>
      <c r="E54" s="67">
        <v>40373.607708333337</v>
      </c>
      <c r="F54" s="67"/>
      <c r="G54" s="64" t="str">
        <f>IF(stdProdLT(Main[[#This Row],[Comments]])=0.1,"N/A",IF(stdProdLT(Main[[#This Row],[Comments]])=0,"",stdProdLT(Main[[#This Row],[Comments]])))</f>
        <v/>
      </c>
      <c r="H54" s="68" t="str">
        <f>IF(AND(Main[[#This Row],[In Stock Date]]&lt;&gt;"",Main[[#This Row],[Revised Due Date]]&lt;&gt;""),Main[[#This Row],[In Stock Date]]-Main[[#This Row],[Revised Due Date]],"")</f>
        <v/>
      </c>
      <c r="I54" s="65" t="s">
        <v>4</v>
      </c>
      <c r="J54" s="65" t="s">
        <v>4</v>
      </c>
      <c r="K54" s="65" t="s">
        <v>4</v>
      </c>
      <c r="L54" s="67"/>
      <c r="M54" s="69" t="str">
        <f>IF(Main[[#This Row],[Tech Start Date]]&lt;1/1/1990,"",IF(Main[[#This Row],[Class]]="C",WORKDAY(Main[[#This Row],[Tech Start Date]],9),IF(Main[[#This Row],[Class]]="B", WORKDAY(Main[[#This Row],[Tech Start Date]],6),IF(Main[[#This Row],[Class]]="A",WORKDAY(Main[[#This Row],[Tech Start Date]],2),""))))</f>
        <v/>
      </c>
      <c r="N54" s="69" t="str">
        <f>IF(Main[[#This Row],[Tech Start Date]]&lt;1/1/1990,"",IF(Main[[#This Row],[Class]]="C",WORKDAY(Main[[#This Row],[Tech Start Date]],19),IF(Main[[#This Row],[Class]]="B", WORKDAY(Main[[#This Row],[Tech Start Date]],12),IF(Main[[#This Row],[Class]]="A",WORKDAY(Main[[#This Row],[Tech Start Date]],4),""))))</f>
        <v/>
      </c>
      <c r="O54" s="69" t="str">
        <f>IF(Main[[#This Row],[Tech Start Date]]&lt;1/1/1990,"",IF(Main[[#This Row],[Class]]="C",WORKDAY(Main[[#This Row],[Tech Start Date]],23),IF(Main[[#This Row],[Class]]="B", WORKDAY(Main[[#This Row],[Tech Start Date]],15),IF(Main[[#This Row],[Class]]="A",WORKDAY(Main[[#This Row],[Tech Start Date]],5),""))))</f>
        <v/>
      </c>
      <c r="P54" s="69" t="str">
        <f>IF(Main[[#This Row],[Tech Start Date]]&lt;1/1/1990,"",IF(Main[[#This Row],[Class]]="C",WORKDAY(Main[[#This Row],[Tech Start Date]],28),IF(Main[[#This Row],[Class]]="B", WORKDAY(Main[[#This Row],[Tech Start Date]],19),IF(Main[[#This Row],[Class]]="A",WORKDAY(Main[[#This Row],[Tech Start Date]],9),""))))</f>
        <v/>
      </c>
      <c r="Q54" s="67">
        <v>40382</v>
      </c>
      <c r="R54" s="67"/>
      <c r="S54" s="65" t="s">
        <v>6</v>
      </c>
      <c r="T54" s="70" t="s">
        <v>4</v>
      </c>
      <c r="U54" s="65" t="s">
        <v>7</v>
      </c>
      <c r="V54" s="65" t="s">
        <v>1914</v>
      </c>
      <c r="W54" s="65" t="s">
        <v>1918</v>
      </c>
      <c r="X54" s="65" t="s">
        <v>399</v>
      </c>
      <c r="Y54" s="65" t="s">
        <v>4</v>
      </c>
      <c r="Z54" s="65" t="s">
        <v>4</v>
      </c>
      <c r="AA54" s="65" t="s">
        <v>3384</v>
      </c>
    </row>
    <row r="55" spans="1:27" ht="17.45" hidden="1" customHeight="1">
      <c r="A55" s="100" t="str">
        <f>IF(priority(Main[[#This Row],[Comments]])&lt;&gt;0, priority(Main[[#This Row],[Comments]]),"")</f>
        <v/>
      </c>
      <c r="B55" s="77" t="s">
        <v>1064</v>
      </c>
      <c r="C55" s="65" t="s">
        <v>99</v>
      </c>
      <c r="D55" s="66" t="s">
        <v>100</v>
      </c>
      <c r="E55" s="67"/>
      <c r="F55" s="67"/>
      <c r="G55" s="64" t="str">
        <f>IF(stdProdLT(Main[[#This Row],[Comments]])=0.1,"N/A",IF(stdProdLT(Main[[#This Row],[Comments]])=0,"",stdProdLT(Main[[#This Row],[Comments]])))</f>
        <v/>
      </c>
      <c r="H55" s="68" t="str">
        <f>IF(AND(Main[[#This Row],[In Stock Date]]&lt;&gt;"",Main[[#This Row],[Revised Due Date]]&lt;&gt;""),Main[[#This Row],[In Stock Date]]-Main[[#This Row],[Revised Due Date]],"")</f>
        <v/>
      </c>
      <c r="I55" s="65" t="s">
        <v>4</v>
      </c>
      <c r="J55" s="65" t="s">
        <v>4</v>
      </c>
      <c r="K55" s="65" t="s">
        <v>4</v>
      </c>
      <c r="L55" s="67"/>
      <c r="M55" s="69" t="str">
        <f>IF(Main[[#This Row],[Tech Start Date]]&lt;1/1/1990,"",IF(Main[[#This Row],[Class]]="C",WORKDAY(Main[[#This Row],[Tech Start Date]],9),IF(Main[[#This Row],[Class]]="B", WORKDAY(Main[[#This Row],[Tech Start Date]],6),IF(Main[[#This Row],[Class]]="A",WORKDAY(Main[[#This Row],[Tech Start Date]],2),""))))</f>
        <v/>
      </c>
      <c r="N55" s="69" t="str">
        <f>IF(Main[[#This Row],[Tech Start Date]]&lt;1/1/1990,"",IF(Main[[#This Row],[Class]]="C",WORKDAY(Main[[#This Row],[Tech Start Date]],19),IF(Main[[#This Row],[Class]]="B", WORKDAY(Main[[#This Row],[Tech Start Date]],12),IF(Main[[#This Row],[Class]]="A",WORKDAY(Main[[#This Row],[Tech Start Date]],4),""))))</f>
        <v/>
      </c>
      <c r="O55" s="69" t="str">
        <f>IF(Main[[#This Row],[Tech Start Date]]&lt;1/1/1990,"",IF(Main[[#This Row],[Class]]="C",WORKDAY(Main[[#This Row],[Tech Start Date]],23),IF(Main[[#This Row],[Class]]="B", WORKDAY(Main[[#This Row],[Tech Start Date]],15),IF(Main[[#This Row],[Class]]="A",WORKDAY(Main[[#This Row],[Tech Start Date]],5),""))))</f>
        <v/>
      </c>
      <c r="P55" s="69" t="str">
        <f>IF(Main[[#This Row],[Tech Start Date]]&lt;1/1/1990,"",IF(Main[[#This Row],[Class]]="C",WORKDAY(Main[[#This Row],[Tech Start Date]],28),IF(Main[[#This Row],[Class]]="B", WORKDAY(Main[[#This Row],[Tech Start Date]],19),IF(Main[[#This Row],[Class]]="A",WORKDAY(Main[[#This Row],[Tech Start Date]],9),""))))</f>
        <v/>
      </c>
      <c r="Q55" s="67"/>
      <c r="R55" s="67"/>
      <c r="S55" s="65" t="s">
        <v>49</v>
      </c>
      <c r="T55" s="70" t="s">
        <v>4</v>
      </c>
      <c r="U55" s="65" t="s">
        <v>12</v>
      </c>
      <c r="V55" s="65" t="s">
        <v>1915</v>
      </c>
      <c r="W55" s="65" t="s">
        <v>1916</v>
      </c>
      <c r="X55" s="65" t="s">
        <v>2834</v>
      </c>
      <c r="Y55" s="65" t="s">
        <v>2960</v>
      </c>
      <c r="Z55" s="65" t="s">
        <v>4</v>
      </c>
      <c r="AA55" s="65" t="s">
        <v>3385</v>
      </c>
    </row>
    <row r="56" spans="1:27" ht="17.45" hidden="1" customHeight="1">
      <c r="A56" s="100" t="str">
        <f>IF(priority(Main[[#This Row],[Comments]])&lt;&gt;0, priority(Main[[#This Row],[Comments]]),"")</f>
        <v/>
      </c>
      <c r="B56" s="77" t="s">
        <v>1065</v>
      </c>
      <c r="C56" s="65" t="s">
        <v>67</v>
      </c>
      <c r="D56" s="66" t="s">
        <v>101</v>
      </c>
      <c r="E56" s="67"/>
      <c r="F56" s="67">
        <v>40664</v>
      </c>
      <c r="G56" s="64" t="str">
        <f>IF(stdProdLT(Main[[#This Row],[Comments]])=0.1,"N/A",IF(stdProdLT(Main[[#This Row],[Comments]])=0,"",stdProdLT(Main[[#This Row],[Comments]])))</f>
        <v/>
      </c>
      <c r="H56" s="68" t="str">
        <f>IF(AND(Main[[#This Row],[In Stock Date]]&lt;&gt;"",Main[[#This Row],[Revised Due Date]]&lt;&gt;""),Main[[#This Row],[In Stock Date]]-Main[[#This Row],[Revised Due Date]],"")</f>
        <v/>
      </c>
      <c r="I56" s="65" t="s">
        <v>102</v>
      </c>
      <c r="J56" s="65" t="s">
        <v>51</v>
      </c>
      <c r="K56" s="71" t="s">
        <v>1923</v>
      </c>
      <c r="L56" s="67"/>
      <c r="M56" s="69" t="str">
        <f>IF(Main[[#This Row],[Tech Start Date]]&lt;1/1/1990,"",IF(Main[[#This Row],[Class]]="C",WORKDAY(Main[[#This Row],[Tech Start Date]],9),IF(Main[[#This Row],[Class]]="B", WORKDAY(Main[[#This Row],[Tech Start Date]],6),IF(Main[[#This Row],[Class]]="A",WORKDAY(Main[[#This Row],[Tech Start Date]],2),""))))</f>
        <v/>
      </c>
      <c r="N56" s="69" t="str">
        <f>IF(Main[[#This Row],[Tech Start Date]]&lt;1/1/1990,"",IF(Main[[#This Row],[Class]]="C",WORKDAY(Main[[#This Row],[Tech Start Date]],19),IF(Main[[#This Row],[Class]]="B", WORKDAY(Main[[#This Row],[Tech Start Date]],12),IF(Main[[#This Row],[Class]]="A",WORKDAY(Main[[#This Row],[Tech Start Date]],4),""))))</f>
        <v/>
      </c>
      <c r="O56" s="69" t="str">
        <f>IF(Main[[#This Row],[Tech Start Date]]&lt;1/1/1990,"",IF(Main[[#This Row],[Class]]="C",WORKDAY(Main[[#This Row],[Tech Start Date]],23),IF(Main[[#This Row],[Class]]="B", WORKDAY(Main[[#This Row],[Tech Start Date]],15),IF(Main[[#This Row],[Class]]="A",WORKDAY(Main[[#This Row],[Tech Start Date]],5),""))))</f>
        <v/>
      </c>
      <c r="P56" s="69" t="str">
        <f>IF(Main[[#This Row],[Tech Start Date]]&lt;1/1/1990,"",IF(Main[[#This Row],[Class]]="C",WORKDAY(Main[[#This Row],[Tech Start Date]],28),IF(Main[[#This Row],[Class]]="B", WORKDAY(Main[[#This Row],[Tech Start Date]],19),IF(Main[[#This Row],[Class]]="A",WORKDAY(Main[[#This Row],[Tech Start Date]],9),""))))</f>
        <v/>
      </c>
      <c r="Q56" s="67">
        <v>40585</v>
      </c>
      <c r="R56" s="67"/>
      <c r="S56" s="65" t="s">
        <v>11</v>
      </c>
      <c r="T56" s="70" t="s">
        <v>4</v>
      </c>
      <c r="U56" s="65" t="s">
        <v>14</v>
      </c>
      <c r="V56" s="65" t="s">
        <v>1914</v>
      </c>
      <c r="W56" s="65" t="s">
        <v>1920</v>
      </c>
      <c r="X56" s="65" t="s">
        <v>50</v>
      </c>
      <c r="Y56" s="65" t="s">
        <v>2961</v>
      </c>
      <c r="Z56" s="65" t="s">
        <v>129</v>
      </c>
      <c r="AA56" s="65" t="s">
        <v>50</v>
      </c>
    </row>
    <row r="57" spans="1:27" ht="17.45" hidden="1" customHeight="1">
      <c r="A57" s="100" t="str">
        <f>IF(priority(Main[[#This Row],[Comments]])&lt;&gt;0, priority(Main[[#This Row],[Comments]]),"")</f>
        <v/>
      </c>
      <c r="B57" s="77" t="s">
        <v>2445</v>
      </c>
      <c r="C57" s="65" t="s">
        <v>4</v>
      </c>
      <c r="D57" s="66" t="s">
        <v>2689</v>
      </c>
      <c r="E57" s="67">
        <v>40869.337650462963</v>
      </c>
      <c r="F57" s="67"/>
      <c r="G57" s="64" t="str">
        <f>IF(stdProdLT(Main[[#This Row],[Comments]])=0.1,"N/A",IF(stdProdLT(Main[[#This Row],[Comments]])=0,"",stdProdLT(Main[[#This Row],[Comments]])))</f>
        <v/>
      </c>
      <c r="H57" s="68" t="str">
        <f>IF(AND(Main[[#This Row],[In Stock Date]]&lt;&gt;"",Main[[#This Row],[Revised Due Date]]&lt;&gt;""),Main[[#This Row],[In Stock Date]]-Main[[#This Row],[Revised Due Date]],"")</f>
        <v/>
      </c>
      <c r="I57" s="65" t="s">
        <v>4</v>
      </c>
      <c r="J57" s="65" t="s">
        <v>4</v>
      </c>
      <c r="K57" s="65" t="s">
        <v>4</v>
      </c>
      <c r="L57" s="67"/>
      <c r="M57" s="69" t="str">
        <f>IF(Main[[#This Row],[Tech Start Date]]&lt;1/1/1990,"",IF(Main[[#This Row],[Class]]="C",WORKDAY(Main[[#This Row],[Tech Start Date]],9),IF(Main[[#This Row],[Class]]="B", WORKDAY(Main[[#This Row],[Tech Start Date]],6),IF(Main[[#This Row],[Class]]="A",WORKDAY(Main[[#This Row],[Tech Start Date]],2),""))))</f>
        <v/>
      </c>
      <c r="N57" s="69" t="str">
        <f>IF(Main[[#This Row],[Tech Start Date]]&lt;1/1/1990,"",IF(Main[[#This Row],[Class]]="C",WORKDAY(Main[[#This Row],[Tech Start Date]],19),IF(Main[[#This Row],[Class]]="B", WORKDAY(Main[[#This Row],[Tech Start Date]],12),IF(Main[[#This Row],[Class]]="A",WORKDAY(Main[[#This Row],[Tech Start Date]],4),""))))</f>
        <v/>
      </c>
      <c r="O57" s="69" t="str">
        <f>IF(Main[[#This Row],[Tech Start Date]]&lt;1/1/1990,"",IF(Main[[#This Row],[Class]]="C",WORKDAY(Main[[#This Row],[Tech Start Date]],23),IF(Main[[#This Row],[Class]]="B", WORKDAY(Main[[#This Row],[Tech Start Date]],15),IF(Main[[#This Row],[Class]]="A",WORKDAY(Main[[#This Row],[Tech Start Date]],5),""))))</f>
        <v/>
      </c>
      <c r="P57" s="69" t="str">
        <f>IF(Main[[#This Row],[Tech Start Date]]&lt;1/1/1990,"",IF(Main[[#This Row],[Class]]="C",WORKDAY(Main[[#This Row],[Tech Start Date]],28),IF(Main[[#This Row],[Class]]="B", WORKDAY(Main[[#This Row],[Tech Start Date]],19),IF(Main[[#This Row],[Class]]="A",WORKDAY(Main[[#This Row],[Tech Start Date]],9),""))))</f>
        <v/>
      </c>
      <c r="Q57" s="67"/>
      <c r="R57" s="67"/>
      <c r="S57" s="65" t="s">
        <v>6</v>
      </c>
      <c r="T57" s="70" t="s">
        <v>2690</v>
      </c>
      <c r="U57" s="65" t="s">
        <v>29</v>
      </c>
      <c r="V57" s="65" t="s">
        <v>1914</v>
      </c>
      <c r="W57" s="65" t="s">
        <v>1918</v>
      </c>
      <c r="X57" s="65" t="s">
        <v>102</v>
      </c>
      <c r="Y57" s="65" t="s">
        <v>2962</v>
      </c>
      <c r="Z57" s="65" t="s">
        <v>4</v>
      </c>
      <c r="AA57" s="65" t="s">
        <v>3386</v>
      </c>
    </row>
    <row r="58" spans="1:27" ht="17.45" hidden="1" customHeight="1">
      <c r="A58" s="100" t="str">
        <f>IF(priority(Main[[#This Row],[Comments]])&lt;&gt;0, priority(Main[[#This Row],[Comments]]),"")</f>
        <v/>
      </c>
      <c r="B58" s="77" t="s">
        <v>1067</v>
      </c>
      <c r="C58" s="65" t="s">
        <v>31</v>
      </c>
      <c r="D58" s="66" t="s">
        <v>104</v>
      </c>
      <c r="E58" s="67"/>
      <c r="F58" s="67"/>
      <c r="G58" s="64" t="str">
        <f>IF(stdProdLT(Main[[#This Row],[Comments]])=0.1,"N/A",IF(stdProdLT(Main[[#This Row],[Comments]])=0,"",stdProdLT(Main[[#This Row],[Comments]])))</f>
        <v/>
      </c>
      <c r="H58" s="68" t="str">
        <f>IF(AND(Main[[#This Row],[In Stock Date]]&lt;&gt;"",Main[[#This Row],[Revised Due Date]]&lt;&gt;""),Main[[#This Row],[In Stock Date]]-Main[[#This Row],[Revised Due Date]],"")</f>
        <v/>
      </c>
      <c r="I58" s="65" t="s">
        <v>4</v>
      </c>
      <c r="J58" s="65" t="s">
        <v>4</v>
      </c>
      <c r="K58" s="71" t="s">
        <v>4</v>
      </c>
      <c r="L58" s="67"/>
      <c r="M58" s="69" t="str">
        <f>IF(Main[[#This Row],[Tech Start Date]]&lt;1/1/1990,"",IF(Main[[#This Row],[Class]]="C",WORKDAY(Main[[#This Row],[Tech Start Date]],9),IF(Main[[#This Row],[Class]]="B", WORKDAY(Main[[#This Row],[Tech Start Date]],6),IF(Main[[#This Row],[Class]]="A",WORKDAY(Main[[#This Row],[Tech Start Date]],2),""))))</f>
        <v/>
      </c>
      <c r="N58" s="69" t="str">
        <f>IF(Main[[#This Row],[Tech Start Date]]&lt;1/1/1990,"",IF(Main[[#This Row],[Class]]="C",WORKDAY(Main[[#This Row],[Tech Start Date]],19),IF(Main[[#This Row],[Class]]="B", WORKDAY(Main[[#This Row],[Tech Start Date]],12),IF(Main[[#This Row],[Class]]="A",WORKDAY(Main[[#This Row],[Tech Start Date]],4),""))))</f>
        <v/>
      </c>
      <c r="O58" s="69" t="str">
        <f>IF(Main[[#This Row],[Tech Start Date]]&lt;1/1/1990,"",IF(Main[[#This Row],[Class]]="C",WORKDAY(Main[[#This Row],[Tech Start Date]],23),IF(Main[[#This Row],[Class]]="B", WORKDAY(Main[[#This Row],[Tech Start Date]],15),IF(Main[[#This Row],[Class]]="A",WORKDAY(Main[[#This Row],[Tech Start Date]],5),""))))</f>
        <v/>
      </c>
      <c r="P58" s="69" t="str">
        <f>IF(Main[[#This Row],[Tech Start Date]]&lt;1/1/1990,"",IF(Main[[#This Row],[Class]]="C",WORKDAY(Main[[#This Row],[Tech Start Date]],28),IF(Main[[#This Row],[Class]]="B", WORKDAY(Main[[#This Row],[Tech Start Date]],19),IF(Main[[#This Row],[Class]]="A",WORKDAY(Main[[#This Row],[Tech Start Date]],9),""))))</f>
        <v/>
      </c>
      <c r="Q58" s="67">
        <v>40318</v>
      </c>
      <c r="R58" s="67"/>
      <c r="S58" s="65" t="s">
        <v>11</v>
      </c>
      <c r="T58" s="70" t="s">
        <v>4</v>
      </c>
      <c r="U58" s="65" t="s">
        <v>14</v>
      </c>
      <c r="V58" s="65" t="s">
        <v>1924</v>
      </c>
      <c r="W58" s="65" t="s">
        <v>1916</v>
      </c>
      <c r="X58" s="65" t="s">
        <v>2830</v>
      </c>
      <c r="Y58" s="65" t="s">
        <v>4</v>
      </c>
      <c r="Z58" s="65" t="s">
        <v>4</v>
      </c>
      <c r="AA58" s="65" t="s">
        <v>2830</v>
      </c>
    </row>
    <row r="59" spans="1:27" ht="17.45" hidden="1" customHeight="1">
      <c r="A59" s="100" t="str">
        <f>IF(priority(Main[[#This Row],[Comments]])&lt;&gt;0, priority(Main[[#This Row],[Comments]]),"")</f>
        <v/>
      </c>
      <c r="B59" s="77" t="s">
        <v>2693</v>
      </c>
      <c r="C59" s="65" t="s">
        <v>2694</v>
      </c>
      <c r="D59" s="66" t="s">
        <v>2695</v>
      </c>
      <c r="E59" s="67"/>
      <c r="F59" s="67"/>
      <c r="G59" s="64" t="str">
        <f>IF(stdProdLT(Main[[#This Row],[Comments]])=0.1,"N/A",IF(stdProdLT(Main[[#This Row],[Comments]])=0,"",stdProdLT(Main[[#This Row],[Comments]])))</f>
        <v/>
      </c>
      <c r="H59" s="68" t="str">
        <f>IF(AND(Main[[#This Row],[In Stock Date]]&lt;&gt;"",Main[[#This Row],[Revised Due Date]]&lt;&gt;""),Main[[#This Row],[In Stock Date]]-Main[[#This Row],[Revised Due Date]],"")</f>
        <v/>
      </c>
      <c r="I59" s="65" t="s">
        <v>4</v>
      </c>
      <c r="J59" s="65" t="s">
        <v>4</v>
      </c>
      <c r="K59" s="65" t="s">
        <v>4</v>
      </c>
      <c r="L59" s="67"/>
      <c r="M59" s="69" t="str">
        <f>IF(Main[[#This Row],[Tech Start Date]]&lt;1/1/1990,"",IF(Main[[#This Row],[Class]]="C",WORKDAY(Main[[#This Row],[Tech Start Date]],9),IF(Main[[#This Row],[Class]]="B", WORKDAY(Main[[#This Row],[Tech Start Date]],6),IF(Main[[#This Row],[Class]]="A",WORKDAY(Main[[#This Row],[Tech Start Date]],2),""))))</f>
        <v/>
      </c>
      <c r="N59" s="69" t="str">
        <f>IF(Main[[#This Row],[Tech Start Date]]&lt;1/1/1990,"",IF(Main[[#This Row],[Class]]="C",WORKDAY(Main[[#This Row],[Tech Start Date]],19),IF(Main[[#This Row],[Class]]="B", WORKDAY(Main[[#This Row],[Tech Start Date]],12),IF(Main[[#This Row],[Class]]="A",WORKDAY(Main[[#This Row],[Tech Start Date]],4),""))))</f>
        <v/>
      </c>
      <c r="O59" s="69" t="str">
        <f>IF(Main[[#This Row],[Tech Start Date]]&lt;1/1/1990,"",IF(Main[[#This Row],[Class]]="C",WORKDAY(Main[[#This Row],[Tech Start Date]],23),IF(Main[[#This Row],[Class]]="B", WORKDAY(Main[[#This Row],[Tech Start Date]],15),IF(Main[[#This Row],[Class]]="A",WORKDAY(Main[[#This Row],[Tech Start Date]],5),""))))</f>
        <v/>
      </c>
      <c r="P59" s="69" t="str">
        <f>IF(Main[[#This Row],[Tech Start Date]]&lt;1/1/1990,"",IF(Main[[#This Row],[Class]]="C",WORKDAY(Main[[#This Row],[Tech Start Date]],28),IF(Main[[#This Row],[Class]]="B", WORKDAY(Main[[#This Row],[Tech Start Date]],19),IF(Main[[#This Row],[Class]]="A",WORKDAY(Main[[#This Row],[Tech Start Date]],9),""))))</f>
        <v/>
      </c>
      <c r="Q59" s="67">
        <v>40921</v>
      </c>
      <c r="R59" s="67"/>
      <c r="S59" s="65" t="s">
        <v>11</v>
      </c>
      <c r="T59" s="70" t="s">
        <v>4</v>
      </c>
      <c r="U59" s="65" t="s">
        <v>12</v>
      </c>
      <c r="V59" s="65" t="s">
        <v>1915</v>
      </c>
      <c r="W59" s="65" t="s">
        <v>1916</v>
      </c>
      <c r="X59" s="65" t="s">
        <v>2816</v>
      </c>
      <c r="Y59" s="65" t="s">
        <v>4</v>
      </c>
      <c r="Z59" s="65" t="s">
        <v>4</v>
      </c>
      <c r="AA59" s="65" t="s">
        <v>2816</v>
      </c>
    </row>
    <row r="60" spans="1:27" ht="17.45" hidden="1" customHeight="1">
      <c r="A60" s="100" t="str">
        <f>IF(priority(Main[[#This Row],[Comments]])&lt;&gt;0, priority(Main[[#This Row],[Comments]]),"")</f>
        <v/>
      </c>
      <c r="B60" s="77" t="s">
        <v>3581</v>
      </c>
      <c r="C60" s="65" t="s">
        <v>275</v>
      </c>
      <c r="D60" s="66" t="s">
        <v>3582</v>
      </c>
      <c r="E60" s="67">
        <v>40962.69332175926</v>
      </c>
      <c r="F60" s="67">
        <v>41091</v>
      </c>
      <c r="G60" s="64" t="str">
        <f>IF(stdProdLT(Main[[#This Row],[Comments]])=0.1,"N/A",IF(stdProdLT(Main[[#This Row],[Comments]])=0,"",stdProdLT(Main[[#This Row],[Comments]])))</f>
        <v>N/A</v>
      </c>
      <c r="H60" s="68" t="str">
        <f>IF(AND(Main[[#This Row],[In Stock Date]]&lt;&gt;"",Main[[#This Row],[Revised Due Date]]&lt;&gt;""),Main[[#This Row],[In Stock Date]]-Main[[#This Row],[Revised Due Date]],"")</f>
        <v/>
      </c>
      <c r="I60" s="65" t="s">
        <v>4</v>
      </c>
      <c r="J60" s="65" t="s">
        <v>4</v>
      </c>
      <c r="K60" s="65" t="s">
        <v>4</v>
      </c>
      <c r="L60" s="67"/>
      <c r="M60" s="69" t="str">
        <f>IF(Main[[#This Row],[Tech Start Date]]&lt;1/1/1990,"",IF(Main[[#This Row],[Class]]="C",WORKDAY(Main[[#This Row],[Tech Start Date]],9),IF(Main[[#This Row],[Class]]="B", WORKDAY(Main[[#This Row],[Tech Start Date]],6),IF(Main[[#This Row],[Class]]="A",WORKDAY(Main[[#This Row],[Tech Start Date]],2),""))))</f>
        <v/>
      </c>
      <c r="N60" s="69" t="str">
        <f>IF(Main[[#This Row],[Tech Start Date]]&lt;1/1/1990,"",IF(Main[[#This Row],[Class]]="C",WORKDAY(Main[[#This Row],[Tech Start Date]],19),IF(Main[[#This Row],[Class]]="B", WORKDAY(Main[[#This Row],[Tech Start Date]],12),IF(Main[[#This Row],[Class]]="A",WORKDAY(Main[[#This Row],[Tech Start Date]],4),""))))</f>
        <v/>
      </c>
      <c r="O60" s="69" t="str">
        <f>IF(Main[[#This Row],[Tech Start Date]]&lt;1/1/1990,"",IF(Main[[#This Row],[Class]]="C",WORKDAY(Main[[#This Row],[Tech Start Date]],23),IF(Main[[#This Row],[Class]]="B", WORKDAY(Main[[#This Row],[Tech Start Date]],15),IF(Main[[#This Row],[Class]]="A",WORKDAY(Main[[#This Row],[Tech Start Date]],5),""))))</f>
        <v/>
      </c>
      <c r="P60" s="69" t="str">
        <f>IF(Main[[#This Row],[Tech Start Date]]&lt;1/1/1990,"",IF(Main[[#This Row],[Class]]="C",WORKDAY(Main[[#This Row],[Tech Start Date]],28),IF(Main[[#This Row],[Class]]="B", WORKDAY(Main[[#This Row],[Tech Start Date]],19),IF(Main[[#This Row],[Class]]="A",WORKDAY(Main[[#This Row],[Tech Start Date]],9),""))))</f>
        <v/>
      </c>
      <c r="Q60" s="67"/>
      <c r="R60" s="67"/>
      <c r="S60" s="65" t="s">
        <v>17</v>
      </c>
      <c r="T60" s="70" t="s">
        <v>3583</v>
      </c>
      <c r="U60" s="65" t="s">
        <v>7</v>
      </c>
      <c r="V60" s="65" t="s">
        <v>1917</v>
      </c>
      <c r="W60" s="65" t="s">
        <v>1919</v>
      </c>
      <c r="X60" s="65" t="s">
        <v>50</v>
      </c>
      <c r="Y60" s="65" t="s">
        <v>3584</v>
      </c>
      <c r="Z60" s="65" t="s">
        <v>4</v>
      </c>
      <c r="AA60" s="65" t="s">
        <v>65</v>
      </c>
    </row>
    <row r="61" spans="1:27" ht="17.45" hidden="1" customHeight="1">
      <c r="A61" s="100" t="str">
        <f>IF(priority(Main[[#This Row],[Comments]])&lt;&gt;0, priority(Main[[#This Row],[Comments]]),"")</f>
        <v/>
      </c>
      <c r="B61" s="77" t="s">
        <v>2556</v>
      </c>
      <c r="C61" s="65" t="s">
        <v>4</v>
      </c>
      <c r="D61" s="66" t="s">
        <v>2557</v>
      </c>
      <c r="E61" s="67"/>
      <c r="F61" s="67"/>
      <c r="G61" s="64" t="str">
        <f>IF(stdProdLT(Main[[#This Row],[Comments]])=0.1,"N/A",IF(stdProdLT(Main[[#This Row],[Comments]])=0,"",stdProdLT(Main[[#This Row],[Comments]])))</f>
        <v/>
      </c>
      <c r="H61" s="68" t="str">
        <f>IF(AND(Main[[#This Row],[In Stock Date]]&lt;&gt;"",Main[[#This Row],[Revised Due Date]]&lt;&gt;""),Main[[#This Row],[In Stock Date]]-Main[[#This Row],[Revised Due Date]],"")</f>
        <v/>
      </c>
      <c r="I61" s="65" t="s">
        <v>30</v>
      </c>
      <c r="J61" s="65" t="s">
        <v>21</v>
      </c>
      <c r="K61" s="65" t="s">
        <v>4</v>
      </c>
      <c r="L61" s="67"/>
      <c r="M61" s="69" t="str">
        <f>IF(Main[[#This Row],[Tech Start Date]]&lt;1/1/1990,"",IF(Main[[#This Row],[Class]]="C",WORKDAY(Main[[#This Row],[Tech Start Date]],9),IF(Main[[#This Row],[Class]]="B", WORKDAY(Main[[#This Row],[Tech Start Date]],6),IF(Main[[#This Row],[Class]]="A",WORKDAY(Main[[#This Row],[Tech Start Date]],2),""))))</f>
        <v/>
      </c>
      <c r="N61" s="69" t="str">
        <f>IF(Main[[#This Row],[Tech Start Date]]&lt;1/1/1990,"",IF(Main[[#This Row],[Class]]="C",WORKDAY(Main[[#This Row],[Tech Start Date]],19),IF(Main[[#This Row],[Class]]="B", WORKDAY(Main[[#This Row],[Tech Start Date]],12),IF(Main[[#This Row],[Class]]="A",WORKDAY(Main[[#This Row],[Tech Start Date]],4),""))))</f>
        <v/>
      </c>
      <c r="O61" s="69" t="str">
        <f>IF(Main[[#This Row],[Tech Start Date]]&lt;1/1/1990,"",IF(Main[[#This Row],[Class]]="C",WORKDAY(Main[[#This Row],[Tech Start Date]],23),IF(Main[[#This Row],[Class]]="B", WORKDAY(Main[[#This Row],[Tech Start Date]],15),IF(Main[[#This Row],[Class]]="A",WORKDAY(Main[[#This Row],[Tech Start Date]],5),""))))</f>
        <v/>
      </c>
      <c r="P61" s="69" t="str">
        <f>IF(Main[[#This Row],[Tech Start Date]]&lt;1/1/1990,"",IF(Main[[#This Row],[Class]]="C",WORKDAY(Main[[#This Row],[Tech Start Date]],28),IF(Main[[#This Row],[Class]]="B", WORKDAY(Main[[#This Row],[Tech Start Date]],19),IF(Main[[#This Row],[Class]]="A",WORKDAY(Main[[#This Row],[Tech Start Date]],9),""))))</f>
        <v/>
      </c>
      <c r="Q61" s="67"/>
      <c r="R61" s="67"/>
      <c r="S61" s="65" t="s">
        <v>6</v>
      </c>
      <c r="T61" s="70" t="s">
        <v>4</v>
      </c>
      <c r="U61" s="65" t="s">
        <v>14</v>
      </c>
      <c r="V61" s="65" t="s">
        <v>1917</v>
      </c>
      <c r="W61" s="65" t="s">
        <v>1916</v>
      </c>
      <c r="X61" s="65" t="s">
        <v>306</v>
      </c>
      <c r="Y61" s="65" t="s">
        <v>4</v>
      </c>
      <c r="Z61" s="65" t="s">
        <v>30</v>
      </c>
      <c r="AA61" s="65" t="s">
        <v>3387</v>
      </c>
    </row>
    <row r="62" spans="1:27" ht="17.45" hidden="1" customHeight="1">
      <c r="A62" s="100" t="str">
        <f>IF(priority(Main[[#This Row],[Comments]])&lt;&gt;0, priority(Main[[#This Row],[Comments]]),"")</f>
        <v/>
      </c>
      <c r="B62" s="77" t="s">
        <v>1070</v>
      </c>
      <c r="C62" s="65" t="s">
        <v>4</v>
      </c>
      <c r="D62" s="66" t="s">
        <v>111</v>
      </c>
      <c r="E62" s="67"/>
      <c r="F62" s="67"/>
      <c r="G62" s="64" t="str">
        <f>IF(stdProdLT(Main[[#This Row],[Comments]])=0.1,"N/A",IF(stdProdLT(Main[[#This Row],[Comments]])=0,"",stdProdLT(Main[[#This Row],[Comments]])))</f>
        <v/>
      </c>
      <c r="H62" s="68" t="str">
        <f>IF(AND(Main[[#This Row],[In Stock Date]]&lt;&gt;"",Main[[#This Row],[Revised Due Date]]&lt;&gt;""),Main[[#This Row],[In Stock Date]]-Main[[#This Row],[Revised Due Date]],"")</f>
        <v/>
      </c>
      <c r="I62" s="65" t="s">
        <v>306</v>
      </c>
      <c r="J62" s="65" t="s">
        <v>75</v>
      </c>
      <c r="K62" s="65" t="s">
        <v>1923</v>
      </c>
      <c r="L62" s="67"/>
      <c r="M62" s="69" t="str">
        <f>IF(Main[[#This Row],[Tech Start Date]]&lt;1/1/1990,"",IF(Main[[#This Row],[Class]]="C",WORKDAY(Main[[#This Row],[Tech Start Date]],9),IF(Main[[#This Row],[Class]]="B", WORKDAY(Main[[#This Row],[Tech Start Date]],6),IF(Main[[#This Row],[Class]]="A",WORKDAY(Main[[#This Row],[Tech Start Date]],2),""))))</f>
        <v/>
      </c>
      <c r="N62" s="69" t="str">
        <f>IF(Main[[#This Row],[Tech Start Date]]&lt;1/1/1990,"",IF(Main[[#This Row],[Class]]="C",WORKDAY(Main[[#This Row],[Tech Start Date]],19),IF(Main[[#This Row],[Class]]="B", WORKDAY(Main[[#This Row],[Tech Start Date]],12),IF(Main[[#This Row],[Class]]="A",WORKDAY(Main[[#This Row],[Tech Start Date]],4),""))))</f>
        <v/>
      </c>
      <c r="O62" s="69" t="str">
        <f>IF(Main[[#This Row],[Tech Start Date]]&lt;1/1/1990,"",IF(Main[[#This Row],[Class]]="C",WORKDAY(Main[[#This Row],[Tech Start Date]],23),IF(Main[[#This Row],[Class]]="B", WORKDAY(Main[[#This Row],[Tech Start Date]],15),IF(Main[[#This Row],[Class]]="A",WORKDAY(Main[[#This Row],[Tech Start Date]],5),""))))</f>
        <v/>
      </c>
      <c r="P62" s="69" t="str">
        <f>IF(Main[[#This Row],[Tech Start Date]]&lt;1/1/1990,"",IF(Main[[#This Row],[Class]]="C",WORKDAY(Main[[#This Row],[Tech Start Date]],28),IF(Main[[#This Row],[Class]]="B", WORKDAY(Main[[#This Row],[Tech Start Date]],19),IF(Main[[#This Row],[Class]]="A",WORKDAY(Main[[#This Row],[Tech Start Date]],9),""))))</f>
        <v/>
      </c>
      <c r="Q62" s="67">
        <v>40336</v>
      </c>
      <c r="R62" s="67"/>
      <c r="S62" s="65" t="s">
        <v>6</v>
      </c>
      <c r="T62" s="70" t="s">
        <v>4</v>
      </c>
      <c r="U62" s="65" t="s">
        <v>14</v>
      </c>
      <c r="V62" s="65" t="s">
        <v>1917</v>
      </c>
      <c r="W62" s="65" t="s">
        <v>1916</v>
      </c>
      <c r="X62" s="65" t="s">
        <v>883</v>
      </c>
      <c r="Y62" s="65" t="s">
        <v>2963</v>
      </c>
      <c r="Z62" s="65" t="s">
        <v>30</v>
      </c>
      <c r="AA62" s="65" t="s">
        <v>883</v>
      </c>
    </row>
    <row r="63" spans="1:27" ht="17.45" hidden="1" customHeight="1">
      <c r="A63" s="100" t="str">
        <f>IF(priority(Main[[#This Row],[Comments]])&lt;&gt;0, priority(Main[[#This Row],[Comments]]),"")</f>
        <v/>
      </c>
      <c r="B63" s="77" t="s">
        <v>2156</v>
      </c>
      <c r="C63" s="65" t="s">
        <v>2157</v>
      </c>
      <c r="D63" s="66" t="s">
        <v>2158</v>
      </c>
      <c r="E63" s="67"/>
      <c r="F63" s="67">
        <v>40920</v>
      </c>
      <c r="G63" s="64" t="str">
        <f>IF(stdProdLT(Main[[#This Row],[Comments]])=0.1,"N/A",IF(stdProdLT(Main[[#This Row],[Comments]])=0,"",stdProdLT(Main[[#This Row],[Comments]])))</f>
        <v/>
      </c>
      <c r="H63" s="68" t="str">
        <f>IF(AND(Main[[#This Row],[In Stock Date]]&lt;&gt;"",Main[[#This Row],[Revised Due Date]]&lt;&gt;""),Main[[#This Row],[In Stock Date]]-Main[[#This Row],[Revised Due Date]],"")</f>
        <v/>
      </c>
      <c r="I63" s="65" t="s">
        <v>4</v>
      </c>
      <c r="J63" s="65" t="s">
        <v>28</v>
      </c>
      <c r="K63" s="65" t="s">
        <v>1923</v>
      </c>
      <c r="L63" s="67"/>
      <c r="M63" s="69" t="str">
        <f>IF(Main[[#This Row],[Tech Start Date]]&lt;1/1/1990,"",IF(Main[[#This Row],[Class]]="C",WORKDAY(Main[[#This Row],[Tech Start Date]],9),IF(Main[[#This Row],[Class]]="B", WORKDAY(Main[[#This Row],[Tech Start Date]],6),IF(Main[[#This Row],[Class]]="A",WORKDAY(Main[[#This Row],[Tech Start Date]],2),""))))</f>
        <v/>
      </c>
      <c r="N63" s="69" t="str">
        <f>IF(Main[[#This Row],[Tech Start Date]]&lt;1/1/1990,"",IF(Main[[#This Row],[Class]]="C",WORKDAY(Main[[#This Row],[Tech Start Date]],19),IF(Main[[#This Row],[Class]]="B", WORKDAY(Main[[#This Row],[Tech Start Date]],12),IF(Main[[#This Row],[Class]]="A",WORKDAY(Main[[#This Row],[Tech Start Date]],4),""))))</f>
        <v/>
      </c>
      <c r="O63" s="69" t="str">
        <f>IF(Main[[#This Row],[Tech Start Date]]&lt;1/1/1990,"",IF(Main[[#This Row],[Class]]="C",WORKDAY(Main[[#This Row],[Tech Start Date]],23),IF(Main[[#This Row],[Class]]="B", WORKDAY(Main[[#This Row],[Tech Start Date]],15),IF(Main[[#This Row],[Class]]="A",WORKDAY(Main[[#This Row],[Tech Start Date]],5),""))))</f>
        <v/>
      </c>
      <c r="P63" s="69" t="str">
        <f>IF(Main[[#This Row],[Tech Start Date]]&lt;1/1/1990,"",IF(Main[[#This Row],[Class]]="C",WORKDAY(Main[[#This Row],[Tech Start Date]],28),IF(Main[[#This Row],[Class]]="B", WORKDAY(Main[[#This Row],[Tech Start Date]],19),IF(Main[[#This Row],[Class]]="A",WORKDAY(Main[[#This Row],[Tech Start Date]],9),""))))</f>
        <v/>
      </c>
      <c r="Q63" s="67"/>
      <c r="R63" s="67"/>
      <c r="S63" s="65" t="s">
        <v>11</v>
      </c>
      <c r="T63" s="70" t="s">
        <v>4</v>
      </c>
      <c r="U63" s="65" t="s">
        <v>14</v>
      </c>
      <c r="V63" s="65" t="s">
        <v>1917</v>
      </c>
      <c r="W63" s="65" t="s">
        <v>1922</v>
      </c>
      <c r="X63" s="65" t="s">
        <v>50</v>
      </c>
      <c r="Y63" s="65" t="s">
        <v>2964</v>
      </c>
      <c r="Z63" s="65" t="s">
        <v>530</v>
      </c>
      <c r="AA63" s="65" t="s">
        <v>3388</v>
      </c>
    </row>
    <row r="64" spans="1:27" ht="17.45" hidden="1" customHeight="1">
      <c r="A64" s="100" t="str">
        <f>IF(priority(Main[[#This Row],[Comments]])&lt;&gt;0, priority(Main[[#This Row],[Comments]]),"")</f>
        <v/>
      </c>
      <c r="B64" s="77" t="s">
        <v>1847</v>
      </c>
      <c r="C64" s="65" t="s">
        <v>95</v>
      </c>
      <c r="D64" s="66" t="s">
        <v>903</v>
      </c>
      <c r="E64" s="67">
        <v>40428.41710648148</v>
      </c>
      <c r="F64" s="67"/>
      <c r="G64" s="64" t="str">
        <f>IF(stdProdLT(Main[[#This Row],[Comments]])=0.1,"N/A",IF(stdProdLT(Main[[#This Row],[Comments]])=0,"",stdProdLT(Main[[#This Row],[Comments]])))</f>
        <v/>
      </c>
      <c r="H64" s="68" t="str">
        <f>IF(AND(Main[[#This Row],[In Stock Date]]&lt;&gt;"",Main[[#This Row],[Revised Due Date]]&lt;&gt;""),Main[[#This Row],[In Stock Date]]-Main[[#This Row],[Revised Due Date]],"")</f>
        <v/>
      </c>
      <c r="I64" s="65" t="s">
        <v>415</v>
      </c>
      <c r="J64" s="65" t="s">
        <v>28</v>
      </c>
      <c r="K64" s="65" t="s">
        <v>1926</v>
      </c>
      <c r="L64" s="67"/>
      <c r="M64" s="69" t="str">
        <f>IF(Main[[#This Row],[Tech Start Date]]&lt;1/1/1990,"",IF(Main[[#This Row],[Class]]="C",WORKDAY(Main[[#This Row],[Tech Start Date]],9),IF(Main[[#This Row],[Class]]="B", WORKDAY(Main[[#This Row],[Tech Start Date]],6),IF(Main[[#This Row],[Class]]="A",WORKDAY(Main[[#This Row],[Tech Start Date]],2),""))))</f>
        <v/>
      </c>
      <c r="N64" s="69" t="str">
        <f>IF(Main[[#This Row],[Tech Start Date]]&lt;1/1/1990,"",IF(Main[[#This Row],[Class]]="C",WORKDAY(Main[[#This Row],[Tech Start Date]],19),IF(Main[[#This Row],[Class]]="B", WORKDAY(Main[[#This Row],[Tech Start Date]],12),IF(Main[[#This Row],[Class]]="A",WORKDAY(Main[[#This Row],[Tech Start Date]],4),""))))</f>
        <v/>
      </c>
      <c r="O64" s="69" t="str">
        <f>IF(Main[[#This Row],[Tech Start Date]]&lt;1/1/1990,"",IF(Main[[#This Row],[Class]]="C",WORKDAY(Main[[#This Row],[Tech Start Date]],23),IF(Main[[#This Row],[Class]]="B", WORKDAY(Main[[#This Row],[Tech Start Date]],15),IF(Main[[#This Row],[Class]]="A",WORKDAY(Main[[#This Row],[Tech Start Date]],5),""))))</f>
        <v/>
      </c>
      <c r="P64" s="69" t="str">
        <f>IF(Main[[#This Row],[Tech Start Date]]&lt;1/1/1990,"",IF(Main[[#This Row],[Class]]="C",WORKDAY(Main[[#This Row],[Tech Start Date]],28),IF(Main[[#This Row],[Class]]="B", WORKDAY(Main[[#This Row],[Tech Start Date]],19),IF(Main[[#This Row],[Class]]="A",WORKDAY(Main[[#This Row],[Tech Start Date]],9),""))))</f>
        <v/>
      </c>
      <c r="Q64" s="67">
        <v>40512</v>
      </c>
      <c r="R64" s="67">
        <v>40918</v>
      </c>
      <c r="S64" s="65" t="s">
        <v>17</v>
      </c>
      <c r="T64" s="70" t="s">
        <v>4</v>
      </c>
      <c r="U64" s="65" t="s">
        <v>29</v>
      </c>
      <c r="V64" s="65" t="s">
        <v>1917</v>
      </c>
      <c r="W64" s="65" t="s">
        <v>1920</v>
      </c>
      <c r="X64" s="65" t="s">
        <v>415</v>
      </c>
      <c r="Y64" s="65" t="s">
        <v>2975</v>
      </c>
      <c r="Z64" s="65" t="s">
        <v>968</v>
      </c>
      <c r="AA64" s="65" t="s">
        <v>415</v>
      </c>
    </row>
    <row r="65" spans="1:27" ht="17.45" hidden="1" customHeight="1">
      <c r="A65" s="100" t="str">
        <f>IF(priority(Main[[#This Row],[Comments]])&lt;&gt;0, priority(Main[[#This Row],[Comments]]),"")</f>
        <v/>
      </c>
      <c r="B65" s="77" t="s">
        <v>1071</v>
      </c>
      <c r="C65" s="65" t="s">
        <v>4</v>
      </c>
      <c r="D65" s="66" t="s">
        <v>112</v>
      </c>
      <c r="E65" s="67"/>
      <c r="F65" s="67"/>
      <c r="G65" s="64" t="str">
        <f>IF(stdProdLT(Main[[#This Row],[Comments]])=0.1,"N/A",IF(stdProdLT(Main[[#This Row],[Comments]])=0,"",stdProdLT(Main[[#This Row],[Comments]])))</f>
        <v/>
      </c>
      <c r="H65" s="68" t="str">
        <f>IF(AND(Main[[#This Row],[In Stock Date]]&lt;&gt;"",Main[[#This Row],[Revised Due Date]]&lt;&gt;""),Main[[#This Row],[In Stock Date]]-Main[[#This Row],[Revised Due Date]],"")</f>
        <v/>
      </c>
      <c r="I65" s="65" t="s">
        <v>4</v>
      </c>
      <c r="J65" s="65" t="s">
        <v>4</v>
      </c>
      <c r="K65" s="71" t="s">
        <v>4</v>
      </c>
      <c r="L65" s="67"/>
      <c r="M65" s="69" t="str">
        <f>IF(Main[[#This Row],[Tech Start Date]]&lt;1/1/1990,"",IF(Main[[#This Row],[Class]]="C",WORKDAY(Main[[#This Row],[Tech Start Date]],9),IF(Main[[#This Row],[Class]]="B", WORKDAY(Main[[#This Row],[Tech Start Date]],6),IF(Main[[#This Row],[Class]]="A",WORKDAY(Main[[#This Row],[Tech Start Date]],2),""))))</f>
        <v/>
      </c>
      <c r="N65" s="69" t="str">
        <f>IF(Main[[#This Row],[Tech Start Date]]&lt;1/1/1990,"",IF(Main[[#This Row],[Class]]="C",WORKDAY(Main[[#This Row],[Tech Start Date]],19),IF(Main[[#This Row],[Class]]="B", WORKDAY(Main[[#This Row],[Tech Start Date]],12),IF(Main[[#This Row],[Class]]="A",WORKDAY(Main[[#This Row],[Tech Start Date]],4),""))))</f>
        <v/>
      </c>
      <c r="O65" s="69" t="str">
        <f>IF(Main[[#This Row],[Tech Start Date]]&lt;1/1/1990,"",IF(Main[[#This Row],[Class]]="C",WORKDAY(Main[[#This Row],[Tech Start Date]],23),IF(Main[[#This Row],[Class]]="B", WORKDAY(Main[[#This Row],[Tech Start Date]],15),IF(Main[[#This Row],[Class]]="A",WORKDAY(Main[[#This Row],[Tech Start Date]],5),""))))</f>
        <v/>
      </c>
      <c r="P65" s="69" t="str">
        <f>IF(Main[[#This Row],[Tech Start Date]]&lt;1/1/1990,"",IF(Main[[#This Row],[Class]]="C",WORKDAY(Main[[#This Row],[Tech Start Date]],28),IF(Main[[#This Row],[Class]]="B", WORKDAY(Main[[#This Row],[Tech Start Date]],19),IF(Main[[#This Row],[Class]]="A",WORKDAY(Main[[#This Row],[Tech Start Date]],9),""))))</f>
        <v/>
      </c>
      <c r="Q65" s="67"/>
      <c r="R65" s="67"/>
      <c r="S65" s="65" t="s">
        <v>23</v>
      </c>
      <c r="T65" s="70" t="s">
        <v>4</v>
      </c>
      <c r="U65" s="65" t="s">
        <v>14</v>
      </c>
      <c r="V65" s="65" t="s">
        <v>1914</v>
      </c>
      <c r="W65" s="65" t="s">
        <v>1922</v>
      </c>
      <c r="X65" s="65" t="s">
        <v>306</v>
      </c>
      <c r="Y65" s="65" t="s">
        <v>4</v>
      </c>
      <c r="Z65" s="65" t="s">
        <v>4</v>
      </c>
      <c r="AA65" s="65" t="s">
        <v>3384</v>
      </c>
    </row>
    <row r="66" spans="1:27" ht="17.45" hidden="1" customHeight="1">
      <c r="A66" s="100" t="str">
        <f>IF(priority(Main[[#This Row],[Comments]])&lt;&gt;0, priority(Main[[#This Row],[Comments]]),"")</f>
        <v/>
      </c>
      <c r="B66" s="77" t="s">
        <v>1072</v>
      </c>
      <c r="C66" s="65" t="s">
        <v>113</v>
      </c>
      <c r="D66" s="66" t="s">
        <v>114</v>
      </c>
      <c r="E66" s="67"/>
      <c r="F66" s="67"/>
      <c r="G66" s="64" t="str">
        <f>IF(stdProdLT(Main[[#This Row],[Comments]])=0.1,"N/A",IF(stdProdLT(Main[[#This Row],[Comments]])=0,"",stdProdLT(Main[[#This Row],[Comments]])))</f>
        <v/>
      </c>
      <c r="H66" s="68" t="str">
        <f>IF(AND(Main[[#This Row],[In Stock Date]]&lt;&gt;"",Main[[#This Row],[Revised Due Date]]&lt;&gt;""),Main[[#This Row],[In Stock Date]]-Main[[#This Row],[Revised Due Date]],"")</f>
        <v/>
      </c>
      <c r="I66" s="65" t="s">
        <v>4</v>
      </c>
      <c r="J66" s="65" t="s">
        <v>28</v>
      </c>
      <c r="K66" s="65" t="s">
        <v>4</v>
      </c>
      <c r="L66" s="67"/>
      <c r="M66" s="69" t="str">
        <f>IF(Main[[#This Row],[Tech Start Date]]&lt;1/1/1990,"",IF(Main[[#This Row],[Class]]="C",WORKDAY(Main[[#This Row],[Tech Start Date]],9),IF(Main[[#This Row],[Class]]="B", WORKDAY(Main[[#This Row],[Tech Start Date]],6),IF(Main[[#This Row],[Class]]="A",WORKDAY(Main[[#This Row],[Tech Start Date]],2),""))))</f>
        <v/>
      </c>
      <c r="N66" s="69" t="str">
        <f>IF(Main[[#This Row],[Tech Start Date]]&lt;1/1/1990,"",IF(Main[[#This Row],[Class]]="C",WORKDAY(Main[[#This Row],[Tech Start Date]],19),IF(Main[[#This Row],[Class]]="B", WORKDAY(Main[[#This Row],[Tech Start Date]],12),IF(Main[[#This Row],[Class]]="A",WORKDAY(Main[[#This Row],[Tech Start Date]],4),""))))</f>
        <v/>
      </c>
      <c r="O66" s="69" t="str">
        <f>IF(Main[[#This Row],[Tech Start Date]]&lt;1/1/1990,"",IF(Main[[#This Row],[Class]]="C",WORKDAY(Main[[#This Row],[Tech Start Date]],23),IF(Main[[#This Row],[Class]]="B", WORKDAY(Main[[#This Row],[Tech Start Date]],15),IF(Main[[#This Row],[Class]]="A",WORKDAY(Main[[#This Row],[Tech Start Date]],5),""))))</f>
        <v/>
      </c>
      <c r="P66" s="69" t="str">
        <f>IF(Main[[#This Row],[Tech Start Date]]&lt;1/1/1990,"",IF(Main[[#This Row],[Class]]="C",WORKDAY(Main[[#This Row],[Tech Start Date]],28),IF(Main[[#This Row],[Class]]="B", WORKDAY(Main[[#This Row],[Tech Start Date]],19),IF(Main[[#This Row],[Class]]="A",WORKDAY(Main[[#This Row],[Tech Start Date]],9),""))))</f>
        <v/>
      </c>
      <c r="Q66" s="67">
        <v>40634</v>
      </c>
      <c r="R66" s="67"/>
      <c r="S66" s="65" t="s">
        <v>11</v>
      </c>
      <c r="T66" s="70" t="s">
        <v>4</v>
      </c>
      <c r="U66" s="65" t="s">
        <v>12</v>
      </c>
      <c r="V66" s="65" t="s">
        <v>1914</v>
      </c>
      <c r="W66" s="65" t="s">
        <v>1916</v>
      </c>
      <c r="X66" s="65" t="s">
        <v>2833</v>
      </c>
      <c r="Y66" s="65" t="s">
        <v>2939</v>
      </c>
      <c r="Z66" s="65" t="s">
        <v>129</v>
      </c>
      <c r="AA66" s="65" t="s">
        <v>2833</v>
      </c>
    </row>
    <row r="67" spans="1:27" ht="17.45" hidden="1" customHeight="1">
      <c r="A67" s="100" t="str">
        <f>IF(priority(Main[[#This Row],[Comments]])&lt;&gt;0, priority(Main[[#This Row],[Comments]]),"")</f>
        <v/>
      </c>
      <c r="B67" s="77" t="s">
        <v>1952</v>
      </c>
      <c r="C67" s="65" t="s">
        <v>4</v>
      </c>
      <c r="D67" s="66" t="s">
        <v>1977</v>
      </c>
      <c r="E67" s="67"/>
      <c r="F67" s="67"/>
      <c r="G67" s="64" t="str">
        <f>IF(stdProdLT(Main[[#This Row],[Comments]])=0.1,"N/A",IF(stdProdLT(Main[[#This Row],[Comments]])=0,"",stdProdLT(Main[[#This Row],[Comments]])))</f>
        <v/>
      </c>
      <c r="H67" s="68" t="str">
        <f>IF(AND(Main[[#This Row],[In Stock Date]]&lt;&gt;"",Main[[#This Row],[Revised Due Date]]&lt;&gt;""),Main[[#This Row],[In Stock Date]]-Main[[#This Row],[Revised Due Date]],"")</f>
        <v/>
      </c>
      <c r="I67" s="65" t="s">
        <v>4</v>
      </c>
      <c r="J67" s="65" t="s">
        <v>4</v>
      </c>
      <c r="K67" s="65" t="s">
        <v>4</v>
      </c>
      <c r="L67" s="67"/>
      <c r="M67" s="69" t="str">
        <f>IF(Main[[#This Row],[Tech Start Date]]&lt;1/1/1990,"",IF(Main[[#This Row],[Class]]="C",WORKDAY(Main[[#This Row],[Tech Start Date]],9),IF(Main[[#This Row],[Class]]="B", WORKDAY(Main[[#This Row],[Tech Start Date]],6),IF(Main[[#This Row],[Class]]="A",WORKDAY(Main[[#This Row],[Tech Start Date]],2),""))))</f>
        <v/>
      </c>
      <c r="N67" s="69" t="str">
        <f>IF(Main[[#This Row],[Tech Start Date]]&lt;1/1/1990,"",IF(Main[[#This Row],[Class]]="C",WORKDAY(Main[[#This Row],[Tech Start Date]],19),IF(Main[[#This Row],[Class]]="B", WORKDAY(Main[[#This Row],[Tech Start Date]],12),IF(Main[[#This Row],[Class]]="A",WORKDAY(Main[[#This Row],[Tech Start Date]],4),""))))</f>
        <v/>
      </c>
      <c r="O67" s="69" t="str">
        <f>IF(Main[[#This Row],[Tech Start Date]]&lt;1/1/1990,"",IF(Main[[#This Row],[Class]]="C",WORKDAY(Main[[#This Row],[Tech Start Date]],23),IF(Main[[#This Row],[Class]]="B", WORKDAY(Main[[#This Row],[Tech Start Date]],15),IF(Main[[#This Row],[Class]]="A",WORKDAY(Main[[#This Row],[Tech Start Date]],5),""))))</f>
        <v/>
      </c>
      <c r="P67" s="69" t="str">
        <f>IF(Main[[#This Row],[Tech Start Date]]&lt;1/1/1990,"",IF(Main[[#This Row],[Class]]="C",WORKDAY(Main[[#This Row],[Tech Start Date]],28),IF(Main[[#This Row],[Class]]="B", WORKDAY(Main[[#This Row],[Tech Start Date]],19),IF(Main[[#This Row],[Class]]="A",WORKDAY(Main[[#This Row],[Tech Start Date]],9),""))))</f>
        <v/>
      </c>
      <c r="Q67" s="67">
        <v>40737</v>
      </c>
      <c r="R67" s="67"/>
      <c r="S67" s="65" t="s">
        <v>6</v>
      </c>
      <c r="T67" s="70" t="s">
        <v>4</v>
      </c>
      <c r="U67" s="65" t="s">
        <v>14</v>
      </c>
      <c r="V67" s="65" t="s">
        <v>1917</v>
      </c>
      <c r="W67" s="65" t="s">
        <v>1918</v>
      </c>
      <c r="X67" s="65" t="s">
        <v>2836</v>
      </c>
      <c r="Y67" s="65" t="s">
        <v>2965</v>
      </c>
      <c r="Z67" s="65" t="s">
        <v>4</v>
      </c>
      <c r="AA67" s="65" t="s">
        <v>2836</v>
      </c>
    </row>
    <row r="68" spans="1:27" ht="17.45" hidden="1" customHeight="1">
      <c r="A68" s="100" t="str">
        <f>IF(priority(Main[[#This Row],[Comments]])&lt;&gt;0, priority(Main[[#This Row],[Comments]]),"")</f>
        <v/>
      </c>
      <c r="B68" s="77" t="s">
        <v>2762</v>
      </c>
      <c r="C68" s="65" t="s">
        <v>4</v>
      </c>
      <c r="D68" s="66" t="s">
        <v>2763</v>
      </c>
      <c r="E68" s="67">
        <v>40905.638495370367</v>
      </c>
      <c r="F68" s="67"/>
      <c r="G68" s="64" t="str">
        <f>IF(stdProdLT(Main[[#This Row],[Comments]])=0.1,"N/A",IF(stdProdLT(Main[[#This Row],[Comments]])=0,"",stdProdLT(Main[[#This Row],[Comments]])))</f>
        <v/>
      </c>
      <c r="H68" s="68" t="str">
        <f>IF(AND(Main[[#This Row],[In Stock Date]]&lt;&gt;"",Main[[#This Row],[Revised Due Date]]&lt;&gt;""),Main[[#This Row],[In Stock Date]]-Main[[#This Row],[Revised Due Date]],"")</f>
        <v/>
      </c>
      <c r="I68" s="65" t="s">
        <v>2044</v>
      </c>
      <c r="J68" s="65" t="s">
        <v>52</v>
      </c>
      <c r="K68" s="65" t="s">
        <v>1923</v>
      </c>
      <c r="L68" s="67"/>
      <c r="M68" s="69" t="str">
        <f>IF(Main[[#This Row],[Tech Start Date]]&lt;1/1/1990,"",IF(Main[[#This Row],[Class]]="C",WORKDAY(Main[[#This Row],[Tech Start Date]],9),IF(Main[[#This Row],[Class]]="B", WORKDAY(Main[[#This Row],[Tech Start Date]],6),IF(Main[[#This Row],[Class]]="A",WORKDAY(Main[[#This Row],[Tech Start Date]],2),""))))</f>
        <v/>
      </c>
      <c r="N68" s="69" t="str">
        <f>IF(Main[[#This Row],[Tech Start Date]]&lt;1/1/1990,"",IF(Main[[#This Row],[Class]]="C",WORKDAY(Main[[#This Row],[Tech Start Date]],19),IF(Main[[#This Row],[Class]]="B", WORKDAY(Main[[#This Row],[Tech Start Date]],12),IF(Main[[#This Row],[Class]]="A",WORKDAY(Main[[#This Row],[Tech Start Date]],4),""))))</f>
        <v/>
      </c>
      <c r="O68" s="69" t="str">
        <f>IF(Main[[#This Row],[Tech Start Date]]&lt;1/1/1990,"",IF(Main[[#This Row],[Class]]="C",WORKDAY(Main[[#This Row],[Tech Start Date]],23),IF(Main[[#This Row],[Class]]="B", WORKDAY(Main[[#This Row],[Tech Start Date]],15),IF(Main[[#This Row],[Class]]="A",WORKDAY(Main[[#This Row],[Tech Start Date]],5),""))))</f>
        <v/>
      </c>
      <c r="P68" s="69" t="str">
        <f>IF(Main[[#This Row],[Tech Start Date]]&lt;1/1/1990,"",IF(Main[[#This Row],[Class]]="C",WORKDAY(Main[[#This Row],[Tech Start Date]],28),IF(Main[[#This Row],[Class]]="B", WORKDAY(Main[[#This Row],[Tech Start Date]],19),IF(Main[[#This Row],[Class]]="A",WORKDAY(Main[[#This Row],[Tech Start Date]],9),""))))</f>
        <v/>
      </c>
      <c r="Q68" s="67">
        <v>41027</v>
      </c>
      <c r="R68" s="67"/>
      <c r="S68" s="65" t="s">
        <v>6</v>
      </c>
      <c r="T68" s="70" t="s">
        <v>4</v>
      </c>
      <c r="U68" s="65" t="s">
        <v>29</v>
      </c>
      <c r="V68" s="65" t="s">
        <v>1917</v>
      </c>
      <c r="W68" s="65" t="s">
        <v>1918</v>
      </c>
      <c r="X68" s="65" t="s">
        <v>30</v>
      </c>
      <c r="Y68" s="65" t="s">
        <v>2940</v>
      </c>
      <c r="Z68" s="65" t="s">
        <v>30</v>
      </c>
      <c r="AA68" s="65" t="s">
        <v>30</v>
      </c>
    </row>
    <row r="69" spans="1:27" ht="17.45" hidden="1" customHeight="1">
      <c r="A69" s="100" t="str">
        <f>IF(priority(Main[[#This Row],[Comments]])&lt;&gt;0, priority(Main[[#This Row],[Comments]]),"")</f>
        <v/>
      </c>
      <c r="B69" s="77" t="s">
        <v>1855</v>
      </c>
      <c r="C69" s="65" t="s">
        <v>99</v>
      </c>
      <c r="D69" s="66" t="s">
        <v>911</v>
      </c>
      <c r="E69" s="67"/>
      <c r="F69" s="67">
        <v>40525</v>
      </c>
      <c r="G69" s="64" t="str">
        <f>IF(stdProdLT(Main[[#This Row],[Comments]])=0.1,"N/A",IF(stdProdLT(Main[[#This Row],[Comments]])=0,"",stdProdLT(Main[[#This Row],[Comments]])))</f>
        <v/>
      </c>
      <c r="H69" s="68">
        <f>IF(AND(Main[[#This Row],[In Stock Date]]&lt;&gt;"",Main[[#This Row],[Revised Due Date]]&lt;&gt;""),Main[[#This Row],[In Stock Date]]-Main[[#This Row],[Revised Due Date]],"")</f>
        <v>-46</v>
      </c>
      <c r="I69" s="65" t="s">
        <v>912</v>
      </c>
      <c r="J69" s="65" t="s">
        <v>21</v>
      </c>
      <c r="K69" s="71" t="s">
        <v>1927</v>
      </c>
      <c r="L69" s="67"/>
      <c r="M69" s="69" t="str">
        <f>IF(Main[[#This Row],[Tech Start Date]]&lt;1/1/1990,"",IF(Main[[#This Row],[Class]]="C",WORKDAY(Main[[#This Row],[Tech Start Date]],9),IF(Main[[#This Row],[Class]]="B", WORKDAY(Main[[#This Row],[Tech Start Date]],6),IF(Main[[#This Row],[Class]]="A",WORKDAY(Main[[#This Row],[Tech Start Date]],2),""))))</f>
        <v/>
      </c>
      <c r="N69" s="69" t="str">
        <f>IF(Main[[#This Row],[Tech Start Date]]&lt;1/1/1990,"",IF(Main[[#This Row],[Class]]="C",WORKDAY(Main[[#This Row],[Tech Start Date]],19),IF(Main[[#This Row],[Class]]="B", WORKDAY(Main[[#This Row],[Tech Start Date]],12),IF(Main[[#This Row],[Class]]="A",WORKDAY(Main[[#This Row],[Tech Start Date]],4),""))))</f>
        <v/>
      </c>
      <c r="O69" s="69" t="str">
        <f>IF(Main[[#This Row],[Tech Start Date]]&lt;1/1/1990,"",IF(Main[[#This Row],[Class]]="C",WORKDAY(Main[[#This Row],[Tech Start Date]],23),IF(Main[[#This Row],[Class]]="B", WORKDAY(Main[[#This Row],[Tech Start Date]],15),IF(Main[[#This Row],[Class]]="A",WORKDAY(Main[[#This Row],[Tech Start Date]],5),""))))</f>
        <v/>
      </c>
      <c r="P69" s="69" t="str">
        <f>IF(Main[[#This Row],[Tech Start Date]]&lt;1/1/1990,"",IF(Main[[#This Row],[Class]]="C",WORKDAY(Main[[#This Row],[Tech Start Date]],28),IF(Main[[#This Row],[Class]]="B", WORKDAY(Main[[#This Row],[Tech Start Date]],19),IF(Main[[#This Row],[Class]]="A",WORKDAY(Main[[#This Row],[Tech Start Date]],9),""))))</f>
        <v/>
      </c>
      <c r="Q69" s="67">
        <v>40525</v>
      </c>
      <c r="R69" s="67">
        <v>40571</v>
      </c>
      <c r="S69" s="65" t="s">
        <v>11</v>
      </c>
      <c r="T69" s="70" t="s">
        <v>4</v>
      </c>
      <c r="U69" s="65" t="s">
        <v>14</v>
      </c>
      <c r="V69" s="65" t="s">
        <v>1914</v>
      </c>
      <c r="W69" s="65" t="s">
        <v>1919</v>
      </c>
      <c r="X69" s="65" t="s">
        <v>2837</v>
      </c>
      <c r="Y69" s="65" t="s">
        <v>2966</v>
      </c>
      <c r="Z69" s="65" t="s">
        <v>129</v>
      </c>
      <c r="AA69" s="65" t="s">
        <v>2834</v>
      </c>
    </row>
    <row r="70" spans="1:27" ht="17.45" hidden="1" customHeight="1">
      <c r="A70" s="100" t="str">
        <f>IF(priority(Main[[#This Row],[Comments]])&lt;&gt;0, priority(Main[[#This Row],[Comments]]),"")</f>
        <v/>
      </c>
      <c r="B70" s="77" t="s">
        <v>1858</v>
      </c>
      <c r="C70" s="65" t="s">
        <v>31</v>
      </c>
      <c r="D70" s="66" t="s">
        <v>915</v>
      </c>
      <c r="E70" s="67"/>
      <c r="F70" s="67">
        <v>40664</v>
      </c>
      <c r="G70" s="64" t="str">
        <f>IF(stdProdLT(Main[[#This Row],[Comments]])=0.1,"N/A",IF(stdProdLT(Main[[#This Row],[Comments]])=0,"",stdProdLT(Main[[#This Row],[Comments]])))</f>
        <v/>
      </c>
      <c r="H70" s="68">
        <f>IF(AND(Main[[#This Row],[In Stock Date]]&lt;&gt;"",Main[[#This Row],[Revised Due Date]]&lt;&gt;""),Main[[#This Row],[In Stock Date]]-Main[[#This Row],[Revised Due Date]],"")</f>
        <v>87</v>
      </c>
      <c r="I70" s="65" t="s">
        <v>399</v>
      </c>
      <c r="J70" s="65" t="s">
        <v>75</v>
      </c>
      <c r="K70" s="65" t="s">
        <v>1923</v>
      </c>
      <c r="L70" s="67"/>
      <c r="M70" s="69" t="str">
        <f>IF(Main[[#This Row],[Tech Start Date]]&lt;1/1/1990,"",IF(Main[[#This Row],[Class]]="C",WORKDAY(Main[[#This Row],[Tech Start Date]],9),IF(Main[[#This Row],[Class]]="B", WORKDAY(Main[[#This Row],[Tech Start Date]],6),IF(Main[[#This Row],[Class]]="A",WORKDAY(Main[[#This Row],[Tech Start Date]],2),""))))</f>
        <v/>
      </c>
      <c r="N70" s="69" t="str">
        <f>IF(Main[[#This Row],[Tech Start Date]]&lt;1/1/1990,"",IF(Main[[#This Row],[Class]]="C",WORKDAY(Main[[#This Row],[Tech Start Date]],19),IF(Main[[#This Row],[Class]]="B", WORKDAY(Main[[#This Row],[Tech Start Date]],12),IF(Main[[#This Row],[Class]]="A",WORKDAY(Main[[#This Row],[Tech Start Date]],4),""))))</f>
        <v/>
      </c>
      <c r="O70" s="69" t="str">
        <f>IF(Main[[#This Row],[Tech Start Date]]&lt;1/1/1990,"",IF(Main[[#This Row],[Class]]="C",WORKDAY(Main[[#This Row],[Tech Start Date]],23),IF(Main[[#This Row],[Class]]="B", WORKDAY(Main[[#This Row],[Tech Start Date]],15),IF(Main[[#This Row],[Class]]="A",WORKDAY(Main[[#This Row],[Tech Start Date]],5),""))))</f>
        <v/>
      </c>
      <c r="P70" s="69" t="str">
        <f>IF(Main[[#This Row],[Tech Start Date]]&lt;1/1/1990,"",IF(Main[[#This Row],[Class]]="C",WORKDAY(Main[[#This Row],[Tech Start Date]],28),IF(Main[[#This Row],[Class]]="B", WORKDAY(Main[[#This Row],[Tech Start Date]],19),IF(Main[[#This Row],[Class]]="A",WORKDAY(Main[[#This Row],[Tech Start Date]],9),""))))</f>
        <v/>
      </c>
      <c r="Q70" s="67"/>
      <c r="R70" s="67">
        <v>40577</v>
      </c>
      <c r="S70" s="65" t="s">
        <v>11</v>
      </c>
      <c r="T70" s="70" t="s">
        <v>4</v>
      </c>
      <c r="U70" s="65" t="s">
        <v>14</v>
      </c>
      <c r="V70" s="65" t="s">
        <v>1917</v>
      </c>
      <c r="W70" s="65" t="s">
        <v>1920</v>
      </c>
      <c r="X70" s="65" t="s">
        <v>2825</v>
      </c>
      <c r="Y70" s="65" t="s">
        <v>2967</v>
      </c>
      <c r="Z70" s="65" t="s">
        <v>530</v>
      </c>
      <c r="AA70" s="65" t="s">
        <v>2825</v>
      </c>
    </row>
    <row r="71" spans="1:27" ht="17.45" hidden="1" customHeight="1">
      <c r="A71" s="100" t="str">
        <f>IF(priority(Main[[#This Row],[Comments]])&lt;&gt;0, priority(Main[[#This Row],[Comments]]),"")</f>
        <v/>
      </c>
      <c r="B71" s="77" t="s">
        <v>1081</v>
      </c>
      <c r="C71" s="65" t="s">
        <v>4</v>
      </c>
      <c r="D71" s="66" t="s">
        <v>124</v>
      </c>
      <c r="E71" s="67"/>
      <c r="F71" s="67"/>
      <c r="G71" s="64" t="str">
        <f>IF(stdProdLT(Main[[#This Row],[Comments]])=0.1,"N/A",IF(stdProdLT(Main[[#This Row],[Comments]])=0,"",stdProdLT(Main[[#This Row],[Comments]])))</f>
        <v/>
      </c>
      <c r="H71" s="68" t="str">
        <f>IF(AND(Main[[#This Row],[In Stock Date]]&lt;&gt;"",Main[[#This Row],[Revised Due Date]]&lt;&gt;""),Main[[#This Row],[In Stock Date]]-Main[[#This Row],[Revised Due Date]],"")</f>
        <v/>
      </c>
      <c r="I71" s="65" t="s">
        <v>4</v>
      </c>
      <c r="J71" s="65" t="s">
        <v>4</v>
      </c>
      <c r="K71" s="65" t="s">
        <v>4</v>
      </c>
      <c r="L71" s="67"/>
      <c r="M71" s="69" t="str">
        <f>IF(Main[[#This Row],[Tech Start Date]]&lt;1/1/1990,"",IF(Main[[#This Row],[Class]]="C",WORKDAY(Main[[#This Row],[Tech Start Date]],9),IF(Main[[#This Row],[Class]]="B", WORKDAY(Main[[#This Row],[Tech Start Date]],6),IF(Main[[#This Row],[Class]]="A",WORKDAY(Main[[#This Row],[Tech Start Date]],2),""))))</f>
        <v/>
      </c>
      <c r="N71" s="69" t="str">
        <f>IF(Main[[#This Row],[Tech Start Date]]&lt;1/1/1990,"",IF(Main[[#This Row],[Class]]="C",WORKDAY(Main[[#This Row],[Tech Start Date]],19),IF(Main[[#This Row],[Class]]="B", WORKDAY(Main[[#This Row],[Tech Start Date]],12),IF(Main[[#This Row],[Class]]="A",WORKDAY(Main[[#This Row],[Tech Start Date]],4),""))))</f>
        <v/>
      </c>
      <c r="O71" s="69" t="str">
        <f>IF(Main[[#This Row],[Tech Start Date]]&lt;1/1/1990,"",IF(Main[[#This Row],[Class]]="C",WORKDAY(Main[[#This Row],[Tech Start Date]],23),IF(Main[[#This Row],[Class]]="B", WORKDAY(Main[[#This Row],[Tech Start Date]],15),IF(Main[[#This Row],[Class]]="A",WORKDAY(Main[[#This Row],[Tech Start Date]],5),""))))</f>
        <v/>
      </c>
      <c r="P71" s="69" t="str">
        <f>IF(Main[[#This Row],[Tech Start Date]]&lt;1/1/1990,"",IF(Main[[#This Row],[Class]]="C",WORKDAY(Main[[#This Row],[Tech Start Date]],28),IF(Main[[#This Row],[Class]]="B", WORKDAY(Main[[#This Row],[Tech Start Date]],19),IF(Main[[#This Row],[Class]]="A",WORKDAY(Main[[#This Row],[Tech Start Date]],9),""))))</f>
        <v/>
      </c>
      <c r="Q71" s="67">
        <v>40613</v>
      </c>
      <c r="R71" s="67"/>
      <c r="S71" s="65" t="s">
        <v>6</v>
      </c>
      <c r="T71" s="70" t="s">
        <v>4</v>
      </c>
      <c r="U71" s="65" t="s">
        <v>12</v>
      </c>
      <c r="V71" s="65" t="s">
        <v>1914</v>
      </c>
      <c r="W71" s="65" t="s">
        <v>1928</v>
      </c>
      <c r="X71" s="65" t="s">
        <v>126</v>
      </c>
      <c r="Y71" s="65" t="s">
        <v>4</v>
      </c>
      <c r="Z71" s="65" t="s">
        <v>4</v>
      </c>
      <c r="AA71" s="65" t="s">
        <v>3389</v>
      </c>
    </row>
    <row r="72" spans="1:27" ht="17.45" hidden="1" customHeight="1">
      <c r="A72" s="100" t="str">
        <f>IF(priority(Main[[#This Row],[Comments]])&lt;&gt;0, priority(Main[[#This Row],[Comments]]),"")</f>
        <v/>
      </c>
      <c r="B72" s="77" t="s">
        <v>2175</v>
      </c>
      <c r="C72" s="65" t="s">
        <v>2176</v>
      </c>
      <c r="D72" s="66" t="s">
        <v>2177</v>
      </c>
      <c r="E72" s="67"/>
      <c r="F72" s="67">
        <v>40829</v>
      </c>
      <c r="G72" s="64" t="str">
        <f>IF(stdProdLT(Main[[#This Row],[Comments]])=0.1,"N/A",IF(stdProdLT(Main[[#This Row],[Comments]])=0,"",stdProdLT(Main[[#This Row],[Comments]])))</f>
        <v/>
      </c>
      <c r="H72" s="68" t="str">
        <f>IF(AND(Main[[#This Row],[In Stock Date]]&lt;&gt;"",Main[[#This Row],[Revised Due Date]]&lt;&gt;""),Main[[#This Row],[In Stock Date]]-Main[[#This Row],[Revised Due Date]],"")</f>
        <v/>
      </c>
      <c r="I72" s="65" t="s">
        <v>4</v>
      </c>
      <c r="J72" s="65" t="s">
        <v>4</v>
      </c>
      <c r="K72" s="65" t="s">
        <v>4</v>
      </c>
      <c r="L72" s="67"/>
      <c r="M72" s="69" t="str">
        <f>IF(Main[[#This Row],[Tech Start Date]]&lt;1/1/1990,"",IF(Main[[#This Row],[Class]]="C",WORKDAY(Main[[#This Row],[Tech Start Date]],9),IF(Main[[#This Row],[Class]]="B", WORKDAY(Main[[#This Row],[Tech Start Date]],6),IF(Main[[#This Row],[Class]]="A",WORKDAY(Main[[#This Row],[Tech Start Date]],2),""))))</f>
        <v/>
      </c>
      <c r="N72" s="69" t="str">
        <f>IF(Main[[#This Row],[Tech Start Date]]&lt;1/1/1990,"",IF(Main[[#This Row],[Class]]="C",WORKDAY(Main[[#This Row],[Tech Start Date]],19),IF(Main[[#This Row],[Class]]="B", WORKDAY(Main[[#This Row],[Tech Start Date]],12),IF(Main[[#This Row],[Class]]="A",WORKDAY(Main[[#This Row],[Tech Start Date]],4),""))))</f>
        <v/>
      </c>
      <c r="O72" s="69" t="str">
        <f>IF(Main[[#This Row],[Tech Start Date]]&lt;1/1/1990,"",IF(Main[[#This Row],[Class]]="C",WORKDAY(Main[[#This Row],[Tech Start Date]],23),IF(Main[[#This Row],[Class]]="B", WORKDAY(Main[[#This Row],[Tech Start Date]],15),IF(Main[[#This Row],[Class]]="A",WORKDAY(Main[[#This Row],[Tech Start Date]],5),""))))</f>
        <v/>
      </c>
      <c r="P72" s="69" t="str">
        <f>IF(Main[[#This Row],[Tech Start Date]]&lt;1/1/1990,"",IF(Main[[#This Row],[Class]]="C",WORKDAY(Main[[#This Row],[Tech Start Date]],28),IF(Main[[#This Row],[Class]]="B", WORKDAY(Main[[#This Row],[Tech Start Date]],19),IF(Main[[#This Row],[Class]]="A",WORKDAY(Main[[#This Row],[Tech Start Date]],9),""))))</f>
        <v/>
      </c>
      <c r="Q72" s="67">
        <v>40801</v>
      </c>
      <c r="R72" s="67"/>
      <c r="S72" s="65" t="s">
        <v>11</v>
      </c>
      <c r="T72" s="70" t="s">
        <v>4</v>
      </c>
      <c r="U72" s="65" t="s">
        <v>14</v>
      </c>
      <c r="V72" s="65" t="s">
        <v>1915</v>
      </c>
      <c r="W72" s="65" t="s">
        <v>1922</v>
      </c>
      <c r="X72" s="65" t="s">
        <v>2838</v>
      </c>
      <c r="Y72" s="65" t="s">
        <v>2968</v>
      </c>
      <c r="Z72" s="65" t="s">
        <v>4</v>
      </c>
      <c r="AA72" s="65" t="s">
        <v>2838</v>
      </c>
    </row>
    <row r="73" spans="1:27" ht="17.45" hidden="1" customHeight="1">
      <c r="A73" s="100" t="str">
        <f>IF(priority(Main[[#This Row],[Comments]])&lt;&gt;0, priority(Main[[#This Row],[Comments]]),"")</f>
        <v/>
      </c>
      <c r="B73" s="77" t="s">
        <v>2532</v>
      </c>
      <c r="C73" s="65" t="s">
        <v>4</v>
      </c>
      <c r="D73" s="66" t="s">
        <v>2533</v>
      </c>
      <c r="E73" s="67">
        <v>40855.624421296299</v>
      </c>
      <c r="F73" s="67"/>
      <c r="G73" s="64" t="str">
        <f>IF(stdProdLT(Main[[#This Row],[Comments]])=0.1,"N/A",IF(stdProdLT(Main[[#This Row],[Comments]])=0,"",stdProdLT(Main[[#This Row],[Comments]])))</f>
        <v/>
      </c>
      <c r="H73" s="68" t="str">
        <f>IF(AND(Main[[#This Row],[In Stock Date]]&lt;&gt;"",Main[[#This Row],[Revised Due Date]]&lt;&gt;""),Main[[#This Row],[In Stock Date]]-Main[[#This Row],[Revised Due Date]],"")</f>
        <v/>
      </c>
      <c r="I73" s="65" t="s">
        <v>81</v>
      </c>
      <c r="J73" s="65" t="s">
        <v>21</v>
      </c>
      <c r="K73" s="65" t="s">
        <v>4</v>
      </c>
      <c r="L73" s="67"/>
      <c r="M73" s="69" t="str">
        <f>IF(Main[[#This Row],[Tech Start Date]]&lt;1/1/1990,"",IF(Main[[#This Row],[Class]]="C",WORKDAY(Main[[#This Row],[Tech Start Date]],9),IF(Main[[#This Row],[Class]]="B", WORKDAY(Main[[#This Row],[Tech Start Date]],6),IF(Main[[#This Row],[Class]]="A",WORKDAY(Main[[#This Row],[Tech Start Date]],2),""))))</f>
        <v/>
      </c>
      <c r="N73" s="69" t="str">
        <f>IF(Main[[#This Row],[Tech Start Date]]&lt;1/1/1990,"",IF(Main[[#This Row],[Class]]="C",WORKDAY(Main[[#This Row],[Tech Start Date]],19),IF(Main[[#This Row],[Class]]="B", WORKDAY(Main[[#This Row],[Tech Start Date]],12),IF(Main[[#This Row],[Class]]="A",WORKDAY(Main[[#This Row],[Tech Start Date]],4),""))))</f>
        <v/>
      </c>
      <c r="O73" s="69" t="str">
        <f>IF(Main[[#This Row],[Tech Start Date]]&lt;1/1/1990,"",IF(Main[[#This Row],[Class]]="C",WORKDAY(Main[[#This Row],[Tech Start Date]],23),IF(Main[[#This Row],[Class]]="B", WORKDAY(Main[[#This Row],[Tech Start Date]],15),IF(Main[[#This Row],[Class]]="A",WORKDAY(Main[[#This Row],[Tech Start Date]],5),""))))</f>
        <v/>
      </c>
      <c r="P73" s="69" t="str">
        <f>IF(Main[[#This Row],[Tech Start Date]]&lt;1/1/1990,"",IF(Main[[#This Row],[Class]]="C",WORKDAY(Main[[#This Row],[Tech Start Date]],28),IF(Main[[#This Row],[Class]]="B", WORKDAY(Main[[#This Row],[Tech Start Date]],19),IF(Main[[#This Row],[Class]]="A",WORKDAY(Main[[#This Row],[Tech Start Date]],9),""))))</f>
        <v/>
      </c>
      <c r="Q73" s="67">
        <v>40908</v>
      </c>
      <c r="R73" s="67"/>
      <c r="S73" s="65" t="s">
        <v>6</v>
      </c>
      <c r="T73" s="70" t="s">
        <v>4</v>
      </c>
      <c r="U73" s="65" t="s">
        <v>29</v>
      </c>
      <c r="V73" s="65" t="s">
        <v>1924</v>
      </c>
      <c r="W73" s="65" t="s">
        <v>1919</v>
      </c>
      <c r="X73" s="65" t="s">
        <v>81</v>
      </c>
      <c r="Y73" s="65" t="s">
        <v>2969</v>
      </c>
      <c r="Z73" s="65" t="s">
        <v>81</v>
      </c>
      <c r="AA73" s="65" t="s">
        <v>81</v>
      </c>
    </row>
    <row r="74" spans="1:27" ht="17.45" hidden="1" customHeight="1">
      <c r="A74" s="100" t="str">
        <f>IF(priority(Main[[#This Row],[Comments]])&lt;&gt;0, priority(Main[[#This Row],[Comments]]),"")</f>
        <v/>
      </c>
      <c r="B74" s="77" t="s">
        <v>1073</v>
      </c>
      <c r="C74" s="65" t="s">
        <v>31</v>
      </c>
      <c r="D74" s="66" t="s">
        <v>115</v>
      </c>
      <c r="E74" s="67"/>
      <c r="F74" s="67"/>
      <c r="G74" s="64" t="str">
        <f>IF(stdProdLT(Main[[#This Row],[Comments]])=0.1,"N/A",IF(stdProdLT(Main[[#This Row],[Comments]])=0,"",stdProdLT(Main[[#This Row],[Comments]])))</f>
        <v/>
      </c>
      <c r="H74" s="68" t="str">
        <f>IF(AND(Main[[#This Row],[In Stock Date]]&lt;&gt;"",Main[[#This Row],[Revised Due Date]]&lt;&gt;""),Main[[#This Row],[In Stock Date]]-Main[[#This Row],[Revised Due Date]],"")</f>
        <v/>
      </c>
      <c r="I74" s="65" t="s">
        <v>4</v>
      </c>
      <c r="J74" s="65" t="s">
        <v>4</v>
      </c>
      <c r="K74" s="65" t="s">
        <v>4</v>
      </c>
      <c r="L74" s="67"/>
      <c r="M74" s="69" t="str">
        <f>IF(Main[[#This Row],[Tech Start Date]]&lt;1/1/1990,"",IF(Main[[#This Row],[Class]]="C",WORKDAY(Main[[#This Row],[Tech Start Date]],9),IF(Main[[#This Row],[Class]]="B", WORKDAY(Main[[#This Row],[Tech Start Date]],6),IF(Main[[#This Row],[Class]]="A",WORKDAY(Main[[#This Row],[Tech Start Date]],2),""))))</f>
        <v/>
      </c>
      <c r="N74" s="69" t="str">
        <f>IF(Main[[#This Row],[Tech Start Date]]&lt;1/1/1990,"",IF(Main[[#This Row],[Class]]="C",WORKDAY(Main[[#This Row],[Tech Start Date]],19),IF(Main[[#This Row],[Class]]="B", WORKDAY(Main[[#This Row],[Tech Start Date]],12),IF(Main[[#This Row],[Class]]="A",WORKDAY(Main[[#This Row],[Tech Start Date]],4),""))))</f>
        <v/>
      </c>
      <c r="O74" s="69" t="str">
        <f>IF(Main[[#This Row],[Tech Start Date]]&lt;1/1/1990,"",IF(Main[[#This Row],[Class]]="C",WORKDAY(Main[[#This Row],[Tech Start Date]],23),IF(Main[[#This Row],[Class]]="B", WORKDAY(Main[[#This Row],[Tech Start Date]],15),IF(Main[[#This Row],[Class]]="A",WORKDAY(Main[[#This Row],[Tech Start Date]],5),""))))</f>
        <v/>
      </c>
      <c r="P74" s="69" t="str">
        <f>IF(Main[[#This Row],[Tech Start Date]]&lt;1/1/1990,"",IF(Main[[#This Row],[Class]]="C",WORKDAY(Main[[#This Row],[Tech Start Date]],28),IF(Main[[#This Row],[Class]]="B", WORKDAY(Main[[#This Row],[Tech Start Date]],19),IF(Main[[#This Row],[Class]]="A",WORKDAY(Main[[#This Row],[Tech Start Date]],9),""))))</f>
        <v/>
      </c>
      <c r="Q74" s="67">
        <v>40318</v>
      </c>
      <c r="R74" s="67"/>
      <c r="S74" s="65" t="s">
        <v>11</v>
      </c>
      <c r="T74" s="70" t="s">
        <v>4</v>
      </c>
      <c r="U74" s="65" t="s">
        <v>14</v>
      </c>
      <c r="V74" s="65" t="s">
        <v>1917</v>
      </c>
      <c r="W74" s="65" t="s">
        <v>1916</v>
      </c>
      <c r="X74" s="65" t="s">
        <v>2830</v>
      </c>
      <c r="Y74" s="65" t="s">
        <v>4</v>
      </c>
      <c r="Z74" s="65" t="s">
        <v>4</v>
      </c>
      <c r="AA74" s="65" t="s">
        <v>2830</v>
      </c>
    </row>
    <row r="75" spans="1:27" ht="17.45" hidden="1" customHeight="1">
      <c r="A75" s="100">
        <f>IF(priority(Main[[#This Row],[Comments]])&lt;&gt;0, priority(Main[[#This Row],[Comments]]),"")</f>
        <v>32</v>
      </c>
      <c r="B75" s="77" t="s">
        <v>1074</v>
      </c>
      <c r="C75" s="65" t="s">
        <v>116</v>
      </c>
      <c r="D75" s="66" t="s">
        <v>117</v>
      </c>
      <c r="E75" s="67"/>
      <c r="F75" s="67"/>
      <c r="G75" s="64" t="str">
        <f>IF(stdProdLT(Main[[#This Row],[Comments]])=0.1,"N/A",IF(stdProdLT(Main[[#This Row],[Comments]])=0,"",stdProdLT(Main[[#This Row],[Comments]])))</f>
        <v/>
      </c>
      <c r="H75" s="68" t="str">
        <f>IF(AND(Main[[#This Row],[In Stock Date]]&lt;&gt;"",Main[[#This Row],[Revised Due Date]]&lt;&gt;""),Main[[#This Row],[In Stock Date]]-Main[[#This Row],[Revised Due Date]],"")</f>
        <v/>
      </c>
      <c r="I75" s="65" t="s">
        <v>4</v>
      </c>
      <c r="J75" s="65" t="s">
        <v>4</v>
      </c>
      <c r="K75" s="65" t="s">
        <v>4</v>
      </c>
      <c r="L75" s="67"/>
      <c r="M75" s="69" t="str">
        <f>IF(Main[[#This Row],[Tech Start Date]]&lt;1/1/1990,"",IF(Main[[#This Row],[Class]]="C",WORKDAY(Main[[#This Row],[Tech Start Date]],9),IF(Main[[#This Row],[Class]]="B", WORKDAY(Main[[#This Row],[Tech Start Date]],6),IF(Main[[#This Row],[Class]]="A",WORKDAY(Main[[#This Row],[Tech Start Date]],2),""))))</f>
        <v/>
      </c>
      <c r="N75" s="69" t="str">
        <f>IF(Main[[#This Row],[Tech Start Date]]&lt;1/1/1990,"",IF(Main[[#This Row],[Class]]="C",WORKDAY(Main[[#This Row],[Tech Start Date]],19),IF(Main[[#This Row],[Class]]="B", WORKDAY(Main[[#This Row],[Tech Start Date]],12),IF(Main[[#This Row],[Class]]="A",WORKDAY(Main[[#This Row],[Tech Start Date]],4),""))))</f>
        <v/>
      </c>
      <c r="O75" s="69" t="str">
        <f>IF(Main[[#This Row],[Tech Start Date]]&lt;1/1/1990,"",IF(Main[[#This Row],[Class]]="C",WORKDAY(Main[[#This Row],[Tech Start Date]],23),IF(Main[[#This Row],[Class]]="B", WORKDAY(Main[[#This Row],[Tech Start Date]],15),IF(Main[[#This Row],[Class]]="A",WORKDAY(Main[[#This Row],[Tech Start Date]],5),""))))</f>
        <v/>
      </c>
      <c r="P75" s="69" t="str">
        <f>IF(Main[[#This Row],[Tech Start Date]]&lt;1/1/1990,"",IF(Main[[#This Row],[Class]]="C",WORKDAY(Main[[#This Row],[Tech Start Date]],28),IF(Main[[#This Row],[Class]]="B", WORKDAY(Main[[#This Row],[Tech Start Date]],19),IF(Main[[#This Row],[Class]]="A",WORKDAY(Main[[#This Row],[Tech Start Date]],9),""))))</f>
        <v/>
      </c>
      <c r="Q75" s="67">
        <v>40786</v>
      </c>
      <c r="R75" s="67"/>
      <c r="S75" s="65" t="s">
        <v>11</v>
      </c>
      <c r="T75" s="70" t="s">
        <v>118</v>
      </c>
      <c r="U75" s="65" t="s">
        <v>14</v>
      </c>
      <c r="V75" s="65" t="s">
        <v>1914</v>
      </c>
      <c r="W75" s="65" t="s">
        <v>1919</v>
      </c>
      <c r="X75" s="65" t="s">
        <v>2839</v>
      </c>
      <c r="Y75" s="65" t="s">
        <v>2970</v>
      </c>
      <c r="Z75" s="65" t="s">
        <v>4</v>
      </c>
      <c r="AA75" s="65" t="s">
        <v>2839</v>
      </c>
    </row>
    <row r="76" spans="1:27" ht="17.45" hidden="1" customHeight="1">
      <c r="A76" s="100" t="str">
        <f>IF(priority(Main[[#This Row],[Comments]])&lt;&gt;0, priority(Main[[#This Row],[Comments]]),"")</f>
        <v/>
      </c>
      <c r="B76" s="77" t="s">
        <v>2328</v>
      </c>
      <c r="C76" s="65" t="s">
        <v>31</v>
      </c>
      <c r="D76" s="66" t="s">
        <v>2329</v>
      </c>
      <c r="E76" s="67"/>
      <c r="F76" s="67">
        <v>41000</v>
      </c>
      <c r="G76" s="64">
        <f>IF(stdProdLT(Main[[#This Row],[Comments]])=0.1,"N/A",IF(stdProdLT(Main[[#This Row],[Comments]])=0,"",stdProdLT(Main[[#This Row],[Comments]])))</f>
        <v>140</v>
      </c>
      <c r="H76" s="68" t="str">
        <f>IF(AND(Main[[#This Row],[In Stock Date]]&lt;&gt;"",Main[[#This Row],[Revised Due Date]]&lt;&gt;""),Main[[#This Row],[In Stock Date]]-Main[[#This Row],[Revised Due Date]],"")</f>
        <v/>
      </c>
      <c r="I76" s="65" t="s">
        <v>4</v>
      </c>
      <c r="J76" s="65" t="s">
        <v>4</v>
      </c>
      <c r="K76" s="65" t="s">
        <v>4</v>
      </c>
      <c r="L76" s="67"/>
      <c r="M76" s="69" t="str">
        <f>IF(Main[[#This Row],[Tech Start Date]]&lt;1/1/1990,"",IF(Main[[#This Row],[Class]]="C",WORKDAY(Main[[#This Row],[Tech Start Date]],9),IF(Main[[#This Row],[Class]]="B", WORKDAY(Main[[#This Row],[Tech Start Date]],6),IF(Main[[#This Row],[Class]]="A",WORKDAY(Main[[#This Row],[Tech Start Date]],2),""))))</f>
        <v/>
      </c>
      <c r="N76" s="69" t="str">
        <f>IF(Main[[#This Row],[Tech Start Date]]&lt;1/1/1990,"",IF(Main[[#This Row],[Class]]="C",WORKDAY(Main[[#This Row],[Tech Start Date]],19),IF(Main[[#This Row],[Class]]="B", WORKDAY(Main[[#This Row],[Tech Start Date]],12),IF(Main[[#This Row],[Class]]="A",WORKDAY(Main[[#This Row],[Tech Start Date]],4),""))))</f>
        <v/>
      </c>
      <c r="O76" s="69" t="str">
        <f>IF(Main[[#This Row],[Tech Start Date]]&lt;1/1/1990,"",IF(Main[[#This Row],[Class]]="C",WORKDAY(Main[[#This Row],[Tech Start Date]],23),IF(Main[[#This Row],[Class]]="B", WORKDAY(Main[[#This Row],[Tech Start Date]],15),IF(Main[[#This Row],[Class]]="A",WORKDAY(Main[[#This Row],[Tech Start Date]],5),""))))</f>
        <v/>
      </c>
      <c r="P76" s="69" t="str">
        <f>IF(Main[[#This Row],[Tech Start Date]]&lt;1/1/1990,"",IF(Main[[#This Row],[Class]]="C",WORKDAY(Main[[#This Row],[Tech Start Date]],28),IF(Main[[#This Row],[Class]]="B", WORKDAY(Main[[#This Row],[Tech Start Date]],19),IF(Main[[#This Row],[Class]]="A",WORKDAY(Main[[#This Row],[Tech Start Date]],9),""))))</f>
        <v/>
      </c>
      <c r="Q76" s="67">
        <v>40916</v>
      </c>
      <c r="R76" s="67"/>
      <c r="S76" s="65" t="s">
        <v>11</v>
      </c>
      <c r="T76" s="70" t="s">
        <v>2330</v>
      </c>
      <c r="U76" s="65" t="s">
        <v>14</v>
      </c>
      <c r="V76" s="65" t="s">
        <v>1924</v>
      </c>
      <c r="W76" s="65" t="s">
        <v>1920</v>
      </c>
      <c r="X76" s="65" t="s">
        <v>2840</v>
      </c>
      <c r="Y76" s="65" t="s">
        <v>4</v>
      </c>
      <c r="Z76" s="65" t="s">
        <v>4</v>
      </c>
      <c r="AA76" s="65" t="s">
        <v>2840</v>
      </c>
    </row>
    <row r="77" spans="1:27" ht="17.45" hidden="1" customHeight="1">
      <c r="A77" s="100" t="str">
        <f>IF(priority(Main[[#This Row],[Comments]])&lt;&gt;0, priority(Main[[#This Row],[Comments]]),"")</f>
        <v/>
      </c>
      <c r="B77" s="77" t="s">
        <v>2009</v>
      </c>
      <c r="C77" s="65" t="s">
        <v>4</v>
      </c>
      <c r="D77" s="66" t="s">
        <v>2010</v>
      </c>
      <c r="E77" s="67"/>
      <c r="F77" s="67"/>
      <c r="G77" s="64" t="str">
        <f>IF(stdProdLT(Main[[#This Row],[Comments]])=0.1,"N/A",IF(stdProdLT(Main[[#This Row],[Comments]])=0,"",stdProdLT(Main[[#This Row],[Comments]])))</f>
        <v/>
      </c>
      <c r="H77" s="68" t="str">
        <f>IF(AND(Main[[#This Row],[In Stock Date]]&lt;&gt;"",Main[[#This Row],[Revised Due Date]]&lt;&gt;""),Main[[#This Row],[In Stock Date]]-Main[[#This Row],[Revised Due Date]],"")</f>
        <v/>
      </c>
      <c r="I77" s="65" t="s">
        <v>4</v>
      </c>
      <c r="J77" s="65" t="s">
        <v>4</v>
      </c>
      <c r="K77" s="65" t="s">
        <v>4</v>
      </c>
      <c r="L77" s="67"/>
      <c r="M77" s="69" t="str">
        <f>IF(Main[[#This Row],[Tech Start Date]]&lt;1/1/1990,"",IF(Main[[#This Row],[Class]]="C",WORKDAY(Main[[#This Row],[Tech Start Date]],9),IF(Main[[#This Row],[Class]]="B", WORKDAY(Main[[#This Row],[Tech Start Date]],6),IF(Main[[#This Row],[Class]]="A",WORKDAY(Main[[#This Row],[Tech Start Date]],2),""))))</f>
        <v/>
      </c>
      <c r="N77" s="69" t="str">
        <f>IF(Main[[#This Row],[Tech Start Date]]&lt;1/1/1990,"",IF(Main[[#This Row],[Class]]="C",WORKDAY(Main[[#This Row],[Tech Start Date]],19),IF(Main[[#This Row],[Class]]="B", WORKDAY(Main[[#This Row],[Tech Start Date]],12),IF(Main[[#This Row],[Class]]="A",WORKDAY(Main[[#This Row],[Tech Start Date]],4),""))))</f>
        <v/>
      </c>
      <c r="O77" s="69" t="str">
        <f>IF(Main[[#This Row],[Tech Start Date]]&lt;1/1/1990,"",IF(Main[[#This Row],[Class]]="C",WORKDAY(Main[[#This Row],[Tech Start Date]],23),IF(Main[[#This Row],[Class]]="B", WORKDAY(Main[[#This Row],[Tech Start Date]],15),IF(Main[[#This Row],[Class]]="A",WORKDAY(Main[[#This Row],[Tech Start Date]],5),""))))</f>
        <v/>
      </c>
      <c r="P77" s="69" t="str">
        <f>IF(Main[[#This Row],[Tech Start Date]]&lt;1/1/1990,"",IF(Main[[#This Row],[Class]]="C",WORKDAY(Main[[#This Row],[Tech Start Date]],28),IF(Main[[#This Row],[Class]]="B", WORKDAY(Main[[#This Row],[Tech Start Date]],19),IF(Main[[#This Row],[Class]]="A",WORKDAY(Main[[#This Row],[Tech Start Date]],9),""))))</f>
        <v/>
      </c>
      <c r="Q77" s="67"/>
      <c r="R77" s="67"/>
      <c r="S77" s="65" t="s">
        <v>4</v>
      </c>
      <c r="T77" s="70" t="s">
        <v>4</v>
      </c>
      <c r="U77" s="65" t="s">
        <v>14</v>
      </c>
      <c r="V77" s="65" t="s">
        <v>1917</v>
      </c>
      <c r="W77" s="65" t="s">
        <v>1916</v>
      </c>
      <c r="X77" s="65" t="s">
        <v>2841</v>
      </c>
      <c r="Y77" s="65" t="s">
        <v>2971</v>
      </c>
      <c r="Z77" s="65" t="s">
        <v>4</v>
      </c>
      <c r="AA77" s="65" t="s">
        <v>2841</v>
      </c>
    </row>
    <row r="78" spans="1:27" ht="17.45" hidden="1" customHeight="1">
      <c r="A78" s="100" t="str">
        <f>IF(priority(Main[[#This Row],[Comments]])&lt;&gt;0, priority(Main[[#This Row],[Comments]]),"")</f>
        <v/>
      </c>
      <c r="B78" s="77" t="s">
        <v>1075</v>
      </c>
      <c r="C78" s="65" t="s">
        <v>42</v>
      </c>
      <c r="D78" s="66" t="s">
        <v>119</v>
      </c>
      <c r="E78" s="67"/>
      <c r="F78" s="67"/>
      <c r="G78" s="64" t="str">
        <f>IF(stdProdLT(Main[[#This Row],[Comments]])=0.1,"N/A",IF(stdProdLT(Main[[#This Row],[Comments]])=0,"",stdProdLT(Main[[#This Row],[Comments]])))</f>
        <v/>
      </c>
      <c r="H78" s="68" t="str">
        <f>IF(AND(Main[[#This Row],[In Stock Date]]&lt;&gt;"",Main[[#This Row],[Revised Due Date]]&lt;&gt;""),Main[[#This Row],[In Stock Date]]-Main[[#This Row],[Revised Due Date]],"")</f>
        <v/>
      </c>
      <c r="I78" s="65" t="s">
        <v>4</v>
      </c>
      <c r="J78" s="65" t="s">
        <v>4</v>
      </c>
      <c r="K78" s="65" t="s">
        <v>4</v>
      </c>
      <c r="L78" s="67"/>
      <c r="M78" s="69" t="str">
        <f>IF(Main[[#This Row],[Tech Start Date]]&lt;1/1/1990,"",IF(Main[[#This Row],[Class]]="C",WORKDAY(Main[[#This Row],[Tech Start Date]],9),IF(Main[[#This Row],[Class]]="B", WORKDAY(Main[[#This Row],[Tech Start Date]],6),IF(Main[[#This Row],[Class]]="A",WORKDAY(Main[[#This Row],[Tech Start Date]],2),""))))</f>
        <v/>
      </c>
      <c r="N78" s="69" t="str">
        <f>IF(Main[[#This Row],[Tech Start Date]]&lt;1/1/1990,"",IF(Main[[#This Row],[Class]]="C",WORKDAY(Main[[#This Row],[Tech Start Date]],19),IF(Main[[#This Row],[Class]]="B", WORKDAY(Main[[#This Row],[Tech Start Date]],12),IF(Main[[#This Row],[Class]]="A",WORKDAY(Main[[#This Row],[Tech Start Date]],4),""))))</f>
        <v/>
      </c>
      <c r="O78" s="69" t="str">
        <f>IF(Main[[#This Row],[Tech Start Date]]&lt;1/1/1990,"",IF(Main[[#This Row],[Class]]="C",WORKDAY(Main[[#This Row],[Tech Start Date]],23),IF(Main[[#This Row],[Class]]="B", WORKDAY(Main[[#This Row],[Tech Start Date]],15),IF(Main[[#This Row],[Class]]="A",WORKDAY(Main[[#This Row],[Tech Start Date]],5),""))))</f>
        <v/>
      </c>
      <c r="P78" s="69" t="str">
        <f>IF(Main[[#This Row],[Tech Start Date]]&lt;1/1/1990,"",IF(Main[[#This Row],[Class]]="C",WORKDAY(Main[[#This Row],[Tech Start Date]],28),IF(Main[[#This Row],[Class]]="B", WORKDAY(Main[[#This Row],[Tech Start Date]],19),IF(Main[[#This Row],[Class]]="A",WORKDAY(Main[[#This Row],[Tech Start Date]],9),""))))</f>
        <v/>
      </c>
      <c r="Q78" s="67"/>
      <c r="R78" s="67"/>
      <c r="S78" s="65" t="s">
        <v>11</v>
      </c>
      <c r="T78" s="70" t="s">
        <v>4</v>
      </c>
      <c r="U78" s="65" t="s">
        <v>14</v>
      </c>
      <c r="V78" s="65" t="s">
        <v>1915</v>
      </c>
      <c r="W78" s="65" t="s">
        <v>1922</v>
      </c>
      <c r="X78" s="65" t="s">
        <v>399</v>
      </c>
      <c r="Y78" s="65" t="s">
        <v>2948</v>
      </c>
      <c r="Z78" s="65" t="s">
        <v>4</v>
      </c>
      <c r="AA78" s="65" t="s">
        <v>399</v>
      </c>
    </row>
    <row r="79" spans="1:27" ht="17.45" hidden="1" customHeight="1">
      <c r="A79" s="100" t="str">
        <f>IF(priority(Main[[#This Row],[Comments]])&lt;&gt;0, priority(Main[[#This Row],[Comments]]),"")</f>
        <v/>
      </c>
      <c r="B79" s="77" t="s">
        <v>1487</v>
      </c>
      <c r="C79" s="65" t="s">
        <v>4</v>
      </c>
      <c r="D79" s="66" t="s">
        <v>571</v>
      </c>
      <c r="E79" s="67">
        <v>40422.460902777777</v>
      </c>
      <c r="F79" s="67"/>
      <c r="G79" s="64" t="str">
        <f>IF(stdProdLT(Main[[#This Row],[Comments]])=0.1,"N/A",IF(stdProdLT(Main[[#This Row],[Comments]])=0,"",stdProdLT(Main[[#This Row],[Comments]])))</f>
        <v/>
      </c>
      <c r="H79" s="68" t="str">
        <f>IF(AND(Main[[#This Row],[In Stock Date]]&lt;&gt;"",Main[[#This Row],[Revised Due Date]]&lt;&gt;""),Main[[#This Row],[In Stock Date]]-Main[[#This Row],[Revised Due Date]],"")</f>
        <v/>
      </c>
      <c r="I79" s="65" t="s">
        <v>4</v>
      </c>
      <c r="J79" s="65" t="s">
        <v>28</v>
      </c>
      <c r="K79" s="65" t="s">
        <v>4</v>
      </c>
      <c r="L79" s="67"/>
      <c r="M79" s="69" t="str">
        <f>IF(Main[[#This Row],[Tech Start Date]]&lt;1/1/1990,"",IF(Main[[#This Row],[Class]]="C",WORKDAY(Main[[#This Row],[Tech Start Date]],9),IF(Main[[#This Row],[Class]]="B", WORKDAY(Main[[#This Row],[Tech Start Date]],6),IF(Main[[#This Row],[Class]]="A",WORKDAY(Main[[#This Row],[Tech Start Date]],2),""))))</f>
        <v/>
      </c>
      <c r="N79" s="69" t="str">
        <f>IF(Main[[#This Row],[Tech Start Date]]&lt;1/1/1990,"",IF(Main[[#This Row],[Class]]="C",WORKDAY(Main[[#This Row],[Tech Start Date]],19),IF(Main[[#This Row],[Class]]="B", WORKDAY(Main[[#This Row],[Tech Start Date]],12),IF(Main[[#This Row],[Class]]="A",WORKDAY(Main[[#This Row],[Tech Start Date]],4),""))))</f>
        <v/>
      </c>
      <c r="O79" s="69" t="str">
        <f>IF(Main[[#This Row],[Tech Start Date]]&lt;1/1/1990,"",IF(Main[[#This Row],[Class]]="C",WORKDAY(Main[[#This Row],[Tech Start Date]],23),IF(Main[[#This Row],[Class]]="B", WORKDAY(Main[[#This Row],[Tech Start Date]],15),IF(Main[[#This Row],[Class]]="A",WORKDAY(Main[[#This Row],[Tech Start Date]],5),""))))</f>
        <v/>
      </c>
      <c r="P79" s="69" t="str">
        <f>IF(Main[[#This Row],[Tech Start Date]]&lt;1/1/1990,"",IF(Main[[#This Row],[Class]]="C",WORKDAY(Main[[#This Row],[Tech Start Date]],28),IF(Main[[#This Row],[Class]]="B", WORKDAY(Main[[#This Row],[Tech Start Date]],19),IF(Main[[#This Row],[Class]]="A",WORKDAY(Main[[#This Row],[Tech Start Date]],9),""))))</f>
        <v/>
      </c>
      <c r="Q79" s="67"/>
      <c r="R79" s="67"/>
      <c r="S79" s="65" t="s">
        <v>6</v>
      </c>
      <c r="T79" s="70" t="s">
        <v>4</v>
      </c>
      <c r="U79" s="65" t="s">
        <v>29</v>
      </c>
      <c r="V79" s="65" t="s">
        <v>1914</v>
      </c>
      <c r="W79" s="65" t="s">
        <v>1922</v>
      </c>
      <c r="X79" s="65" t="s">
        <v>2052</v>
      </c>
      <c r="Y79" s="65" t="s">
        <v>2972</v>
      </c>
      <c r="Z79" s="65" t="s">
        <v>129</v>
      </c>
      <c r="AA79" s="65" t="s">
        <v>2052</v>
      </c>
    </row>
    <row r="80" spans="1:27" ht="17.45" hidden="1" customHeight="1">
      <c r="A80" s="100" t="str">
        <f>IF(priority(Main[[#This Row],[Comments]])&lt;&gt;0, priority(Main[[#This Row],[Comments]]),"")</f>
        <v/>
      </c>
      <c r="B80" s="77" t="s">
        <v>2057</v>
      </c>
      <c r="C80" s="65" t="s">
        <v>4</v>
      </c>
      <c r="D80" s="66" t="s">
        <v>2058</v>
      </c>
      <c r="E80" s="67"/>
      <c r="F80" s="67"/>
      <c r="G80" s="64" t="str">
        <f>IF(stdProdLT(Main[[#This Row],[Comments]])=0.1,"N/A",IF(stdProdLT(Main[[#This Row],[Comments]])=0,"",stdProdLT(Main[[#This Row],[Comments]])))</f>
        <v/>
      </c>
      <c r="H80" s="68" t="str">
        <f>IF(AND(Main[[#This Row],[In Stock Date]]&lt;&gt;"",Main[[#This Row],[Revised Due Date]]&lt;&gt;""),Main[[#This Row],[In Stock Date]]-Main[[#This Row],[Revised Due Date]],"")</f>
        <v/>
      </c>
      <c r="I80" s="65" t="s">
        <v>429</v>
      </c>
      <c r="J80" s="65" t="s">
        <v>70</v>
      </c>
      <c r="K80" s="65" t="s">
        <v>1923</v>
      </c>
      <c r="L80" s="67"/>
      <c r="M80" s="69" t="str">
        <f>IF(Main[[#This Row],[Tech Start Date]]&lt;1/1/1990,"",IF(Main[[#This Row],[Class]]="C",WORKDAY(Main[[#This Row],[Tech Start Date]],9),IF(Main[[#This Row],[Class]]="B", WORKDAY(Main[[#This Row],[Tech Start Date]],6),IF(Main[[#This Row],[Class]]="A",WORKDAY(Main[[#This Row],[Tech Start Date]],2),""))))</f>
        <v/>
      </c>
      <c r="N80" s="69" t="str">
        <f>IF(Main[[#This Row],[Tech Start Date]]&lt;1/1/1990,"",IF(Main[[#This Row],[Class]]="C",WORKDAY(Main[[#This Row],[Tech Start Date]],19),IF(Main[[#This Row],[Class]]="B", WORKDAY(Main[[#This Row],[Tech Start Date]],12),IF(Main[[#This Row],[Class]]="A",WORKDAY(Main[[#This Row],[Tech Start Date]],4),""))))</f>
        <v/>
      </c>
      <c r="O80" s="69" t="str">
        <f>IF(Main[[#This Row],[Tech Start Date]]&lt;1/1/1990,"",IF(Main[[#This Row],[Class]]="C",WORKDAY(Main[[#This Row],[Tech Start Date]],23),IF(Main[[#This Row],[Class]]="B", WORKDAY(Main[[#This Row],[Tech Start Date]],15),IF(Main[[#This Row],[Class]]="A",WORKDAY(Main[[#This Row],[Tech Start Date]],5),""))))</f>
        <v/>
      </c>
      <c r="P80" s="69" t="str">
        <f>IF(Main[[#This Row],[Tech Start Date]]&lt;1/1/1990,"",IF(Main[[#This Row],[Class]]="C",WORKDAY(Main[[#This Row],[Tech Start Date]],28),IF(Main[[#This Row],[Class]]="B", WORKDAY(Main[[#This Row],[Tech Start Date]],19),IF(Main[[#This Row],[Class]]="A",WORKDAY(Main[[#This Row],[Tech Start Date]],9),""))))</f>
        <v/>
      </c>
      <c r="Q80" s="67">
        <v>40786</v>
      </c>
      <c r="R80" s="67"/>
      <c r="S80" s="65" t="s">
        <v>6</v>
      </c>
      <c r="T80" s="70" t="s">
        <v>4</v>
      </c>
      <c r="U80" s="65" t="s">
        <v>14</v>
      </c>
      <c r="V80" s="65" t="s">
        <v>1917</v>
      </c>
      <c r="W80" s="65" t="s">
        <v>1918</v>
      </c>
      <c r="X80" s="65" t="s">
        <v>30</v>
      </c>
      <c r="Y80" s="65" t="s">
        <v>2973</v>
      </c>
      <c r="Z80" s="65" t="s">
        <v>44</v>
      </c>
      <c r="AA80" s="65" t="s">
        <v>3390</v>
      </c>
    </row>
    <row r="81" spans="1:27" ht="17.45" hidden="1" customHeight="1">
      <c r="A81" s="100" t="str">
        <f>IF(priority(Main[[#This Row],[Comments]])&lt;&gt;0, priority(Main[[#This Row],[Comments]]),"")</f>
        <v/>
      </c>
      <c r="B81" s="77" t="s">
        <v>1446</v>
      </c>
      <c r="C81" s="65" t="s">
        <v>4</v>
      </c>
      <c r="D81" s="66" t="s">
        <v>2298</v>
      </c>
      <c r="E81" s="67"/>
      <c r="F81" s="67"/>
      <c r="G81" s="64" t="str">
        <f>IF(stdProdLT(Main[[#This Row],[Comments]])=0.1,"N/A",IF(stdProdLT(Main[[#This Row],[Comments]])=0,"",stdProdLT(Main[[#This Row],[Comments]])))</f>
        <v/>
      </c>
      <c r="H81" s="68" t="str">
        <f>IF(AND(Main[[#This Row],[In Stock Date]]&lt;&gt;"",Main[[#This Row],[Revised Due Date]]&lt;&gt;""),Main[[#This Row],[In Stock Date]]-Main[[#This Row],[Revised Due Date]],"")</f>
        <v/>
      </c>
      <c r="I81" s="65" t="s">
        <v>30</v>
      </c>
      <c r="J81" s="65" t="s">
        <v>28</v>
      </c>
      <c r="K81" s="65" t="s">
        <v>1923</v>
      </c>
      <c r="L81" s="67"/>
      <c r="M81" s="69" t="str">
        <f>IF(Main[[#This Row],[Tech Start Date]]&lt;1/1/1990,"",IF(Main[[#This Row],[Class]]="C",WORKDAY(Main[[#This Row],[Tech Start Date]],9),IF(Main[[#This Row],[Class]]="B", WORKDAY(Main[[#This Row],[Tech Start Date]],6),IF(Main[[#This Row],[Class]]="A",WORKDAY(Main[[#This Row],[Tech Start Date]],2),""))))</f>
        <v/>
      </c>
      <c r="N81" s="69" t="str">
        <f>IF(Main[[#This Row],[Tech Start Date]]&lt;1/1/1990,"",IF(Main[[#This Row],[Class]]="C",WORKDAY(Main[[#This Row],[Tech Start Date]],19),IF(Main[[#This Row],[Class]]="B", WORKDAY(Main[[#This Row],[Tech Start Date]],12),IF(Main[[#This Row],[Class]]="A",WORKDAY(Main[[#This Row],[Tech Start Date]],4),""))))</f>
        <v/>
      </c>
      <c r="O81" s="69" t="str">
        <f>IF(Main[[#This Row],[Tech Start Date]]&lt;1/1/1990,"",IF(Main[[#This Row],[Class]]="C",WORKDAY(Main[[#This Row],[Tech Start Date]],23),IF(Main[[#This Row],[Class]]="B", WORKDAY(Main[[#This Row],[Tech Start Date]],15),IF(Main[[#This Row],[Class]]="A",WORKDAY(Main[[#This Row],[Tech Start Date]],5),""))))</f>
        <v/>
      </c>
      <c r="P81" s="69" t="str">
        <f>IF(Main[[#This Row],[Tech Start Date]]&lt;1/1/1990,"",IF(Main[[#This Row],[Class]]="C",WORKDAY(Main[[#This Row],[Tech Start Date]],28),IF(Main[[#This Row],[Class]]="B", WORKDAY(Main[[#This Row],[Tech Start Date]],19),IF(Main[[#This Row],[Class]]="A",WORKDAY(Main[[#This Row],[Tech Start Date]],9),""))))</f>
        <v/>
      </c>
      <c r="Q81" s="67">
        <v>40606</v>
      </c>
      <c r="R81" s="67"/>
      <c r="S81" s="65" t="s">
        <v>6</v>
      </c>
      <c r="T81" s="70" t="s">
        <v>4</v>
      </c>
      <c r="U81" s="65" t="s">
        <v>14</v>
      </c>
      <c r="V81" s="65" t="s">
        <v>1917</v>
      </c>
      <c r="W81" s="65" t="s">
        <v>1918</v>
      </c>
      <c r="X81" s="65" t="s">
        <v>2836</v>
      </c>
      <c r="Y81" s="65" t="s">
        <v>2965</v>
      </c>
      <c r="Z81" s="65" t="s">
        <v>30</v>
      </c>
      <c r="AA81" s="65" t="s">
        <v>2836</v>
      </c>
    </row>
    <row r="82" spans="1:27" ht="17.45" hidden="1" customHeight="1">
      <c r="A82" s="100" t="str">
        <f>IF(priority(Main[[#This Row],[Comments]])&lt;&gt;0, priority(Main[[#This Row],[Comments]]),"")</f>
        <v/>
      </c>
      <c r="B82" s="77" t="s">
        <v>1079</v>
      </c>
      <c r="C82" s="65" t="s">
        <v>67</v>
      </c>
      <c r="D82" s="66" t="s">
        <v>121</v>
      </c>
      <c r="E82" s="67">
        <v>40707.647118055553</v>
      </c>
      <c r="F82" s="67"/>
      <c r="G82" s="64" t="str">
        <f>IF(stdProdLT(Main[[#This Row],[Comments]])=0.1,"N/A",IF(stdProdLT(Main[[#This Row],[Comments]])=0,"",stdProdLT(Main[[#This Row],[Comments]])))</f>
        <v/>
      </c>
      <c r="H82" s="68" t="str">
        <f>IF(AND(Main[[#This Row],[In Stock Date]]&lt;&gt;"",Main[[#This Row],[Revised Due Date]]&lt;&gt;""),Main[[#This Row],[In Stock Date]]-Main[[#This Row],[Revised Due Date]],"")</f>
        <v/>
      </c>
      <c r="I82" s="65" t="s">
        <v>4</v>
      </c>
      <c r="J82" s="65" t="s">
        <v>4</v>
      </c>
      <c r="K82" s="71" t="s">
        <v>4</v>
      </c>
      <c r="L82" s="67"/>
      <c r="M82" s="69" t="str">
        <f>IF(Main[[#This Row],[Tech Start Date]]&lt;1/1/1990,"",IF(Main[[#This Row],[Class]]="C",WORKDAY(Main[[#This Row],[Tech Start Date]],9),IF(Main[[#This Row],[Class]]="B", WORKDAY(Main[[#This Row],[Tech Start Date]],6),IF(Main[[#This Row],[Class]]="A",WORKDAY(Main[[#This Row],[Tech Start Date]],2),""))))</f>
        <v/>
      </c>
      <c r="N82" s="69" t="str">
        <f>IF(Main[[#This Row],[Tech Start Date]]&lt;1/1/1990,"",IF(Main[[#This Row],[Class]]="C",WORKDAY(Main[[#This Row],[Tech Start Date]],19),IF(Main[[#This Row],[Class]]="B", WORKDAY(Main[[#This Row],[Tech Start Date]],12),IF(Main[[#This Row],[Class]]="A",WORKDAY(Main[[#This Row],[Tech Start Date]],4),""))))</f>
        <v/>
      </c>
      <c r="O82" s="69" t="str">
        <f>IF(Main[[#This Row],[Tech Start Date]]&lt;1/1/1990,"",IF(Main[[#This Row],[Class]]="C",WORKDAY(Main[[#This Row],[Tech Start Date]],23),IF(Main[[#This Row],[Class]]="B", WORKDAY(Main[[#This Row],[Tech Start Date]],15),IF(Main[[#This Row],[Class]]="A",WORKDAY(Main[[#This Row],[Tech Start Date]],5),""))))</f>
        <v/>
      </c>
      <c r="P82" s="69" t="str">
        <f>IF(Main[[#This Row],[Tech Start Date]]&lt;1/1/1990,"",IF(Main[[#This Row],[Class]]="C",WORKDAY(Main[[#This Row],[Tech Start Date]],28),IF(Main[[#This Row],[Class]]="B", WORKDAY(Main[[#This Row],[Tech Start Date]],19),IF(Main[[#This Row],[Class]]="A",WORKDAY(Main[[#This Row],[Tech Start Date]],9),""))))</f>
        <v/>
      </c>
      <c r="Q82" s="67">
        <v>40755</v>
      </c>
      <c r="R82" s="67"/>
      <c r="S82" s="65" t="s">
        <v>17</v>
      </c>
      <c r="T82" s="70" t="s">
        <v>4</v>
      </c>
      <c r="U82" s="65" t="s">
        <v>7</v>
      </c>
      <c r="V82" s="65" t="s">
        <v>1917</v>
      </c>
      <c r="W82" s="65" t="s">
        <v>1919</v>
      </c>
      <c r="X82" s="65" t="s">
        <v>553</v>
      </c>
      <c r="Y82" s="65" t="s">
        <v>2952</v>
      </c>
      <c r="Z82" s="65" t="s">
        <v>4</v>
      </c>
      <c r="AA82" s="65" t="s">
        <v>553</v>
      </c>
    </row>
    <row r="83" spans="1:27" ht="17.45" hidden="1" customHeight="1">
      <c r="A83" s="100" t="str">
        <f>IF(priority(Main[[#This Row],[Comments]])&lt;&gt;0, priority(Main[[#This Row],[Comments]]),"")</f>
        <v/>
      </c>
      <c r="B83" s="77" t="s">
        <v>1077</v>
      </c>
      <c r="C83" s="65" t="s">
        <v>4</v>
      </c>
      <c r="D83" s="66" t="s">
        <v>120</v>
      </c>
      <c r="E83" s="67"/>
      <c r="F83" s="67"/>
      <c r="G83" s="64" t="str">
        <f>IF(stdProdLT(Main[[#This Row],[Comments]])=0.1,"N/A",IF(stdProdLT(Main[[#This Row],[Comments]])=0,"",stdProdLT(Main[[#This Row],[Comments]])))</f>
        <v/>
      </c>
      <c r="H83" s="68" t="str">
        <f>IF(AND(Main[[#This Row],[In Stock Date]]&lt;&gt;"",Main[[#This Row],[Revised Due Date]]&lt;&gt;""),Main[[#This Row],[In Stock Date]]-Main[[#This Row],[Revised Due Date]],"")</f>
        <v/>
      </c>
      <c r="I83" s="65" t="s">
        <v>4</v>
      </c>
      <c r="J83" s="65" t="s">
        <v>4</v>
      </c>
      <c r="K83" s="65" t="s">
        <v>4</v>
      </c>
      <c r="L83" s="67"/>
      <c r="M83" s="69" t="str">
        <f>IF(Main[[#This Row],[Tech Start Date]]&lt;1/1/1990,"",IF(Main[[#This Row],[Class]]="C",WORKDAY(Main[[#This Row],[Tech Start Date]],9),IF(Main[[#This Row],[Class]]="B", WORKDAY(Main[[#This Row],[Tech Start Date]],6),IF(Main[[#This Row],[Class]]="A",WORKDAY(Main[[#This Row],[Tech Start Date]],2),""))))</f>
        <v/>
      </c>
      <c r="N83" s="69" t="str">
        <f>IF(Main[[#This Row],[Tech Start Date]]&lt;1/1/1990,"",IF(Main[[#This Row],[Class]]="C",WORKDAY(Main[[#This Row],[Tech Start Date]],19),IF(Main[[#This Row],[Class]]="B", WORKDAY(Main[[#This Row],[Tech Start Date]],12),IF(Main[[#This Row],[Class]]="A",WORKDAY(Main[[#This Row],[Tech Start Date]],4),""))))</f>
        <v/>
      </c>
      <c r="O83" s="69" t="str">
        <f>IF(Main[[#This Row],[Tech Start Date]]&lt;1/1/1990,"",IF(Main[[#This Row],[Class]]="C",WORKDAY(Main[[#This Row],[Tech Start Date]],23),IF(Main[[#This Row],[Class]]="B", WORKDAY(Main[[#This Row],[Tech Start Date]],15),IF(Main[[#This Row],[Class]]="A",WORKDAY(Main[[#This Row],[Tech Start Date]],5),""))))</f>
        <v/>
      </c>
      <c r="P83" s="69" t="str">
        <f>IF(Main[[#This Row],[Tech Start Date]]&lt;1/1/1990,"",IF(Main[[#This Row],[Class]]="C",WORKDAY(Main[[#This Row],[Tech Start Date]],28),IF(Main[[#This Row],[Class]]="B", WORKDAY(Main[[#This Row],[Tech Start Date]],19),IF(Main[[#This Row],[Class]]="A",WORKDAY(Main[[#This Row],[Tech Start Date]],9),""))))</f>
        <v/>
      </c>
      <c r="Q83" s="67"/>
      <c r="R83" s="67"/>
      <c r="S83" s="65" t="s">
        <v>11</v>
      </c>
      <c r="T83" s="70" t="s">
        <v>4</v>
      </c>
      <c r="U83" s="65" t="s">
        <v>14</v>
      </c>
      <c r="V83" s="65" t="s">
        <v>1917</v>
      </c>
      <c r="W83" s="65" t="s">
        <v>1928</v>
      </c>
      <c r="X83" s="65" t="s">
        <v>2842</v>
      </c>
      <c r="Y83" s="65" t="s">
        <v>2974</v>
      </c>
      <c r="Z83" s="65" t="s">
        <v>4</v>
      </c>
      <c r="AA83" s="65" t="s">
        <v>2842</v>
      </c>
    </row>
    <row r="84" spans="1:27" ht="17.45" hidden="1" customHeight="1">
      <c r="A84" s="100" t="str">
        <f>IF(priority(Main[[#This Row],[Comments]])&lt;&gt;0, priority(Main[[#This Row],[Comments]]),"")</f>
        <v/>
      </c>
      <c r="B84" s="77" t="s">
        <v>1039</v>
      </c>
      <c r="C84" s="65" t="s">
        <v>4</v>
      </c>
      <c r="D84" s="66" t="s">
        <v>62</v>
      </c>
      <c r="E84" s="67"/>
      <c r="F84" s="67"/>
      <c r="G84" s="64" t="str">
        <f>IF(stdProdLT(Main[[#This Row],[Comments]])=0.1,"N/A",IF(stdProdLT(Main[[#This Row],[Comments]])=0,"",stdProdLT(Main[[#This Row],[Comments]])))</f>
        <v/>
      </c>
      <c r="H84" s="68" t="str">
        <f>IF(AND(Main[[#This Row],[In Stock Date]]&lt;&gt;"",Main[[#This Row],[Revised Due Date]]&lt;&gt;""),Main[[#This Row],[In Stock Date]]-Main[[#This Row],[Revised Due Date]],"")</f>
        <v/>
      </c>
      <c r="I84" s="65" t="s">
        <v>44</v>
      </c>
      <c r="J84" s="65" t="s">
        <v>28</v>
      </c>
      <c r="K84" s="65" t="s">
        <v>1923</v>
      </c>
      <c r="L84" s="67"/>
      <c r="M84" s="69" t="str">
        <f>IF(Main[[#This Row],[Tech Start Date]]&lt;1/1/1990,"",IF(Main[[#This Row],[Class]]="C",WORKDAY(Main[[#This Row],[Tech Start Date]],9),IF(Main[[#This Row],[Class]]="B", WORKDAY(Main[[#This Row],[Tech Start Date]],6),IF(Main[[#This Row],[Class]]="A",WORKDAY(Main[[#This Row],[Tech Start Date]],2),""))))</f>
        <v/>
      </c>
      <c r="N84" s="69" t="str">
        <f>IF(Main[[#This Row],[Tech Start Date]]&lt;1/1/1990,"",IF(Main[[#This Row],[Class]]="C",WORKDAY(Main[[#This Row],[Tech Start Date]],19),IF(Main[[#This Row],[Class]]="B", WORKDAY(Main[[#This Row],[Tech Start Date]],12),IF(Main[[#This Row],[Class]]="A",WORKDAY(Main[[#This Row],[Tech Start Date]],4),""))))</f>
        <v/>
      </c>
      <c r="O84" s="69" t="str">
        <f>IF(Main[[#This Row],[Tech Start Date]]&lt;1/1/1990,"",IF(Main[[#This Row],[Class]]="C",WORKDAY(Main[[#This Row],[Tech Start Date]],23),IF(Main[[#This Row],[Class]]="B", WORKDAY(Main[[#This Row],[Tech Start Date]],15),IF(Main[[#This Row],[Class]]="A",WORKDAY(Main[[#This Row],[Tech Start Date]],5),""))))</f>
        <v/>
      </c>
      <c r="P84" s="69" t="str">
        <f>IF(Main[[#This Row],[Tech Start Date]]&lt;1/1/1990,"",IF(Main[[#This Row],[Class]]="C",WORKDAY(Main[[#This Row],[Tech Start Date]],28),IF(Main[[#This Row],[Class]]="B", WORKDAY(Main[[#This Row],[Tech Start Date]],19),IF(Main[[#This Row],[Class]]="A",WORKDAY(Main[[#This Row],[Tech Start Date]],9),""))))</f>
        <v/>
      </c>
      <c r="Q84" s="67"/>
      <c r="R84" s="67"/>
      <c r="S84" s="65" t="s">
        <v>23</v>
      </c>
      <c r="T84" s="70" t="s">
        <v>4</v>
      </c>
      <c r="U84" s="65" t="s">
        <v>14</v>
      </c>
      <c r="V84" s="65" t="s">
        <v>1917</v>
      </c>
      <c r="W84" s="65" t="s">
        <v>1916</v>
      </c>
      <c r="X84" s="65" t="s">
        <v>102</v>
      </c>
      <c r="Y84" s="65" t="s">
        <v>4</v>
      </c>
      <c r="Z84" s="65" t="s">
        <v>44</v>
      </c>
      <c r="AA84" s="65" t="s">
        <v>3380</v>
      </c>
    </row>
    <row r="85" spans="1:27" ht="17.45" hidden="1" customHeight="1">
      <c r="A85" s="100" t="str">
        <f>IF(priority(Main[[#This Row],[Comments]])&lt;&gt;0, priority(Main[[#This Row],[Comments]]),"")</f>
        <v/>
      </c>
      <c r="B85" s="77" t="s">
        <v>1040</v>
      </c>
      <c r="C85" s="65" t="s">
        <v>63</v>
      </c>
      <c r="D85" s="66" t="s">
        <v>64</v>
      </c>
      <c r="E85" s="67"/>
      <c r="F85" s="67">
        <v>40513</v>
      </c>
      <c r="G85" s="64" t="str">
        <f>IF(stdProdLT(Main[[#This Row],[Comments]])=0.1,"N/A",IF(stdProdLT(Main[[#This Row],[Comments]])=0,"",stdProdLT(Main[[#This Row],[Comments]])))</f>
        <v/>
      </c>
      <c r="H85" s="68" t="str">
        <f>IF(AND(Main[[#This Row],[In Stock Date]]&lt;&gt;"",Main[[#This Row],[Revised Due Date]]&lt;&gt;""),Main[[#This Row],[In Stock Date]]-Main[[#This Row],[Revised Due Date]],"")</f>
        <v/>
      </c>
      <c r="I85" s="65" t="s">
        <v>65</v>
      </c>
      <c r="J85" s="65" t="s">
        <v>28</v>
      </c>
      <c r="K85" s="65" t="s">
        <v>4</v>
      </c>
      <c r="L85" s="67"/>
      <c r="M85" s="69" t="str">
        <f>IF(Main[[#This Row],[Tech Start Date]]&lt;1/1/1990,"",IF(Main[[#This Row],[Class]]="C",WORKDAY(Main[[#This Row],[Tech Start Date]],9),IF(Main[[#This Row],[Class]]="B", WORKDAY(Main[[#This Row],[Tech Start Date]],6),IF(Main[[#This Row],[Class]]="A",WORKDAY(Main[[#This Row],[Tech Start Date]],2),""))))</f>
        <v/>
      </c>
      <c r="N85" s="69" t="str">
        <f>IF(Main[[#This Row],[Tech Start Date]]&lt;1/1/1990,"",IF(Main[[#This Row],[Class]]="C",WORKDAY(Main[[#This Row],[Tech Start Date]],19),IF(Main[[#This Row],[Class]]="B", WORKDAY(Main[[#This Row],[Tech Start Date]],12),IF(Main[[#This Row],[Class]]="A",WORKDAY(Main[[#This Row],[Tech Start Date]],4),""))))</f>
        <v/>
      </c>
      <c r="O85" s="69" t="str">
        <f>IF(Main[[#This Row],[Tech Start Date]]&lt;1/1/1990,"",IF(Main[[#This Row],[Class]]="C",WORKDAY(Main[[#This Row],[Tech Start Date]],23),IF(Main[[#This Row],[Class]]="B", WORKDAY(Main[[#This Row],[Tech Start Date]],15),IF(Main[[#This Row],[Class]]="A",WORKDAY(Main[[#This Row],[Tech Start Date]],5),""))))</f>
        <v/>
      </c>
      <c r="P85" s="69" t="str">
        <f>IF(Main[[#This Row],[Tech Start Date]]&lt;1/1/1990,"",IF(Main[[#This Row],[Class]]="C",WORKDAY(Main[[#This Row],[Tech Start Date]],28),IF(Main[[#This Row],[Class]]="B", WORKDAY(Main[[#This Row],[Tech Start Date]],19),IF(Main[[#This Row],[Class]]="A",WORKDAY(Main[[#This Row],[Tech Start Date]],9),""))))</f>
        <v/>
      </c>
      <c r="Q85" s="67">
        <v>40513</v>
      </c>
      <c r="R85" s="67"/>
      <c r="S85" s="65" t="s">
        <v>11</v>
      </c>
      <c r="T85" s="70" t="s">
        <v>4</v>
      </c>
      <c r="U85" s="65" t="s">
        <v>14</v>
      </c>
      <c r="V85" s="65" t="s">
        <v>1917</v>
      </c>
      <c r="W85" s="65" t="s">
        <v>1919</v>
      </c>
      <c r="X85" s="65" t="s">
        <v>2815</v>
      </c>
      <c r="Y85" s="65" t="s">
        <v>2927</v>
      </c>
      <c r="Z85" s="65" t="s">
        <v>530</v>
      </c>
      <c r="AA85" s="65" t="s">
        <v>2815</v>
      </c>
    </row>
    <row r="86" spans="1:27" ht="17.45" hidden="1" customHeight="1">
      <c r="A86" s="100" t="str">
        <f>IF(priority(Main[[#This Row],[Comments]])&lt;&gt;0, priority(Main[[#This Row],[Comments]]),"")</f>
        <v/>
      </c>
      <c r="B86" s="77" t="s">
        <v>2049</v>
      </c>
      <c r="C86" s="65" t="s">
        <v>692</v>
      </c>
      <c r="D86" s="66" t="s">
        <v>2050</v>
      </c>
      <c r="E86" s="67"/>
      <c r="F86" s="67"/>
      <c r="G86" s="64" t="str">
        <f>IF(stdProdLT(Main[[#This Row],[Comments]])=0.1,"N/A",IF(stdProdLT(Main[[#This Row],[Comments]])=0,"",stdProdLT(Main[[#This Row],[Comments]])))</f>
        <v/>
      </c>
      <c r="H86" s="68" t="str">
        <f>IF(AND(Main[[#This Row],[In Stock Date]]&lt;&gt;"",Main[[#This Row],[Revised Due Date]]&lt;&gt;""),Main[[#This Row],[In Stock Date]]-Main[[#This Row],[Revised Due Date]],"")</f>
        <v/>
      </c>
      <c r="I86" s="65" t="s">
        <v>4</v>
      </c>
      <c r="J86" s="65" t="s">
        <v>4</v>
      </c>
      <c r="K86" s="65" t="s">
        <v>4</v>
      </c>
      <c r="L86" s="67"/>
      <c r="M86" s="69" t="str">
        <f>IF(Main[[#This Row],[Tech Start Date]]&lt;1/1/1990,"",IF(Main[[#This Row],[Class]]="C",WORKDAY(Main[[#This Row],[Tech Start Date]],9),IF(Main[[#This Row],[Class]]="B", WORKDAY(Main[[#This Row],[Tech Start Date]],6),IF(Main[[#This Row],[Class]]="A",WORKDAY(Main[[#This Row],[Tech Start Date]],2),""))))</f>
        <v/>
      </c>
      <c r="N86" s="69" t="str">
        <f>IF(Main[[#This Row],[Tech Start Date]]&lt;1/1/1990,"",IF(Main[[#This Row],[Class]]="C",WORKDAY(Main[[#This Row],[Tech Start Date]],19),IF(Main[[#This Row],[Class]]="B", WORKDAY(Main[[#This Row],[Tech Start Date]],12),IF(Main[[#This Row],[Class]]="A",WORKDAY(Main[[#This Row],[Tech Start Date]],4),""))))</f>
        <v/>
      </c>
      <c r="O86" s="69" t="str">
        <f>IF(Main[[#This Row],[Tech Start Date]]&lt;1/1/1990,"",IF(Main[[#This Row],[Class]]="C",WORKDAY(Main[[#This Row],[Tech Start Date]],23),IF(Main[[#This Row],[Class]]="B", WORKDAY(Main[[#This Row],[Tech Start Date]],15),IF(Main[[#This Row],[Class]]="A",WORKDAY(Main[[#This Row],[Tech Start Date]],5),""))))</f>
        <v/>
      </c>
      <c r="P86" s="69" t="str">
        <f>IF(Main[[#This Row],[Tech Start Date]]&lt;1/1/1990,"",IF(Main[[#This Row],[Class]]="C",WORKDAY(Main[[#This Row],[Tech Start Date]],28),IF(Main[[#This Row],[Class]]="B", WORKDAY(Main[[#This Row],[Tech Start Date]],19),IF(Main[[#This Row],[Class]]="A",WORKDAY(Main[[#This Row],[Tech Start Date]],9),""))))</f>
        <v/>
      </c>
      <c r="Q86" s="67">
        <v>40760</v>
      </c>
      <c r="R86" s="67"/>
      <c r="S86" s="65" t="s">
        <v>11</v>
      </c>
      <c r="T86" s="70" t="s">
        <v>4</v>
      </c>
      <c r="U86" s="65" t="s">
        <v>14</v>
      </c>
      <c r="V86" s="65" t="s">
        <v>1915</v>
      </c>
      <c r="W86" s="65" t="s">
        <v>1916</v>
      </c>
      <c r="X86" s="65" t="s">
        <v>2816</v>
      </c>
      <c r="Y86" s="65" t="s">
        <v>4</v>
      </c>
      <c r="Z86" s="65" t="s">
        <v>4</v>
      </c>
      <c r="AA86" s="65" t="s">
        <v>2816</v>
      </c>
    </row>
    <row r="87" spans="1:27" ht="17.45" hidden="1" customHeight="1">
      <c r="A87" s="100" t="str">
        <f>IF(priority(Main[[#This Row],[Comments]])&lt;&gt;0, priority(Main[[#This Row],[Comments]]),"")</f>
        <v/>
      </c>
      <c r="B87" s="77" t="s">
        <v>1031</v>
      </c>
      <c r="C87" s="65" t="s">
        <v>53</v>
      </c>
      <c r="D87" s="66" t="s">
        <v>54</v>
      </c>
      <c r="E87" s="67"/>
      <c r="F87" s="67"/>
      <c r="G87" s="64" t="str">
        <f>IF(stdProdLT(Main[[#This Row],[Comments]])=0.1,"N/A",IF(stdProdLT(Main[[#This Row],[Comments]])=0,"",stdProdLT(Main[[#This Row],[Comments]])))</f>
        <v/>
      </c>
      <c r="H87" s="68" t="str">
        <f>IF(AND(Main[[#This Row],[In Stock Date]]&lt;&gt;"",Main[[#This Row],[Revised Due Date]]&lt;&gt;""),Main[[#This Row],[In Stock Date]]-Main[[#This Row],[Revised Due Date]],"")</f>
        <v/>
      </c>
      <c r="I87" s="65" t="s">
        <v>4</v>
      </c>
      <c r="J87" s="65" t="s">
        <v>28</v>
      </c>
      <c r="K87" s="65" t="s">
        <v>1927</v>
      </c>
      <c r="L87" s="67"/>
      <c r="M87" s="69" t="str">
        <f>IF(Main[[#This Row],[Tech Start Date]]&lt;1/1/1990,"",IF(Main[[#This Row],[Class]]="C",WORKDAY(Main[[#This Row],[Tech Start Date]],9),IF(Main[[#This Row],[Class]]="B", WORKDAY(Main[[#This Row],[Tech Start Date]],6),IF(Main[[#This Row],[Class]]="A",WORKDAY(Main[[#This Row],[Tech Start Date]],2),""))))</f>
        <v/>
      </c>
      <c r="N87" s="69" t="str">
        <f>IF(Main[[#This Row],[Tech Start Date]]&lt;1/1/1990,"",IF(Main[[#This Row],[Class]]="C",WORKDAY(Main[[#This Row],[Tech Start Date]],19),IF(Main[[#This Row],[Class]]="B", WORKDAY(Main[[#This Row],[Tech Start Date]],12),IF(Main[[#This Row],[Class]]="A",WORKDAY(Main[[#This Row],[Tech Start Date]],4),""))))</f>
        <v/>
      </c>
      <c r="O87" s="69" t="str">
        <f>IF(Main[[#This Row],[Tech Start Date]]&lt;1/1/1990,"",IF(Main[[#This Row],[Class]]="C",WORKDAY(Main[[#This Row],[Tech Start Date]],23),IF(Main[[#This Row],[Class]]="B", WORKDAY(Main[[#This Row],[Tech Start Date]],15),IF(Main[[#This Row],[Class]]="A",WORKDAY(Main[[#This Row],[Tech Start Date]],5),""))))</f>
        <v/>
      </c>
      <c r="P87" s="69" t="str">
        <f>IF(Main[[#This Row],[Tech Start Date]]&lt;1/1/1990,"",IF(Main[[#This Row],[Class]]="C",WORKDAY(Main[[#This Row],[Tech Start Date]],28),IF(Main[[#This Row],[Class]]="B", WORKDAY(Main[[#This Row],[Tech Start Date]],19),IF(Main[[#This Row],[Class]]="A",WORKDAY(Main[[#This Row],[Tech Start Date]],9),""))))</f>
        <v/>
      </c>
      <c r="Q87" s="67">
        <v>40626</v>
      </c>
      <c r="R87" s="67"/>
      <c r="S87" s="65" t="s">
        <v>11</v>
      </c>
      <c r="T87" s="70" t="s">
        <v>4</v>
      </c>
      <c r="U87" s="65" t="s">
        <v>14</v>
      </c>
      <c r="V87" s="65" t="s">
        <v>1915</v>
      </c>
      <c r="W87" s="65" t="s">
        <v>1916</v>
      </c>
      <c r="X87" s="65" t="s">
        <v>2816</v>
      </c>
      <c r="Y87" s="65" t="s">
        <v>2928</v>
      </c>
      <c r="Z87" s="65" t="s">
        <v>3159</v>
      </c>
      <c r="AA87" s="65" t="s">
        <v>2816</v>
      </c>
    </row>
    <row r="88" spans="1:27" ht="17.45" hidden="1" customHeight="1">
      <c r="A88" s="100" t="str">
        <f>IF(priority(Main[[#This Row],[Comments]])&lt;&gt;0, priority(Main[[#This Row],[Comments]]),"")</f>
        <v/>
      </c>
      <c r="B88" s="77" t="s">
        <v>1032</v>
      </c>
      <c r="C88" s="65" t="s">
        <v>4</v>
      </c>
      <c r="D88" s="66" t="s">
        <v>55</v>
      </c>
      <c r="E88" s="67"/>
      <c r="F88" s="67"/>
      <c r="G88" s="64" t="str">
        <f>IF(stdProdLT(Main[[#This Row],[Comments]])=0.1,"N/A",IF(stdProdLT(Main[[#This Row],[Comments]])=0,"",stdProdLT(Main[[#This Row],[Comments]])))</f>
        <v/>
      </c>
      <c r="H88" s="68" t="str">
        <f>IF(AND(Main[[#This Row],[In Stock Date]]&lt;&gt;"",Main[[#This Row],[Revised Due Date]]&lt;&gt;""),Main[[#This Row],[In Stock Date]]-Main[[#This Row],[Revised Due Date]],"")</f>
        <v/>
      </c>
      <c r="I88" s="65" t="s">
        <v>4</v>
      </c>
      <c r="J88" s="65" t="s">
        <v>4</v>
      </c>
      <c r="K88" s="65" t="s">
        <v>4</v>
      </c>
      <c r="L88" s="67"/>
      <c r="M88" s="69" t="str">
        <f>IF(Main[[#This Row],[Tech Start Date]]&lt;1/1/1990,"",IF(Main[[#This Row],[Class]]="C",WORKDAY(Main[[#This Row],[Tech Start Date]],9),IF(Main[[#This Row],[Class]]="B", WORKDAY(Main[[#This Row],[Tech Start Date]],6),IF(Main[[#This Row],[Class]]="A",WORKDAY(Main[[#This Row],[Tech Start Date]],2),""))))</f>
        <v/>
      </c>
      <c r="N88" s="69" t="str">
        <f>IF(Main[[#This Row],[Tech Start Date]]&lt;1/1/1990,"",IF(Main[[#This Row],[Class]]="C",WORKDAY(Main[[#This Row],[Tech Start Date]],19),IF(Main[[#This Row],[Class]]="B", WORKDAY(Main[[#This Row],[Tech Start Date]],12),IF(Main[[#This Row],[Class]]="A",WORKDAY(Main[[#This Row],[Tech Start Date]],4),""))))</f>
        <v/>
      </c>
      <c r="O88" s="69" t="str">
        <f>IF(Main[[#This Row],[Tech Start Date]]&lt;1/1/1990,"",IF(Main[[#This Row],[Class]]="C",WORKDAY(Main[[#This Row],[Tech Start Date]],23),IF(Main[[#This Row],[Class]]="B", WORKDAY(Main[[#This Row],[Tech Start Date]],15),IF(Main[[#This Row],[Class]]="A",WORKDAY(Main[[#This Row],[Tech Start Date]],5),""))))</f>
        <v/>
      </c>
      <c r="P88" s="69" t="str">
        <f>IF(Main[[#This Row],[Tech Start Date]]&lt;1/1/1990,"",IF(Main[[#This Row],[Class]]="C",WORKDAY(Main[[#This Row],[Tech Start Date]],28),IF(Main[[#This Row],[Class]]="B", WORKDAY(Main[[#This Row],[Tech Start Date]],19),IF(Main[[#This Row],[Class]]="A",WORKDAY(Main[[#This Row],[Tech Start Date]],9),""))))</f>
        <v/>
      </c>
      <c r="Q88" s="67"/>
      <c r="R88" s="67"/>
      <c r="S88" s="65" t="s">
        <v>6</v>
      </c>
      <c r="T88" s="70" t="s">
        <v>4</v>
      </c>
      <c r="U88" s="65" t="s">
        <v>14</v>
      </c>
      <c r="V88" s="65" t="s">
        <v>1917</v>
      </c>
      <c r="W88" s="65" t="s">
        <v>1918</v>
      </c>
      <c r="X88" s="65" t="s">
        <v>306</v>
      </c>
      <c r="Y88" s="65" t="s">
        <v>4</v>
      </c>
      <c r="Z88" s="65" t="s">
        <v>4</v>
      </c>
      <c r="AA88" s="65" t="s">
        <v>4</v>
      </c>
    </row>
    <row r="89" spans="1:27" ht="17.45" hidden="1" customHeight="1">
      <c r="A89" s="100" t="str">
        <f>IF(priority(Main[[#This Row],[Comments]])&lt;&gt;0, priority(Main[[#This Row],[Comments]]),"")</f>
        <v/>
      </c>
      <c r="B89" s="77" t="s">
        <v>1033</v>
      </c>
      <c r="C89" s="65" t="s">
        <v>4</v>
      </c>
      <c r="D89" s="66" t="s">
        <v>56</v>
      </c>
      <c r="E89" s="67"/>
      <c r="F89" s="67"/>
      <c r="G89" s="64" t="str">
        <f>IF(stdProdLT(Main[[#This Row],[Comments]])=0.1,"N/A",IF(stdProdLT(Main[[#This Row],[Comments]])=0,"",stdProdLT(Main[[#This Row],[Comments]])))</f>
        <v/>
      </c>
      <c r="H89" s="68" t="str">
        <f>IF(AND(Main[[#This Row],[In Stock Date]]&lt;&gt;"",Main[[#This Row],[Revised Due Date]]&lt;&gt;""),Main[[#This Row],[In Stock Date]]-Main[[#This Row],[Revised Due Date]],"")</f>
        <v/>
      </c>
      <c r="I89" s="65" t="s">
        <v>4</v>
      </c>
      <c r="J89" s="65" t="s">
        <v>4</v>
      </c>
      <c r="K89" s="65" t="s">
        <v>4</v>
      </c>
      <c r="L89" s="67"/>
      <c r="M89" s="69" t="str">
        <f>IF(Main[[#This Row],[Tech Start Date]]&lt;1/1/1990,"",IF(Main[[#This Row],[Class]]="C",WORKDAY(Main[[#This Row],[Tech Start Date]],9),IF(Main[[#This Row],[Class]]="B", WORKDAY(Main[[#This Row],[Tech Start Date]],6),IF(Main[[#This Row],[Class]]="A",WORKDAY(Main[[#This Row],[Tech Start Date]],2),""))))</f>
        <v/>
      </c>
      <c r="N89" s="69" t="str">
        <f>IF(Main[[#This Row],[Tech Start Date]]&lt;1/1/1990,"",IF(Main[[#This Row],[Class]]="C",WORKDAY(Main[[#This Row],[Tech Start Date]],19),IF(Main[[#This Row],[Class]]="B", WORKDAY(Main[[#This Row],[Tech Start Date]],12),IF(Main[[#This Row],[Class]]="A",WORKDAY(Main[[#This Row],[Tech Start Date]],4),""))))</f>
        <v/>
      </c>
      <c r="O89" s="69" t="str">
        <f>IF(Main[[#This Row],[Tech Start Date]]&lt;1/1/1990,"",IF(Main[[#This Row],[Class]]="C",WORKDAY(Main[[#This Row],[Tech Start Date]],23),IF(Main[[#This Row],[Class]]="B", WORKDAY(Main[[#This Row],[Tech Start Date]],15),IF(Main[[#This Row],[Class]]="A",WORKDAY(Main[[#This Row],[Tech Start Date]],5),""))))</f>
        <v/>
      </c>
      <c r="P89" s="69" t="str">
        <f>IF(Main[[#This Row],[Tech Start Date]]&lt;1/1/1990,"",IF(Main[[#This Row],[Class]]="C",WORKDAY(Main[[#This Row],[Tech Start Date]],28),IF(Main[[#This Row],[Class]]="B", WORKDAY(Main[[#This Row],[Tech Start Date]],19),IF(Main[[#This Row],[Class]]="A",WORKDAY(Main[[#This Row],[Tech Start Date]],9),""))))</f>
        <v/>
      </c>
      <c r="Q89" s="67"/>
      <c r="R89" s="67"/>
      <c r="S89" s="65" t="s">
        <v>49</v>
      </c>
      <c r="T89" s="70" t="s">
        <v>4</v>
      </c>
      <c r="U89" s="65" t="s">
        <v>14</v>
      </c>
      <c r="V89" s="65" t="s">
        <v>1917</v>
      </c>
      <c r="W89" s="65" t="s">
        <v>1918</v>
      </c>
      <c r="X89" s="65" t="s">
        <v>306</v>
      </c>
      <c r="Y89" s="65" t="s">
        <v>4</v>
      </c>
      <c r="Z89" s="65" t="s">
        <v>4</v>
      </c>
      <c r="AA89" s="65" t="s">
        <v>4</v>
      </c>
    </row>
    <row r="90" spans="1:27" ht="17.45" hidden="1" customHeight="1">
      <c r="A90" s="100" t="str">
        <f>IF(priority(Main[[#This Row],[Comments]])&lt;&gt;0, priority(Main[[#This Row],[Comments]]),"")</f>
        <v/>
      </c>
      <c r="B90" s="77" t="s">
        <v>1034</v>
      </c>
      <c r="C90" s="65" t="s">
        <v>4</v>
      </c>
      <c r="D90" s="66" t="s">
        <v>57</v>
      </c>
      <c r="E90" s="67"/>
      <c r="F90" s="67"/>
      <c r="G90" s="64" t="str">
        <f>IF(stdProdLT(Main[[#This Row],[Comments]])=0.1,"N/A",IF(stdProdLT(Main[[#This Row],[Comments]])=0,"",stdProdLT(Main[[#This Row],[Comments]])))</f>
        <v/>
      </c>
      <c r="H90" s="68" t="str">
        <f>IF(AND(Main[[#This Row],[In Stock Date]]&lt;&gt;"",Main[[#This Row],[Revised Due Date]]&lt;&gt;""),Main[[#This Row],[In Stock Date]]-Main[[#This Row],[Revised Due Date]],"")</f>
        <v/>
      </c>
      <c r="I90" s="65" t="s">
        <v>4</v>
      </c>
      <c r="J90" s="65" t="s">
        <v>4</v>
      </c>
      <c r="K90" s="65" t="s">
        <v>4</v>
      </c>
      <c r="L90" s="67"/>
      <c r="M90" s="69" t="str">
        <f>IF(Main[[#This Row],[Tech Start Date]]&lt;1/1/1990,"",IF(Main[[#This Row],[Class]]="C",WORKDAY(Main[[#This Row],[Tech Start Date]],9),IF(Main[[#This Row],[Class]]="B", WORKDAY(Main[[#This Row],[Tech Start Date]],6),IF(Main[[#This Row],[Class]]="A",WORKDAY(Main[[#This Row],[Tech Start Date]],2),""))))</f>
        <v/>
      </c>
      <c r="N90" s="69" t="str">
        <f>IF(Main[[#This Row],[Tech Start Date]]&lt;1/1/1990,"",IF(Main[[#This Row],[Class]]="C",WORKDAY(Main[[#This Row],[Tech Start Date]],19),IF(Main[[#This Row],[Class]]="B", WORKDAY(Main[[#This Row],[Tech Start Date]],12),IF(Main[[#This Row],[Class]]="A",WORKDAY(Main[[#This Row],[Tech Start Date]],4),""))))</f>
        <v/>
      </c>
      <c r="O90" s="69" t="str">
        <f>IF(Main[[#This Row],[Tech Start Date]]&lt;1/1/1990,"",IF(Main[[#This Row],[Class]]="C",WORKDAY(Main[[#This Row],[Tech Start Date]],23),IF(Main[[#This Row],[Class]]="B", WORKDAY(Main[[#This Row],[Tech Start Date]],15),IF(Main[[#This Row],[Class]]="A",WORKDAY(Main[[#This Row],[Tech Start Date]],5),""))))</f>
        <v/>
      </c>
      <c r="P90" s="69" t="str">
        <f>IF(Main[[#This Row],[Tech Start Date]]&lt;1/1/1990,"",IF(Main[[#This Row],[Class]]="C",WORKDAY(Main[[#This Row],[Tech Start Date]],28),IF(Main[[#This Row],[Class]]="B", WORKDAY(Main[[#This Row],[Tech Start Date]],19),IF(Main[[#This Row],[Class]]="A",WORKDAY(Main[[#This Row],[Tech Start Date]],9),""))))</f>
        <v/>
      </c>
      <c r="Q90" s="67"/>
      <c r="R90" s="67"/>
      <c r="S90" s="65" t="s">
        <v>49</v>
      </c>
      <c r="T90" s="70" t="s">
        <v>4</v>
      </c>
      <c r="U90" s="65" t="s">
        <v>14</v>
      </c>
      <c r="V90" s="65" t="s">
        <v>1924</v>
      </c>
      <c r="W90" s="65" t="s">
        <v>1918</v>
      </c>
      <c r="X90" s="65" t="s">
        <v>306</v>
      </c>
      <c r="Y90" s="65" t="s">
        <v>4</v>
      </c>
      <c r="Z90" s="65" t="s">
        <v>4</v>
      </c>
      <c r="AA90" s="65" t="s">
        <v>4</v>
      </c>
    </row>
    <row r="91" spans="1:27" ht="17.45" hidden="1" customHeight="1">
      <c r="A91" s="100" t="str">
        <f>IF(priority(Main[[#This Row],[Comments]])&lt;&gt;0, priority(Main[[#This Row],[Comments]]),"")</f>
        <v/>
      </c>
      <c r="B91" s="77" t="s">
        <v>1035</v>
      </c>
      <c r="C91" s="65" t="s">
        <v>58</v>
      </c>
      <c r="D91" s="66" t="s">
        <v>59</v>
      </c>
      <c r="E91" s="67"/>
      <c r="F91" s="67"/>
      <c r="G91" s="64" t="str">
        <f>IF(stdProdLT(Main[[#This Row],[Comments]])=0.1,"N/A",IF(stdProdLT(Main[[#This Row],[Comments]])=0,"",stdProdLT(Main[[#This Row],[Comments]])))</f>
        <v/>
      </c>
      <c r="H91" s="68" t="str">
        <f>IF(AND(Main[[#This Row],[In Stock Date]]&lt;&gt;"",Main[[#This Row],[Revised Due Date]]&lt;&gt;""),Main[[#This Row],[In Stock Date]]-Main[[#This Row],[Revised Due Date]],"")</f>
        <v/>
      </c>
      <c r="I91" s="65" t="s">
        <v>4</v>
      </c>
      <c r="J91" s="65" t="s">
        <v>4</v>
      </c>
      <c r="K91" s="65" t="s">
        <v>4</v>
      </c>
      <c r="L91" s="67"/>
      <c r="M91" s="69" t="str">
        <f>IF(Main[[#This Row],[Tech Start Date]]&lt;1/1/1990,"",IF(Main[[#This Row],[Class]]="C",WORKDAY(Main[[#This Row],[Tech Start Date]],9),IF(Main[[#This Row],[Class]]="B", WORKDAY(Main[[#This Row],[Tech Start Date]],6),IF(Main[[#This Row],[Class]]="A",WORKDAY(Main[[#This Row],[Tech Start Date]],2),""))))</f>
        <v/>
      </c>
      <c r="N91" s="69" t="str">
        <f>IF(Main[[#This Row],[Tech Start Date]]&lt;1/1/1990,"",IF(Main[[#This Row],[Class]]="C",WORKDAY(Main[[#This Row],[Tech Start Date]],19),IF(Main[[#This Row],[Class]]="B", WORKDAY(Main[[#This Row],[Tech Start Date]],12),IF(Main[[#This Row],[Class]]="A",WORKDAY(Main[[#This Row],[Tech Start Date]],4),""))))</f>
        <v/>
      </c>
      <c r="O91" s="69" t="str">
        <f>IF(Main[[#This Row],[Tech Start Date]]&lt;1/1/1990,"",IF(Main[[#This Row],[Class]]="C",WORKDAY(Main[[#This Row],[Tech Start Date]],23),IF(Main[[#This Row],[Class]]="B", WORKDAY(Main[[#This Row],[Tech Start Date]],15),IF(Main[[#This Row],[Class]]="A",WORKDAY(Main[[#This Row],[Tech Start Date]],5),""))))</f>
        <v/>
      </c>
      <c r="P91" s="69" t="str">
        <f>IF(Main[[#This Row],[Tech Start Date]]&lt;1/1/1990,"",IF(Main[[#This Row],[Class]]="C",WORKDAY(Main[[#This Row],[Tech Start Date]],28),IF(Main[[#This Row],[Class]]="B", WORKDAY(Main[[#This Row],[Tech Start Date]],19),IF(Main[[#This Row],[Class]]="A",WORKDAY(Main[[#This Row],[Tech Start Date]],9),""))))</f>
        <v/>
      </c>
      <c r="Q91" s="67"/>
      <c r="R91" s="67"/>
      <c r="S91" s="65" t="s">
        <v>11</v>
      </c>
      <c r="T91" s="70" t="s">
        <v>4</v>
      </c>
      <c r="U91" s="65" t="s">
        <v>14</v>
      </c>
      <c r="V91" s="65" t="s">
        <v>1915</v>
      </c>
      <c r="W91" s="65" t="s">
        <v>1919</v>
      </c>
      <c r="X91" s="65" t="s">
        <v>2820</v>
      </c>
      <c r="Y91" s="65" t="s">
        <v>2934</v>
      </c>
      <c r="Z91" s="65" t="s">
        <v>4</v>
      </c>
      <c r="AA91" s="65" t="s">
        <v>3381</v>
      </c>
    </row>
    <row r="92" spans="1:27" ht="17.45" hidden="1" customHeight="1">
      <c r="A92" s="100" t="str">
        <f>IF(priority(Main[[#This Row],[Comments]])&lt;&gt;0, priority(Main[[#This Row],[Comments]]),"")</f>
        <v/>
      </c>
      <c r="B92" s="77" t="s">
        <v>1036</v>
      </c>
      <c r="C92" s="65" t="s">
        <v>4</v>
      </c>
      <c r="D92" s="66" t="s">
        <v>60</v>
      </c>
      <c r="E92" s="67"/>
      <c r="F92" s="67"/>
      <c r="G92" s="64" t="str">
        <f>IF(stdProdLT(Main[[#This Row],[Comments]])=0.1,"N/A",IF(stdProdLT(Main[[#This Row],[Comments]])=0,"",stdProdLT(Main[[#This Row],[Comments]])))</f>
        <v/>
      </c>
      <c r="H92" s="68" t="str">
        <f>IF(AND(Main[[#This Row],[In Stock Date]]&lt;&gt;"",Main[[#This Row],[Revised Due Date]]&lt;&gt;""),Main[[#This Row],[In Stock Date]]-Main[[#This Row],[Revised Due Date]],"")</f>
        <v/>
      </c>
      <c r="I92" s="65" t="s">
        <v>4</v>
      </c>
      <c r="J92" s="65" t="s">
        <v>4</v>
      </c>
      <c r="K92" s="65" t="s">
        <v>4</v>
      </c>
      <c r="L92" s="67"/>
      <c r="M92" s="69" t="str">
        <f>IF(Main[[#This Row],[Tech Start Date]]&lt;1/1/1990,"",IF(Main[[#This Row],[Class]]="C",WORKDAY(Main[[#This Row],[Tech Start Date]],9),IF(Main[[#This Row],[Class]]="B", WORKDAY(Main[[#This Row],[Tech Start Date]],6),IF(Main[[#This Row],[Class]]="A",WORKDAY(Main[[#This Row],[Tech Start Date]],2),""))))</f>
        <v/>
      </c>
      <c r="N92" s="69" t="str">
        <f>IF(Main[[#This Row],[Tech Start Date]]&lt;1/1/1990,"",IF(Main[[#This Row],[Class]]="C",WORKDAY(Main[[#This Row],[Tech Start Date]],19),IF(Main[[#This Row],[Class]]="B", WORKDAY(Main[[#This Row],[Tech Start Date]],12),IF(Main[[#This Row],[Class]]="A",WORKDAY(Main[[#This Row],[Tech Start Date]],4),""))))</f>
        <v/>
      </c>
      <c r="O92" s="69" t="str">
        <f>IF(Main[[#This Row],[Tech Start Date]]&lt;1/1/1990,"",IF(Main[[#This Row],[Class]]="C",WORKDAY(Main[[#This Row],[Tech Start Date]],23),IF(Main[[#This Row],[Class]]="B", WORKDAY(Main[[#This Row],[Tech Start Date]],15),IF(Main[[#This Row],[Class]]="A",WORKDAY(Main[[#This Row],[Tech Start Date]],5),""))))</f>
        <v/>
      </c>
      <c r="P92" s="69" t="str">
        <f>IF(Main[[#This Row],[Tech Start Date]]&lt;1/1/1990,"",IF(Main[[#This Row],[Class]]="C",WORKDAY(Main[[#This Row],[Tech Start Date]],28),IF(Main[[#This Row],[Class]]="B", WORKDAY(Main[[#This Row],[Tech Start Date]],19),IF(Main[[#This Row],[Class]]="A",WORKDAY(Main[[#This Row],[Tech Start Date]],9),""))))</f>
        <v/>
      </c>
      <c r="Q92" s="67"/>
      <c r="R92" s="67"/>
      <c r="S92" s="65" t="s">
        <v>49</v>
      </c>
      <c r="T92" s="70" t="s">
        <v>4</v>
      </c>
      <c r="U92" s="65" t="s">
        <v>14</v>
      </c>
      <c r="V92" s="65" t="s">
        <v>1915</v>
      </c>
      <c r="W92" s="65" t="s">
        <v>1918</v>
      </c>
      <c r="X92" s="65" t="s">
        <v>306</v>
      </c>
      <c r="Y92" s="65" t="s">
        <v>4</v>
      </c>
      <c r="Z92" s="65" t="s">
        <v>4</v>
      </c>
      <c r="AA92" s="65" t="s">
        <v>4</v>
      </c>
    </row>
    <row r="93" spans="1:27" ht="17.45" hidden="1" customHeight="1">
      <c r="A93" s="100" t="str">
        <f>IF(priority(Main[[#This Row],[Comments]])&lt;&gt;0, priority(Main[[#This Row],[Comments]]),"")</f>
        <v/>
      </c>
      <c r="B93" s="77" t="s">
        <v>2322</v>
      </c>
      <c r="C93" s="65" t="s">
        <v>4</v>
      </c>
      <c r="D93" s="66" t="s">
        <v>2323</v>
      </c>
      <c r="E93" s="67">
        <v>40841.712557870371</v>
      </c>
      <c r="F93" s="67"/>
      <c r="G93" s="64" t="str">
        <f>IF(stdProdLT(Main[[#This Row],[Comments]])=0.1,"N/A",IF(stdProdLT(Main[[#This Row],[Comments]])=0,"",stdProdLT(Main[[#This Row],[Comments]])))</f>
        <v/>
      </c>
      <c r="H93" s="68" t="str">
        <f>IF(AND(Main[[#This Row],[In Stock Date]]&lt;&gt;"",Main[[#This Row],[Revised Due Date]]&lt;&gt;""),Main[[#This Row],[In Stock Date]]-Main[[#This Row],[Revised Due Date]],"")</f>
        <v/>
      </c>
      <c r="I93" s="65" t="s">
        <v>912</v>
      </c>
      <c r="J93" s="65" t="s">
        <v>52</v>
      </c>
      <c r="K93" s="65" t="s">
        <v>4</v>
      </c>
      <c r="L93" s="67"/>
      <c r="M93" s="69" t="str">
        <f>IF(Main[[#This Row],[Tech Start Date]]&lt;1/1/1990,"",IF(Main[[#This Row],[Class]]="C",WORKDAY(Main[[#This Row],[Tech Start Date]],9),IF(Main[[#This Row],[Class]]="B", WORKDAY(Main[[#This Row],[Tech Start Date]],6),IF(Main[[#This Row],[Class]]="A",WORKDAY(Main[[#This Row],[Tech Start Date]],2),""))))</f>
        <v/>
      </c>
      <c r="N93" s="69" t="str">
        <f>IF(Main[[#This Row],[Tech Start Date]]&lt;1/1/1990,"",IF(Main[[#This Row],[Class]]="C",WORKDAY(Main[[#This Row],[Tech Start Date]],19),IF(Main[[#This Row],[Class]]="B", WORKDAY(Main[[#This Row],[Tech Start Date]],12),IF(Main[[#This Row],[Class]]="A",WORKDAY(Main[[#This Row],[Tech Start Date]],4),""))))</f>
        <v/>
      </c>
      <c r="O93" s="69" t="str">
        <f>IF(Main[[#This Row],[Tech Start Date]]&lt;1/1/1990,"",IF(Main[[#This Row],[Class]]="C",WORKDAY(Main[[#This Row],[Tech Start Date]],23),IF(Main[[#This Row],[Class]]="B", WORKDAY(Main[[#This Row],[Tech Start Date]],15),IF(Main[[#This Row],[Class]]="A",WORKDAY(Main[[#This Row],[Tech Start Date]],5),""))))</f>
        <v/>
      </c>
      <c r="P93" s="69" t="str">
        <f>IF(Main[[#This Row],[Tech Start Date]]&lt;1/1/1990,"",IF(Main[[#This Row],[Class]]="C",WORKDAY(Main[[#This Row],[Tech Start Date]],28),IF(Main[[#This Row],[Class]]="B", WORKDAY(Main[[#This Row],[Tech Start Date]],19),IF(Main[[#This Row],[Class]]="A",WORKDAY(Main[[#This Row],[Tech Start Date]],9),""))))</f>
        <v/>
      </c>
      <c r="Q93" s="67">
        <v>40856</v>
      </c>
      <c r="R93" s="67"/>
      <c r="S93" s="65" t="s">
        <v>6</v>
      </c>
      <c r="T93" s="70" t="s">
        <v>4</v>
      </c>
      <c r="U93" s="65" t="s">
        <v>29</v>
      </c>
      <c r="V93" s="65" t="s">
        <v>1914</v>
      </c>
      <c r="W93" s="65" t="s">
        <v>1922</v>
      </c>
      <c r="X93" s="65" t="s">
        <v>2821</v>
      </c>
      <c r="Y93" s="65" t="s">
        <v>2936</v>
      </c>
      <c r="Z93" s="65" t="s">
        <v>129</v>
      </c>
      <c r="AA93" s="65" t="s">
        <v>2821</v>
      </c>
    </row>
    <row r="94" spans="1:27" ht="17.45" hidden="1" customHeight="1">
      <c r="A94" s="100" t="str">
        <f>IF(priority(Main[[#This Row],[Comments]])&lt;&gt;0, priority(Main[[#This Row],[Comments]]),"")</f>
        <v/>
      </c>
      <c r="B94" s="77" t="s">
        <v>1038</v>
      </c>
      <c r="C94" s="65" t="s">
        <v>4</v>
      </c>
      <c r="D94" s="66" t="s">
        <v>61</v>
      </c>
      <c r="E94" s="67"/>
      <c r="F94" s="67"/>
      <c r="G94" s="64" t="str">
        <f>IF(stdProdLT(Main[[#This Row],[Comments]])=0.1,"N/A",IF(stdProdLT(Main[[#This Row],[Comments]])=0,"",stdProdLT(Main[[#This Row],[Comments]])))</f>
        <v/>
      </c>
      <c r="H94" s="68" t="str">
        <f>IF(AND(Main[[#This Row],[In Stock Date]]&lt;&gt;"",Main[[#This Row],[Revised Due Date]]&lt;&gt;""),Main[[#This Row],[In Stock Date]]-Main[[#This Row],[Revised Due Date]],"")</f>
        <v/>
      </c>
      <c r="I94" s="65" t="s">
        <v>4</v>
      </c>
      <c r="J94" s="65" t="s">
        <v>4</v>
      </c>
      <c r="K94" s="65" t="s">
        <v>4</v>
      </c>
      <c r="L94" s="67"/>
      <c r="M94" s="69" t="str">
        <f>IF(Main[[#This Row],[Tech Start Date]]&lt;1/1/1990,"",IF(Main[[#This Row],[Class]]="C",WORKDAY(Main[[#This Row],[Tech Start Date]],9),IF(Main[[#This Row],[Class]]="B", WORKDAY(Main[[#This Row],[Tech Start Date]],6),IF(Main[[#This Row],[Class]]="A",WORKDAY(Main[[#This Row],[Tech Start Date]],2),""))))</f>
        <v/>
      </c>
      <c r="N94" s="69" t="str">
        <f>IF(Main[[#This Row],[Tech Start Date]]&lt;1/1/1990,"",IF(Main[[#This Row],[Class]]="C",WORKDAY(Main[[#This Row],[Tech Start Date]],19),IF(Main[[#This Row],[Class]]="B", WORKDAY(Main[[#This Row],[Tech Start Date]],12),IF(Main[[#This Row],[Class]]="A",WORKDAY(Main[[#This Row],[Tech Start Date]],4),""))))</f>
        <v/>
      </c>
      <c r="O94" s="69" t="str">
        <f>IF(Main[[#This Row],[Tech Start Date]]&lt;1/1/1990,"",IF(Main[[#This Row],[Class]]="C",WORKDAY(Main[[#This Row],[Tech Start Date]],23),IF(Main[[#This Row],[Class]]="B", WORKDAY(Main[[#This Row],[Tech Start Date]],15),IF(Main[[#This Row],[Class]]="A",WORKDAY(Main[[#This Row],[Tech Start Date]],5),""))))</f>
        <v/>
      </c>
      <c r="P94" s="69" t="str">
        <f>IF(Main[[#This Row],[Tech Start Date]]&lt;1/1/1990,"",IF(Main[[#This Row],[Class]]="C",WORKDAY(Main[[#This Row],[Tech Start Date]],28),IF(Main[[#This Row],[Class]]="B", WORKDAY(Main[[#This Row],[Tech Start Date]],19),IF(Main[[#This Row],[Class]]="A",WORKDAY(Main[[#This Row],[Tech Start Date]],9),""))))</f>
        <v/>
      </c>
      <c r="Q94" s="67">
        <v>40564</v>
      </c>
      <c r="R94" s="67"/>
      <c r="S94" s="65" t="s">
        <v>23</v>
      </c>
      <c r="T94" s="70" t="s">
        <v>4</v>
      </c>
      <c r="U94" s="65" t="s">
        <v>12</v>
      </c>
      <c r="V94" s="65" t="s">
        <v>1917</v>
      </c>
      <c r="W94" s="65" t="s">
        <v>1918</v>
      </c>
      <c r="X94" s="65" t="s">
        <v>417</v>
      </c>
      <c r="Y94" s="65" t="s">
        <v>2937</v>
      </c>
      <c r="Z94" s="65" t="s">
        <v>4</v>
      </c>
      <c r="AA94" s="65" t="s">
        <v>3382</v>
      </c>
    </row>
    <row r="95" spans="1:27" ht="17.45" hidden="1" customHeight="1">
      <c r="A95" s="100" t="str">
        <f>IF(priority(Main[[#This Row],[Comments]])&lt;&gt;0, priority(Main[[#This Row],[Comments]]),"")</f>
        <v/>
      </c>
      <c r="B95" s="77" t="s">
        <v>1041</v>
      </c>
      <c r="C95" s="65" t="s">
        <v>83</v>
      </c>
      <c r="D95" s="66" t="s">
        <v>84</v>
      </c>
      <c r="E95" s="67"/>
      <c r="F95" s="67"/>
      <c r="G95" s="64" t="str">
        <f>IF(stdProdLT(Main[[#This Row],[Comments]])=0.1,"N/A",IF(stdProdLT(Main[[#This Row],[Comments]])=0,"",stdProdLT(Main[[#This Row],[Comments]])))</f>
        <v/>
      </c>
      <c r="H95" s="68" t="str">
        <f>IF(AND(Main[[#This Row],[In Stock Date]]&lt;&gt;"",Main[[#This Row],[Revised Due Date]]&lt;&gt;""),Main[[#This Row],[In Stock Date]]-Main[[#This Row],[Revised Due Date]],"")</f>
        <v/>
      </c>
      <c r="I95" s="65" t="s">
        <v>4</v>
      </c>
      <c r="J95" s="65" t="s">
        <v>4</v>
      </c>
      <c r="K95" s="65" t="s">
        <v>4</v>
      </c>
      <c r="L95" s="67"/>
      <c r="M95" s="69" t="str">
        <f>IF(Main[[#This Row],[Tech Start Date]]&lt;1/1/1990,"",IF(Main[[#This Row],[Class]]="C",WORKDAY(Main[[#This Row],[Tech Start Date]],9),IF(Main[[#This Row],[Class]]="B", WORKDAY(Main[[#This Row],[Tech Start Date]],6),IF(Main[[#This Row],[Class]]="A",WORKDAY(Main[[#This Row],[Tech Start Date]],2),""))))</f>
        <v/>
      </c>
      <c r="N95" s="69" t="str">
        <f>IF(Main[[#This Row],[Tech Start Date]]&lt;1/1/1990,"",IF(Main[[#This Row],[Class]]="C",WORKDAY(Main[[#This Row],[Tech Start Date]],19),IF(Main[[#This Row],[Class]]="B", WORKDAY(Main[[#This Row],[Tech Start Date]],12),IF(Main[[#This Row],[Class]]="A",WORKDAY(Main[[#This Row],[Tech Start Date]],4),""))))</f>
        <v/>
      </c>
      <c r="O95" s="69" t="str">
        <f>IF(Main[[#This Row],[Tech Start Date]]&lt;1/1/1990,"",IF(Main[[#This Row],[Class]]="C",WORKDAY(Main[[#This Row],[Tech Start Date]],23),IF(Main[[#This Row],[Class]]="B", WORKDAY(Main[[#This Row],[Tech Start Date]],15),IF(Main[[#This Row],[Class]]="A",WORKDAY(Main[[#This Row],[Tech Start Date]],5),""))))</f>
        <v/>
      </c>
      <c r="P95" s="69" t="str">
        <f>IF(Main[[#This Row],[Tech Start Date]]&lt;1/1/1990,"",IF(Main[[#This Row],[Class]]="C",WORKDAY(Main[[#This Row],[Tech Start Date]],28),IF(Main[[#This Row],[Class]]="B", WORKDAY(Main[[#This Row],[Tech Start Date]],19),IF(Main[[#This Row],[Class]]="A",WORKDAY(Main[[#This Row],[Tech Start Date]],9),""))))</f>
        <v/>
      </c>
      <c r="Q95" s="67">
        <v>40259</v>
      </c>
      <c r="R95" s="67"/>
      <c r="S95" s="65" t="s">
        <v>11</v>
      </c>
      <c r="T95" s="70" t="s">
        <v>4</v>
      </c>
      <c r="U95" s="65" t="s">
        <v>14</v>
      </c>
      <c r="V95" s="65" t="s">
        <v>1914</v>
      </c>
      <c r="W95" s="65" t="s">
        <v>1925</v>
      </c>
      <c r="X95" s="65" t="s">
        <v>2817</v>
      </c>
      <c r="Y95" s="65" t="s">
        <v>4</v>
      </c>
      <c r="Z95" s="65" t="s">
        <v>4</v>
      </c>
      <c r="AA95" s="65" t="s">
        <v>2817</v>
      </c>
    </row>
    <row r="96" spans="1:27" ht="17.45" hidden="1" customHeight="1">
      <c r="A96" s="100" t="str">
        <f>IF(priority(Main[[#This Row],[Comments]])&lt;&gt;0, priority(Main[[#This Row],[Comments]]),"")</f>
        <v/>
      </c>
      <c r="B96" s="77" t="s">
        <v>3275</v>
      </c>
      <c r="C96" s="65" t="s">
        <v>47</v>
      </c>
      <c r="D96" s="66" t="s">
        <v>3317</v>
      </c>
      <c r="E96" s="67">
        <v>40933.456712962965</v>
      </c>
      <c r="F96" s="67"/>
      <c r="G96" s="64" t="str">
        <f>IF(stdProdLT(Main[[#This Row],[Comments]])=0.1,"N/A",IF(stdProdLT(Main[[#This Row],[Comments]])=0,"",stdProdLT(Main[[#This Row],[Comments]])))</f>
        <v/>
      </c>
      <c r="H96" s="68" t="str">
        <f>IF(AND(Main[[#This Row],[In Stock Date]]&lt;&gt;"",Main[[#This Row],[Revised Due Date]]&lt;&gt;""),Main[[#This Row],[In Stock Date]]-Main[[#This Row],[Revised Due Date]],"")</f>
        <v/>
      </c>
      <c r="I96" s="65" t="s">
        <v>4</v>
      </c>
      <c r="J96" s="65" t="s">
        <v>4</v>
      </c>
      <c r="K96" s="65" t="s">
        <v>4</v>
      </c>
      <c r="L96" s="67"/>
      <c r="M96" s="69" t="str">
        <f>IF(Main[[#This Row],[Tech Start Date]]&lt;1/1/1990,"",IF(Main[[#This Row],[Class]]="C",WORKDAY(Main[[#This Row],[Tech Start Date]],9),IF(Main[[#This Row],[Class]]="B", WORKDAY(Main[[#This Row],[Tech Start Date]],6),IF(Main[[#This Row],[Class]]="A",WORKDAY(Main[[#This Row],[Tech Start Date]],2),""))))</f>
        <v/>
      </c>
      <c r="N96" s="69" t="str">
        <f>IF(Main[[#This Row],[Tech Start Date]]&lt;1/1/1990,"",IF(Main[[#This Row],[Class]]="C",WORKDAY(Main[[#This Row],[Tech Start Date]],19),IF(Main[[#This Row],[Class]]="B", WORKDAY(Main[[#This Row],[Tech Start Date]],12),IF(Main[[#This Row],[Class]]="A",WORKDAY(Main[[#This Row],[Tech Start Date]],4),""))))</f>
        <v/>
      </c>
      <c r="O96" s="69" t="str">
        <f>IF(Main[[#This Row],[Tech Start Date]]&lt;1/1/1990,"",IF(Main[[#This Row],[Class]]="C",WORKDAY(Main[[#This Row],[Tech Start Date]],23),IF(Main[[#This Row],[Class]]="B", WORKDAY(Main[[#This Row],[Tech Start Date]],15),IF(Main[[#This Row],[Class]]="A",WORKDAY(Main[[#This Row],[Tech Start Date]],5),""))))</f>
        <v/>
      </c>
      <c r="P96" s="69" t="str">
        <f>IF(Main[[#This Row],[Tech Start Date]]&lt;1/1/1990,"",IF(Main[[#This Row],[Class]]="C",WORKDAY(Main[[#This Row],[Tech Start Date]],28),IF(Main[[#This Row],[Class]]="B", WORKDAY(Main[[#This Row],[Tech Start Date]],19),IF(Main[[#This Row],[Class]]="A",WORKDAY(Main[[#This Row],[Tech Start Date]],9),""))))</f>
        <v/>
      </c>
      <c r="Q96" s="67">
        <v>40939</v>
      </c>
      <c r="R96" s="67"/>
      <c r="S96" s="65" t="s">
        <v>6</v>
      </c>
      <c r="T96" s="70" t="s">
        <v>4</v>
      </c>
      <c r="U96" s="65" t="s">
        <v>29</v>
      </c>
      <c r="V96" s="65" t="s">
        <v>2283</v>
      </c>
      <c r="W96" s="65" t="s">
        <v>4</v>
      </c>
      <c r="X96" s="65" t="s">
        <v>2865</v>
      </c>
      <c r="Y96" s="65" t="s">
        <v>3010</v>
      </c>
      <c r="Z96" s="65" t="s">
        <v>4</v>
      </c>
      <c r="AA96" s="65" t="s">
        <v>2865</v>
      </c>
    </row>
    <row r="97" spans="1:27" ht="17.45" hidden="1" customHeight="1">
      <c r="A97" s="100" t="str">
        <f>IF(priority(Main[[#This Row],[Comments]])&lt;&gt;0, priority(Main[[#This Row],[Comments]]),"")</f>
        <v/>
      </c>
      <c r="B97" s="77" t="s">
        <v>1748</v>
      </c>
      <c r="C97" s="65" t="s">
        <v>4</v>
      </c>
      <c r="D97" s="66" t="s">
        <v>2331</v>
      </c>
      <c r="E97" s="67"/>
      <c r="F97" s="67"/>
      <c r="G97" s="64" t="str">
        <f>IF(stdProdLT(Main[[#This Row],[Comments]])=0.1,"N/A",IF(stdProdLT(Main[[#This Row],[Comments]])=0,"",stdProdLT(Main[[#This Row],[Comments]])))</f>
        <v/>
      </c>
      <c r="H97" s="68" t="str">
        <f>IF(AND(Main[[#This Row],[In Stock Date]]&lt;&gt;"",Main[[#This Row],[Revised Due Date]]&lt;&gt;""),Main[[#This Row],[In Stock Date]]-Main[[#This Row],[Revised Due Date]],"")</f>
        <v/>
      </c>
      <c r="I97" s="65" t="s">
        <v>130</v>
      </c>
      <c r="J97" s="65" t="s">
        <v>70</v>
      </c>
      <c r="K97" s="65" t="s">
        <v>1923</v>
      </c>
      <c r="L97" s="67"/>
      <c r="M97" s="69" t="str">
        <f>IF(Main[[#This Row],[Tech Start Date]]&lt;1/1/1990,"",IF(Main[[#This Row],[Class]]="C",WORKDAY(Main[[#This Row],[Tech Start Date]],9),IF(Main[[#This Row],[Class]]="B", WORKDAY(Main[[#This Row],[Tech Start Date]],6),IF(Main[[#This Row],[Class]]="A",WORKDAY(Main[[#This Row],[Tech Start Date]],2),""))))</f>
        <v/>
      </c>
      <c r="N97" s="69" t="str">
        <f>IF(Main[[#This Row],[Tech Start Date]]&lt;1/1/1990,"",IF(Main[[#This Row],[Class]]="C",WORKDAY(Main[[#This Row],[Tech Start Date]],19),IF(Main[[#This Row],[Class]]="B", WORKDAY(Main[[#This Row],[Tech Start Date]],12),IF(Main[[#This Row],[Class]]="A",WORKDAY(Main[[#This Row],[Tech Start Date]],4),""))))</f>
        <v/>
      </c>
      <c r="O97" s="69" t="str">
        <f>IF(Main[[#This Row],[Tech Start Date]]&lt;1/1/1990,"",IF(Main[[#This Row],[Class]]="C",WORKDAY(Main[[#This Row],[Tech Start Date]],23),IF(Main[[#This Row],[Class]]="B", WORKDAY(Main[[#This Row],[Tech Start Date]],15),IF(Main[[#This Row],[Class]]="A",WORKDAY(Main[[#This Row],[Tech Start Date]],5),""))))</f>
        <v/>
      </c>
      <c r="P97" s="69" t="str">
        <f>IF(Main[[#This Row],[Tech Start Date]]&lt;1/1/1990,"",IF(Main[[#This Row],[Class]]="C",WORKDAY(Main[[#This Row],[Tech Start Date]],28),IF(Main[[#This Row],[Class]]="B", WORKDAY(Main[[#This Row],[Tech Start Date]],19),IF(Main[[#This Row],[Class]]="A",WORKDAY(Main[[#This Row],[Tech Start Date]],9),""))))</f>
        <v/>
      </c>
      <c r="Q97" s="67">
        <v>40786</v>
      </c>
      <c r="R97" s="67"/>
      <c r="S97" s="65" t="s">
        <v>6</v>
      </c>
      <c r="T97" s="70" t="s">
        <v>4</v>
      </c>
      <c r="U97" s="65" t="s">
        <v>14</v>
      </c>
      <c r="V97" s="65" t="s">
        <v>1917</v>
      </c>
      <c r="W97" s="65" t="s">
        <v>1918</v>
      </c>
      <c r="X97" s="65" t="s">
        <v>399</v>
      </c>
      <c r="Y97" s="65" t="s">
        <v>4</v>
      </c>
      <c r="Z97" s="65" t="s">
        <v>44</v>
      </c>
      <c r="AA97" s="65" t="s">
        <v>3379</v>
      </c>
    </row>
    <row r="98" spans="1:27" ht="17.45" hidden="1" customHeight="1">
      <c r="A98" s="100" t="str">
        <f>IF(priority(Main[[#This Row],[Comments]])&lt;&gt;0, priority(Main[[#This Row],[Comments]]),"")</f>
        <v/>
      </c>
      <c r="B98" s="77" t="s">
        <v>1945</v>
      </c>
      <c r="C98" s="65" t="s">
        <v>4</v>
      </c>
      <c r="D98" s="66" t="s">
        <v>3318</v>
      </c>
      <c r="E98" s="67">
        <v>40721.395208333335</v>
      </c>
      <c r="F98" s="67"/>
      <c r="G98" s="64" t="str">
        <f>IF(stdProdLT(Main[[#This Row],[Comments]])=0.1,"N/A",IF(stdProdLT(Main[[#This Row],[Comments]])=0,"",stdProdLT(Main[[#This Row],[Comments]])))</f>
        <v/>
      </c>
      <c r="H98" s="68" t="str">
        <f>IF(AND(Main[[#This Row],[In Stock Date]]&lt;&gt;"",Main[[#This Row],[Revised Due Date]]&lt;&gt;""),Main[[#This Row],[In Stock Date]]-Main[[#This Row],[Revised Due Date]],"")</f>
        <v/>
      </c>
      <c r="I98" s="65" t="s">
        <v>2051</v>
      </c>
      <c r="J98" s="65" t="s">
        <v>21</v>
      </c>
      <c r="K98" s="65" t="s">
        <v>1923</v>
      </c>
      <c r="L98" s="67"/>
      <c r="M98" s="69" t="str">
        <f>IF(Main[[#This Row],[Tech Start Date]]&lt;1/1/1990,"",IF(Main[[#This Row],[Class]]="C",WORKDAY(Main[[#This Row],[Tech Start Date]],9),IF(Main[[#This Row],[Class]]="B", WORKDAY(Main[[#This Row],[Tech Start Date]],6),IF(Main[[#This Row],[Class]]="A",WORKDAY(Main[[#This Row],[Tech Start Date]],2),""))))</f>
        <v/>
      </c>
      <c r="N98" s="69" t="str">
        <f>IF(Main[[#This Row],[Tech Start Date]]&lt;1/1/1990,"",IF(Main[[#This Row],[Class]]="C",WORKDAY(Main[[#This Row],[Tech Start Date]],19),IF(Main[[#This Row],[Class]]="B", WORKDAY(Main[[#This Row],[Tech Start Date]],12),IF(Main[[#This Row],[Class]]="A",WORKDAY(Main[[#This Row],[Tech Start Date]],4),""))))</f>
        <v/>
      </c>
      <c r="O98" s="69" t="str">
        <f>IF(Main[[#This Row],[Tech Start Date]]&lt;1/1/1990,"",IF(Main[[#This Row],[Class]]="C",WORKDAY(Main[[#This Row],[Tech Start Date]],23),IF(Main[[#This Row],[Class]]="B", WORKDAY(Main[[#This Row],[Tech Start Date]],15),IF(Main[[#This Row],[Class]]="A",WORKDAY(Main[[#This Row],[Tech Start Date]],5),""))))</f>
        <v/>
      </c>
      <c r="P98" s="69" t="str">
        <f>IF(Main[[#This Row],[Tech Start Date]]&lt;1/1/1990,"",IF(Main[[#This Row],[Class]]="C",WORKDAY(Main[[#This Row],[Tech Start Date]],28),IF(Main[[#This Row],[Class]]="B", WORKDAY(Main[[#This Row],[Tech Start Date]],19),IF(Main[[#This Row],[Class]]="A",WORKDAY(Main[[#This Row],[Tech Start Date]],9),""))))</f>
        <v/>
      </c>
      <c r="Q98" s="67">
        <v>40753</v>
      </c>
      <c r="R98" s="67"/>
      <c r="S98" s="65" t="s">
        <v>6</v>
      </c>
      <c r="T98" s="70" t="s">
        <v>4</v>
      </c>
      <c r="U98" s="65" t="s">
        <v>29</v>
      </c>
      <c r="V98" s="65" t="s">
        <v>1917</v>
      </c>
      <c r="W98" s="65" t="s">
        <v>1918</v>
      </c>
      <c r="X98" s="65" t="s">
        <v>2818</v>
      </c>
      <c r="Y98" s="65" t="s">
        <v>2929</v>
      </c>
      <c r="Z98" s="65" t="s">
        <v>44</v>
      </c>
      <c r="AA98" s="65" t="s">
        <v>2818</v>
      </c>
    </row>
    <row r="99" spans="1:27" ht="17.45" hidden="1" customHeight="1">
      <c r="A99" s="100" t="str">
        <f>IF(priority(Main[[#This Row],[Comments]])&lt;&gt;0, priority(Main[[#This Row],[Comments]]),"")</f>
        <v/>
      </c>
      <c r="B99" s="77" t="s">
        <v>3513</v>
      </c>
      <c r="C99" s="65" t="s">
        <v>4</v>
      </c>
      <c r="D99" s="66" t="s">
        <v>3585</v>
      </c>
      <c r="E99" s="67"/>
      <c r="F99" s="67"/>
      <c r="G99" s="64" t="str">
        <f>IF(stdProdLT(Main[[#This Row],[Comments]])=0.1,"N/A",IF(stdProdLT(Main[[#This Row],[Comments]])=0,"",stdProdLT(Main[[#This Row],[Comments]])))</f>
        <v/>
      </c>
      <c r="H99" s="68" t="str">
        <f>IF(AND(Main[[#This Row],[In Stock Date]]&lt;&gt;"",Main[[#This Row],[Revised Due Date]]&lt;&gt;""),Main[[#This Row],[In Stock Date]]-Main[[#This Row],[Revised Due Date]],"")</f>
        <v/>
      </c>
      <c r="I99" s="65" t="s">
        <v>4</v>
      </c>
      <c r="J99" s="65" t="s">
        <v>4</v>
      </c>
      <c r="K99" s="65" t="s">
        <v>4</v>
      </c>
      <c r="L99" s="67"/>
      <c r="M99" s="69" t="str">
        <f>IF(Main[[#This Row],[Tech Start Date]]&lt;1/1/1990,"",IF(Main[[#This Row],[Class]]="C",WORKDAY(Main[[#This Row],[Tech Start Date]],9),IF(Main[[#This Row],[Class]]="B", WORKDAY(Main[[#This Row],[Tech Start Date]],6),IF(Main[[#This Row],[Class]]="A",WORKDAY(Main[[#This Row],[Tech Start Date]],2),""))))</f>
        <v/>
      </c>
      <c r="N99" s="69" t="str">
        <f>IF(Main[[#This Row],[Tech Start Date]]&lt;1/1/1990,"",IF(Main[[#This Row],[Class]]="C",WORKDAY(Main[[#This Row],[Tech Start Date]],19),IF(Main[[#This Row],[Class]]="B", WORKDAY(Main[[#This Row],[Tech Start Date]],12),IF(Main[[#This Row],[Class]]="A",WORKDAY(Main[[#This Row],[Tech Start Date]],4),""))))</f>
        <v/>
      </c>
      <c r="O99" s="69" t="str">
        <f>IF(Main[[#This Row],[Tech Start Date]]&lt;1/1/1990,"",IF(Main[[#This Row],[Class]]="C",WORKDAY(Main[[#This Row],[Tech Start Date]],23),IF(Main[[#This Row],[Class]]="B", WORKDAY(Main[[#This Row],[Tech Start Date]],15),IF(Main[[#This Row],[Class]]="A",WORKDAY(Main[[#This Row],[Tech Start Date]],5),""))))</f>
        <v/>
      </c>
      <c r="P99" s="69" t="str">
        <f>IF(Main[[#This Row],[Tech Start Date]]&lt;1/1/1990,"",IF(Main[[#This Row],[Class]]="C",WORKDAY(Main[[#This Row],[Tech Start Date]],28),IF(Main[[#This Row],[Class]]="B", WORKDAY(Main[[#This Row],[Tech Start Date]],19),IF(Main[[#This Row],[Class]]="A",WORKDAY(Main[[#This Row],[Tech Start Date]],9),""))))</f>
        <v/>
      </c>
      <c r="Q99" s="67">
        <v>40970</v>
      </c>
      <c r="R99" s="67"/>
      <c r="S99" s="65" t="s">
        <v>6</v>
      </c>
      <c r="T99" s="70" t="s">
        <v>4</v>
      </c>
      <c r="U99" s="65" t="s">
        <v>14</v>
      </c>
      <c r="V99" s="65" t="s">
        <v>1917</v>
      </c>
      <c r="W99" s="65" t="s">
        <v>4</v>
      </c>
      <c r="X99" s="65" t="s">
        <v>2819</v>
      </c>
      <c r="Y99" s="65" t="s">
        <v>2932</v>
      </c>
      <c r="Z99" s="65" t="s">
        <v>4</v>
      </c>
      <c r="AA99" s="65" t="s">
        <v>2819</v>
      </c>
    </row>
    <row r="100" spans="1:27" ht="17.45" hidden="1" customHeight="1">
      <c r="A100" s="100" t="str">
        <f>IF(priority(Main[[#This Row],[Comments]])&lt;&gt;0, priority(Main[[#This Row],[Comments]]),"")</f>
        <v/>
      </c>
      <c r="B100" s="77" t="s">
        <v>1042</v>
      </c>
      <c r="C100" s="65" t="s">
        <v>53</v>
      </c>
      <c r="D100" s="66" t="s">
        <v>66</v>
      </c>
      <c r="E100" s="67"/>
      <c r="F100" s="67"/>
      <c r="G100" s="64" t="str">
        <f>IF(stdProdLT(Main[[#This Row],[Comments]])=0.1,"N/A",IF(stdProdLT(Main[[#This Row],[Comments]])=0,"",stdProdLT(Main[[#This Row],[Comments]])))</f>
        <v/>
      </c>
      <c r="H100" s="68" t="str">
        <f>IF(AND(Main[[#This Row],[In Stock Date]]&lt;&gt;"",Main[[#This Row],[Revised Due Date]]&lt;&gt;""),Main[[#This Row],[In Stock Date]]-Main[[#This Row],[Revised Due Date]],"")</f>
        <v/>
      </c>
      <c r="I100" s="65" t="s">
        <v>4</v>
      </c>
      <c r="J100" s="65" t="s">
        <v>4</v>
      </c>
      <c r="K100" s="65" t="s">
        <v>4</v>
      </c>
      <c r="L100" s="67"/>
      <c r="M100" s="69" t="str">
        <f>IF(Main[[#This Row],[Tech Start Date]]&lt;1/1/1990,"",IF(Main[[#This Row],[Class]]="C",WORKDAY(Main[[#This Row],[Tech Start Date]],9),IF(Main[[#This Row],[Class]]="B", WORKDAY(Main[[#This Row],[Tech Start Date]],6),IF(Main[[#This Row],[Class]]="A",WORKDAY(Main[[#This Row],[Tech Start Date]],2),""))))</f>
        <v/>
      </c>
      <c r="N100" s="69" t="str">
        <f>IF(Main[[#This Row],[Tech Start Date]]&lt;1/1/1990,"",IF(Main[[#This Row],[Class]]="C",WORKDAY(Main[[#This Row],[Tech Start Date]],19),IF(Main[[#This Row],[Class]]="B", WORKDAY(Main[[#This Row],[Tech Start Date]],12),IF(Main[[#This Row],[Class]]="A",WORKDAY(Main[[#This Row],[Tech Start Date]],4),""))))</f>
        <v/>
      </c>
      <c r="O100" s="69" t="str">
        <f>IF(Main[[#This Row],[Tech Start Date]]&lt;1/1/1990,"",IF(Main[[#This Row],[Class]]="C",WORKDAY(Main[[#This Row],[Tech Start Date]],23),IF(Main[[#This Row],[Class]]="B", WORKDAY(Main[[#This Row],[Tech Start Date]],15),IF(Main[[#This Row],[Class]]="A",WORKDAY(Main[[#This Row],[Tech Start Date]],5),""))))</f>
        <v/>
      </c>
      <c r="P100" s="69" t="str">
        <f>IF(Main[[#This Row],[Tech Start Date]]&lt;1/1/1990,"",IF(Main[[#This Row],[Class]]="C",WORKDAY(Main[[#This Row],[Tech Start Date]],28),IF(Main[[#This Row],[Class]]="B", WORKDAY(Main[[#This Row],[Tech Start Date]],19),IF(Main[[#This Row],[Class]]="A",WORKDAY(Main[[#This Row],[Tech Start Date]],9),""))))</f>
        <v/>
      </c>
      <c r="Q100" s="67">
        <v>40667</v>
      </c>
      <c r="R100" s="67"/>
      <c r="S100" s="65" t="s">
        <v>11</v>
      </c>
      <c r="T100" s="70" t="s">
        <v>4</v>
      </c>
      <c r="U100" s="65" t="s">
        <v>14</v>
      </c>
      <c r="V100" s="65" t="s">
        <v>1915</v>
      </c>
      <c r="W100" s="65" t="s">
        <v>1916</v>
      </c>
      <c r="X100" s="65" t="s">
        <v>2816</v>
      </c>
      <c r="Y100" s="65" t="s">
        <v>4</v>
      </c>
      <c r="Z100" s="65" t="s">
        <v>4</v>
      </c>
      <c r="AA100" s="65" t="s">
        <v>2816</v>
      </c>
    </row>
    <row r="101" spans="1:27" ht="17.45" hidden="1" customHeight="1">
      <c r="A101" s="100" t="str">
        <f>IF(priority(Main[[#This Row],[Comments]])&lt;&gt;0, priority(Main[[#This Row],[Comments]]),"")</f>
        <v/>
      </c>
      <c r="B101" s="77" t="s">
        <v>2027</v>
      </c>
      <c r="C101" s="65" t="s">
        <v>4</v>
      </c>
      <c r="D101" s="66" t="s">
        <v>2028</v>
      </c>
      <c r="E101" s="67">
        <v>40749.684224537035</v>
      </c>
      <c r="F101" s="67"/>
      <c r="G101" s="64" t="str">
        <f>IF(stdProdLT(Main[[#This Row],[Comments]])=0.1,"N/A",IF(stdProdLT(Main[[#This Row],[Comments]])=0,"",stdProdLT(Main[[#This Row],[Comments]])))</f>
        <v/>
      </c>
      <c r="H101" s="68" t="str">
        <f>IF(AND(Main[[#This Row],[In Stock Date]]&lt;&gt;"",Main[[#This Row],[Revised Due Date]]&lt;&gt;""),Main[[#This Row],[In Stock Date]]-Main[[#This Row],[Revised Due Date]],"")</f>
        <v/>
      </c>
      <c r="I101" s="65" t="s">
        <v>4</v>
      </c>
      <c r="J101" s="65" t="s">
        <v>4</v>
      </c>
      <c r="K101" s="71" t="s">
        <v>4</v>
      </c>
      <c r="L101" s="67"/>
      <c r="M101" s="69" t="str">
        <f>IF(Main[[#This Row],[Tech Start Date]]&lt;1/1/1990,"",IF(Main[[#This Row],[Class]]="C",WORKDAY(Main[[#This Row],[Tech Start Date]],9),IF(Main[[#This Row],[Class]]="B", WORKDAY(Main[[#This Row],[Tech Start Date]],6),IF(Main[[#This Row],[Class]]="A",WORKDAY(Main[[#This Row],[Tech Start Date]],2),""))))</f>
        <v/>
      </c>
      <c r="N101" s="69" t="str">
        <f>IF(Main[[#This Row],[Tech Start Date]]&lt;1/1/1990,"",IF(Main[[#This Row],[Class]]="C",WORKDAY(Main[[#This Row],[Tech Start Date]],19),IF(Main[[#This Row],[Class]]="B", WORKDAY(Main[[#This Row],[Tech Start Date]],12),IF(Main[[#This Row],[Class]]="A",WORKDAY(Main[[#This Row],[Tech Start Date]],4),""))))</f>
        <v/>
      </c>
      <c r="O101" s="69" t="str">
        <f>IF(Main[[#This Row],[Tech Start Date]]&lt;1/1/1990,"",IF(Main[[#This Row],[Class]]="C",WORKDAY(Main[[#This Row],[Tech Start Date]],23),IF(Main[[#This Row],[Class]]="B", WORKDAY(Main[[#This Row],[Tech Start Date]],15),IF(Main[[#This Row],[Class]]="A",WORKDAY(Main[[#This Row],[Tech Start Date]],5),""))))</f>
        <v/>
      </c>
      <c r="P101" s="69" t="str">
        <f>IF(Main[[#This Row],[Tech Start Date]]&lt;1/1/1990,"",IF(Main[[#This Row],[Class]]="C",WORKDAY(Main[[#This Row],[Tech Start Date]],28),IF(Main[[#This Row],[Class]]="B", WORKDAY(Main[[#This Row],[Tech Start Date]],19),IF(Main[[#This Row],[Class]]="A",WORKDAY(Main[[#This Row],[Tech Start Date]],9),""))))</f>
        <v/>
      </c>
      <c r="Q101" s="67">
        <v>40781</v>
      </c>
      <c r="R101" s="67"/>
      <c r="S101" s="65" t="s">
        <v>6</v>
      </c>
      <c r="T101" s="70" t="s">
        <v>4</v>
      </c>
      <c r="U101" s="65" t="s">
        <v>7</v>
      </c>
      <c r="V101" s="65" t="s">
        <v>1914</v>
      </c>
      <c r="W101" s="65" t="s">
        <v>4</v>
      </c>
      <c r="X101" s="65" t="s">
        <v>2819</v>
      </c>
      <c r="Y101" s="65" t="s">
        <v>2932</v>
      </c>
      <c r="Z101" s="65" t="s">
        <v>4</v>
      </c>
      <c r="AA101" s="65" t="s">
        <v>2819</v>
      </c>
    </row>
    <row r="102" spans="1:27" ht="17.45" hidden="1" customHeight="1">
      <c r="A102" s="100" t="str">
        <f>IF(priority(Main[[#This Row],[Comments]])&lt;&gt;0, priority(Main[[#This Row],[Comments]]),"")</f>
        <v/>
      </c>
      <c r="B102" s="77" t="s">
        <v>1053</v>
      </c>
      <c r="C102" s="65" t="s">
        <v>4</v>
      </c>
      <c r="D102" s="66" t="s">
        <v>85</v>
      </c>
      <c r="E102" s="67"/>
      <c r="F102" s="67"/>
      <c r="G102" s="64" t="str">
        <f>IF(stdProdLT(Main[[#This Row],[Comments]])=0.1,"N/A",IF(stdProdLT(Main[[#This Row],[Comments]])=0,"",stdProdLT(Main[[#This Row],[Comments]])))</f>
        <v/>
      </c>
      <c r="H102" s="68" t="str">
        <f>IF(AND(Main[[#This Row],[In Stock Date]]&lt;&gt;"",Main[[#This Row],[Revised Due Date]]&lt;&gt;""),Main[[#This Row],[In Stock Date]]-Main[[#This Row],[Revised Due Date]],"")</f>
        <v/>
      </c>
      <c r="I102" s="65" t="s">
        <v>4</v>
      </c>
      <c r="J102" s="65" t="s">
        <v>4</v>
      </c>
      <c r="K102" s="65" t="s">
        <v>4</v>
      </c>
      <c r="L102" s="67"/>
      <c r="M102" s="69" t="str">
        <f>IF(Main[[#This Row],[Tech Start Date]]&lt;1/1/1990,"",IF(Main[[#This Row],[Class]]="C",WORKDAY(Main[[#This Row],[Tech Start Date]],9),IF(Main[[#This Row],[Class]]="B", WORKDAY(Main[[#This Row],[Tech Start Date]],6),IF(Main[[#This Row],[Class]]="A",WORKDAY(Main[[#This Row],[Tech Start Date]],2),""))))</f>
        <v/>
      </c>
      <c r="N102" s="69" t="str">
        <f>IF(Main[[#This Row],[Tech Start Date]]&lt;1/1/1990,"",IF(Main[[#This Row],[Class]]="C",WORKDAY(Main[[#This Row],[Tech Start Date]],19),IF(Main[[#This Row],[Class]]="B", WORKDAY(Main[[#This Row],[Tech Start Date]],12),IF(Main[[#This Row],[Class]]="A",WORKDAY(Main[[#This Row],[Tech Start Date]],4),""))))</f>
        <v/>
      </c>
      <c r="O102" s="69" t="str">
        <f>IF(Main[[#This Row],[Tech Start Date]]&lt;1/1/1990,"",IF(Main[[#This Row],[Class]]="C",WORKDAY(Main[[#This Row],[Tech Start Date]],23),IF(Main[[#This Row],[Class]]="B", WORKDAY(Main[[#This Row],[Tech Start Date]],15),IF(Main[[#This Row],[Class]]="A",WORKDAY(Main[[#This Row],[Tech Start Date]],5),""))))</f>
        <v/>
      </c>
      <c r="P102" s="69" t="str">
        <f>IF(Main[[#This Row],[Tech Start Date]]&lt;1/1/1990,"",IF(Main[[#This Row],[Class]]="C",WORKDAY(Main[[#This Row],[Tech Start Date]],28),IF(Main[[#This Row],[Class]]="B", WORKDAY(Main[[#This Row],[Tech Start Date]],19),IF(Main[[#This Row],[Class]]="A",WORKDAY(Main[[#This Row],[Tech Start Date]],9),""))))</f>
        <v/>
      </c>
      <c r="Q102" s="67"/>
      <c r="R102" s="67"/>
      <c r="S102" s="65" t="s">
        <v>6</v>
      </c>
      <c r="T102" s="70" t="s">
        <v>4</v>
      </c>
      <c r="U102" s="65" t="s">
        <v>14</v>
      </c>
      <c r="V102" s="65" t="s">
        <v>1915</v>
      </c>
      <c r="W102" s="65" t="s">
        <v>1918</v>
      </c>
      <c r="X102" s="65" t="s">
        <v>399</v>
      </c>
      <c r="Y102" s="65" t="s">
        <v>4</v>
      </c>
      <c r="Z102" s="65" t="s">
        <v>4</v>
      </c>
      <c r="AA102" s="65" t="s">
        <v>3383</v>
      </c>
    </row>
    <row r="103" spans="1:27" ht="17.45" hidden="1" customHeight="1">
      <c r="A103" s="100" t="str">
        <f>IF(priority(Main[[#This Row],[Comments]])&lt;&gt;0, priority(Main[[#This Row],[Comments]]),"")</f>
        <v/>
      </c>
      <c r="B103" s="77" t="s">
        <v>1931</v>
      </c>
      <c r="C103" s="65" t="s">
        <v>4</v>
      </c>
      <c r="D103" s="66" t="s">
        <v>5</v>
      </c>
      <c r="E103" s="67">
        <v>40485.386250000003</v>
      </c>
      <c r="F103" s="67"/>
      <c r="G103" s="64" t="str">
        <f>IF(stdProdLT(Main[[#This Row],[Comments]])=0.1,"N/A",IF(stdProdLT(Main[[#This Row],[Comments]])=0,"",stdProdLT(Main[[#This Row],[Comments]])))</f>
        <v/>
      </c>
      <c r="H103" s="68" t="str">
        <f>IF(AND(Main[[#This Row],[In Stock Date]]&lt;&gt;"",Main[[#This Row],[Revised Due Date]]&lt;&gt;""),Main[[#This Row],[In Stock Date]]-Main[[#This Row],[Revised Due Date]],"")</f>
        <v/>
      </c>
      <c r="I103" s="65" t="s">
        <v>4</v>
      </c>
      <c r="J103" s="65" t="s">
        <v>4</v>
      </c>
      <c r="K103" s="71" t="s">
        <v>4</v>
      </c>
      <c r="L103" s="67"/>
      <c r="M103" s="69" t="str">
        <f>IF(Main[[#This Row],[Tech Start Date]]&lt;1/1/1990,"",IF(Main[[#This Row],[Class]]="C",WORKDAY(Main[[#This Row],[Tech Start Date]],9),IF(Main[[#This Row],[Class]]="B", WORKDAY(Main[[#This Row],[Tech Start Date]],6),IF(Main[[#This Row],[Class]]="A",WORKDAY(Main[[#This Row],[Tech Start Date]],2),""))))</f>
        <v/>
      </c>
      <c r="N103" s="69" t="str">
        <f>IF(Main[[#This Row],[Tech Start Date]]&lt;1/1/1990,"",IF(Main[[#This Row],[Class]]="C",WORKDAY(Main[[#This Row],[Tech Start Date]],19),IF(Main[[#This Row],[Class]]="B", WORKDAY(Main[[#This Row],[Tech Start Date]],12),IF(Main[[#This Row],[Class]]="A",WORKDAY(Main[[#This Row],[Tech Start Date]],4),""))))</f>
        <v/>
      </c>
      <c r="O103" s="69" t="str">
        <f>IF(Main[[#This Row],[Tech Start Date]]&lt;1/1/1990,"",IF(Main[[#This Row],[Class]]="C",WORKDAY(Main[[#This Row],[Tech Start Date]],23),IF(Main[[#This Row],[Class]]="B", WORKDAY(Main[[#This Row],[Tech Start Date]],15),IF(Main[[#This Row],[Class]]="A",WORKDAY(Main[[#This Row],[Tech Start Date]],5),""))))</f>
        <v/>
      </c>
      <c r="P103" s="69" t="str">
        <f>IF(Main[[#This Row],[Tech Start Date]]&lt;1/1/1990,"",IF(Main[[#This Row],[Class]]="C",WORKDAY(Main[[#This Row],[Tech Start Date]],28),IF(Main[[#This Row],[Class]]="B", WORKDAY(Main[[#This Row],[Tech Start Date]],19),IF(Main[[#This Row],[Class]]="A",WORKDAY(Main[[#This Row],[Tech Start Date]],9),""))))</f>
        <v/>
      </c>
      <c r="Q103" s="67">
        <v>40508</v>
      </c>
      <c r="R103" s="67"/>
      <c r="S103" s="65" t="s">
        <v>6</v>
      </c>
      <c r="T103" s="70" t="s">
        <v>4</v>
      </c>
      <c r="U103" s="65" t="s">
        <v>7</v>
      </c>
      <c r="V103" s="65" t="s">
        <v>1914</v>
      </c>
      <c r="W103" s="65" t="s">
        <v>4</v>
      </c>
      <c r="X103" s="65" t="s">
        <v>2819</v>
      </c>
      <c r="Y103" s="65" t="s">
        <v>2932</v>
      </c>
      <c r="Z103" s="65" t="s">
        <v>4</v>
      </c>
      <c r="AA103" s="65" t="s">
        <v>2819</v>
      </c>
    </row>
    <row r="104" spans="1:27" ht="17.45" hidden="1" customHeight="1">
      <c r="A104" s="100" t="str">
        <f>IF(priority(Main[[#This Row],[Comments]])&lt;&gt;0, priority(Main[[#This Row],[Comments]]),"")</f>
        <v/>
      </c>
      <c r="B104" s="77" t="s">
        <v>1008</v>
      </c>
      <c r="C104" s="65" t="s">
        <v>4</v>
      </c>
      <c r="D104" s="66" t="s">
        <v>8</v>
      </c>
      <c r="E104" s="67">
        <v>40679.251782407409</v>
      </c>
      <c r="F104" s="67"/>
      <c r="G104" s="64" t="str">
        <f>IF(stdProdLT(Main[[#This Row],[Comments]])=0.1,"N/A",IF(stdProdLT(Main[[#This Row],[Comments]])=0,"",stdProdLT(Main[[#This Row],[Comments]])))</f>
        <v/>
      </c>
      <c r="H104" s="68" t="str">
        <f>IF(AND(Main[[#This Row],[In Stock Date]]&lt;&gt;"",Main[[#This Row],[Revised Due Date]]&lt;&gt;""),Main[[#This Row],[In Stock Date]]-Main[[#This Row],[Revised Due Date]],"")</f>
        <v/>
      </c>
      <c r="I104" s="65" t="s">
        <v>4</v>
      </c>
      <c r="J104" s="65" t="s">
        <v>4</v>
      </c>
      <c r="K104" s="65" t="s">
        <v>4</v>
      </c>
      <c r="L104" s="67"/>
      <c r="M104" s="69" t="str">
        <f>IF(Main[[#This Row],[Tech Start Date]]&lt;1/1/1990,"",IF(Main[[#This Row],[Class]]="C",WORKDAY(Main[[#This Row],[Tech Start Date]],9),IF(Main[[#This Row],[Class]]="B", WORKDAY(Main[[#This Row],[Tech Start Date]],6),IF(Main[[#This Row],[Class]]="A",WORKDAY(Main[[#This Row],[Tech Start Date]],2),""))))</f>
        <v/>
      </c>
      <c r="N104" s="69" t="str">
        <f>IF(Main[[#This Row],[Tech Start Date]]&lt;1/1/1990,"",IF(Main[[#This Row],[Class]]="C",WORKDAY(Main[[#This Row],[Tech Start Date]],19),IF(Main[[#This Row],[Class]]="B", WORKDAY(Main[[#This Row],[Tech Start Date]],12),IF(Main[[#This Row],[Class]]="A",WORKDAY(Main[[#This Row],[Tech Start Date]],4),""))))</f>
        <v/>
      </c>
      <c r="O104" s="69" t="str">
        <f>IF(Main[[#This Row],[Tech Start Date]]&lt;1/1/1990,"",IF(Main[[#This Row],[Class]]="C",WORKDAY(Main[[#This Row],[Tech Start Date]],23),IF(Main[[#This Row],[Class]]="B", WORKDAY(Main[[#This Row],[Tech Start Date]],15),IF(Main[[#This Row],[Class]]="A",WORKDAY(Main[[#This Row],[Tech Start Date]],5),""))))</f>
        <v/>
      </c>
      <c r="P104" s="69" t="str">
        <f>IF(Main[[#This Row],[Tech Start Date]]&lt;1/1/1990,"",IF(Main[[#This Row],[Class]]="C",WORKDAY(Main[[#This Row],[Tech Start Date]],28),IF(Main[[#This Row],[Class]]="B", WORKDAY(Main[[#This Row],[Tech Start Date]],19),IF(Main[[#This Row],[Class]]="A",WORKDAY(Main[[#This Row],[Tech Start Date]],9),""))))</f>
        <v/>
      </c>
      <c r="Q104" s="67"/>
      <c r="R104" s="67"/>
      <c r="S104" s="65" t="s">
        <v>6</v>
      </c>
      <c r="T104" s="70" t="s">
        <v>4</v>
      </c>
      <c r="U104" s="65" t="s">
        <v>7</v>
      </c>
      <c r="V104" s="65" t="s">
        <v>1914</v>
      </c>
      <c r="W104" s="65" t="s">
        <v>4</v>
      </c>
      <c r="X104" s="65" t="s">
        <v>2822</v>
      </c>
      <c r="Y104" s="65" t="s">
        <v>2938</v>
      </c>
      <c r="Z104" s="65" t="s">
        <v>4</v>
      </c>
      <c r="AA104" s="65" t="s">
        <v>2822</v>
      </c>
    </row>
    <row r="105" spans="1:27" ht="17.45" hidden="1" customHeight="1">
      <c r="A105" s="100" t="str">
        <f>IF(priority(Main[[#This Row],[Comments]])&lt;&gt;0, priority(Main[[#This Row],[Comments]]),"")</f>
        <v/>
      </c>
      <c r="B105" s="77" t="s">
        <v>1009</v>
      </c>
      <c r="C105" s="65" t="s">
        <v>9</v>
      </c>
      <c r="D105" s="66" t="s">
        <v>10</v>
      </c>
      <c r="E105" s="67"/>
      <c r="F105" s="67"/>
      <c r="G105" s="64" t="str">
        <f>IF(stdProdLT(Main[[#This Row],[Comments]])=0.1,"N/A",IF(stdProdLT(Main[[#This Row],[Comments]])=0,"",stdProdLT(Main[[#This Row],[Comments]])))</f>
        <v/>
      </c>
      <c r="H105" s="68" t="str">
        <f>IF(AND(Main[[#This Row],[In Stock Date]]&lt;&gt;"",Main[[#This Row],[Revised Due Date]]&lt;&gt;""),Main[[#This Row],[In Stock Date]]-Main[[#This Row],[Revised Due Date]],"")</f>
        <v/>
      </c>
      <c r="I105" s="65" t="s">
        <v>4</v>
      </c>
      <c r="J105" s="65" t="s">
        <v>4</v>
      </c>
      <c r="K105" s="65" t="s">
        <v>4</v>
      </c>
      <c r="L105" s="67"/>
      <c r="M105" s="69" t="str">
        <f>IF(Main[[#This Row],[Tech Start Date]]&lt;1/1/1990,"",IF(Main[[#This Row],[Class]]="C",WORKDAY(Main[[#This Row],[Tech Start Date]],9),IF(Main[[#This Row],[Class]]="B", WORKDAY(Main[[#This Row],[Tech Start Date]],6),IF(Main[[#This Row],[Class]]="A",WORKDAY(Main[[#This Row],[Tech Start Date]],2),""))))</f>
        <v/>
      </c>
      <c r="N105" s="69" t="str">
        <f>IF(Main[[#This Row],[Tech Start Date]]&lt;1/1/1990,"",IF(Main[[#This Row],[Class]]="C",WORKDAY(Main[[#This Row],[Tech Start Date]],19),IF(Main[[#This Row],[Class]]="B", WORKDAY(Main[[#This Row],[Tech Start Date]],12),IF(Main[[#This Row],[Class]]="A",WORKDAY(Main[[#This Row],[Tech Start Date]],4),""))))</f>
        <v/>
      </c>
      <c r="O105" s="69" t="str">
        <f>IF(Main[[#This Row],[Tech Start Date]]&lt;1/1/1990,"",IF(Main[[#This Row],[Class]]="C",WORKDAY(Main[[#This Row],[Tech Start Date]],23),IF(Main[[#This Row],[Class]]="B", WORKDAY(Main[[#This Row],[Tech Start Date]],15),IF(Main[[#This Row],[Class]]="A",WORKDAY(Main[[#This Row],[Tech Start Date]],5),""))))</f>
        <v/>
      </c>
      <c r="P105" s="69" t="str">
        <f>IF(Main[[#This Row],[Tech Start Date]]&lt;1/1/1990,"",IF(Main[[#This Row],[Class]]="C",WORKDAY(Main[[#This Row],[Tech Start Date]],28),IF(Main[[#This Row],[Class]]="B", WORKDAY(Main[[#This Row],[Tech Start Date]],19),IF(Main[[#This Row],[Class]]="A",WORKDAY(Main[[#This Row],[Tech Start Date]],9),""))))</f>
        <v/>
      </c>
      <c r="Q105" s="67">
        <v>40504</v>
      </c>
      <c r="R105" s="67"/>
      <c r="S105" s="65" t="s">
        <v>11</v>
      </c>
      <c r="T105" s="70" t="s">
        <v>4</v>
      </c>
      <c r="U105" s="65" t="s">
        <v>12</v>
      </c>
      <c r="V105" s="65" t="s">
        <v>1915</v>
      </c>
      <c r="W105" s="65" t="s">
        <v>1916</v>
      </c>
      <c r="X105" s="65" t="s">
        <v>2823</v>
      </c>
      <c r="Y105" s="65" t="s">
        <v>4</v>
      </c>
      <c r="Z105" s="65" t="s">
        <v>4</v>
      </c>
      <c r="AA105" s="65" t="s">
        <v>2823</v>
      </c>
    </row>
    <row r="106" spans="1:27" ht="17.45" hidden="1" customHeight="1">
      <c r="A106" s="100" t="str">
        <f>IF(priority(Main[[#This Row],[Comments]])&lt;&gt;0, priority(Main[[#This Row],[Comments]]),"")</f>
        <v/>
      </c>
      <c r="B106" s="77" t="s">
        <v>1010</v>
      </c>
      <c r="C106" s="65" t="s">
        <v>4</v>
      </c>
      <c r="D106" s="66" t="s">
        <v>13</v>
      </c>
      <c r="E106" s="67"/>
      <c r="F106" s="67"/>
      <c r="G106" s="64" t="str">
        <f>IF(stdProdLT(Main[[#This Row],[Comments]])=0.1,"N/A",IF(stdProdLT(Main[[#This Row],[Comments]])=0,"",stdProdLT(Main[[#This Row],[Comments]])))</f>
        <v/>
      </c>
      <c r="H106" s="68" t="str">
        <f>IF(AND(Main[[#This Row],[In Stock Date]]&lt;&gt;"",Main[[#This Row],[Revised Due Date]]&lt;&gt;""),Main[[#This Row],[In Stock Date]]-Main[[#This Row],[Revised Due Date]],"")</f>
        <v/>
      </c>
      <c r="I106" s="65" t="s">
        <v>4</v>
      </c>
      <c r="J106" s="65" t="s">
        <v>4</v>
      </c>
      <c r="K106" s="65" t="s">
        <v>4</v>
      </c>
      <c r="L106" s="67"/>
      <c r="M106" s="69" t="str">
        <f>IF(Main[[#This Row],[Tech Start Date]]&lt;1/1/1990,"",IF(Main[[#This Row],[Class]]="C",WORKDAY(Main[[#This Row],[Tech Start Date]],9),IF(Main[[#This Row],[Class]]="B", WORKDAY(Main[[#This Row],[Tech Start Date]],6),IF(Main[[#This Row],[Class]]="A",WORKDAY(Main[[#This Row],[Tech Start Date]],2),""))))</f>
        <v/>
      </c>
      <c r="N106" s="69" t="str">
        <f>IF(Main[[#This Row],[Tech Start Date]]&lt;1/1/1990,"",IF(Main[[#This Row],[Class]]="C",WORKDAY(Main[[#This Row],[Tech Start Date]],19),IF(Main[[#This Row],[Class]]="B", WORKDAY(Main[[#This Row],[Tech Start Date]],12),IF(Main[[#This Row],[Class]]="A",WORKDAY(Main[[#This Row],[Tech Start Date]],4),""))))</f>
        <v/>
      </c>
      <c r="O106" s="69" t="str">
        <f>IF(Main[[#This Row],[Tech Start Date]]&lt;1/1/1990,"",IF(Main[[#This Row],[Class]]="C",WORKDAY(Main[[#This Row],[Tech Start Date]],23),IF(Main[[#This Row],[Class]]="B", WORKDAY(Main[[#This Row],[Tech Start Date]],15),IF(Main[[#This Row],[Class]]="A",WORKDAY(Main[[#This Row],[Tech Start Date]],5),""))))</f>
        <v/>
      </c>
      <c r="P106" s="69" t="str">
        <f>IF(Main[[#This Row],[Tech Start Date]]&lt;1/1/1990,"",IF(Main[[#This Row],[Class]]="C",WORKDAY(Main[[#This Row],[Tech Start Date]],28),IF(Main[[#This Row],[Class]]="B", WORKDAY(Main[[#This Row],[Tech Start Date]],19),IF(Main[[#This Row],[Class]]="A",WORKDAY(Main[[#This Row],[Tech Start Date]],9),""))))</f>
        <v/>
      </c>
      <c r="Q106" s="67"/>
      <c r="R106" s="67"/>
      <c r="S106" s="65" t="s">
        <v>6</v>
      </c>
      <c r="T106" s="70" t="s">
        <v>4</v>
      </c>
      <c r="U106" s="65" t="s">
        <v>14</v>
      </c>
      <c r="V106" s="65" t="s">
        <v>1917</v>
      </c>
      <c r="W106" s="65" t="s">
        <v>1918</v>
      </c>
      <c r="X106" s="65" t="s">
        <v>306</v>
      </c>
      <c r="Y106" s="65" t="s">
        <v>4</v>
      </c>
      <c r="Z106" s="65" t="s">
        <v>4</v>
      </c>
      <c r="AA106" s="65" t="s">
        <v>652</v>
      </c>
    </row>
    <row r="107" spans="1:27" ht="17.45" hidden="1" customHeight="1">
      <c r="A107" s="100" t="str">
        <f>IF(priority(Main[[#This Row],[Comments]])&lt;&gt;0, priority(Main[[#This Row],[Comments]]),"")</f>
        <v/>
      </c>
      <c r="B107" s="77" t="s">
        <v>1103</v>
      </c>
      <c r="C107" s="65" t="s">
        <v>4</v>
      </c>
      <c r="D107" s="66" t="s">
        <v>125</v>
      </c>
      <c r="E107" s="67"/>
      <c r="F107" s="67"/>
      <c r="G107" s="64" t="str">
        <f>IF(stdProdLT(Main[[#This Row],[Comments]])=0.1,"N/A",IF(stdProdLT(Main[[#This Row],[Comments]])=0,"",stdProdLT(Main[[#This Row],[Comments]])))</f>
        <v/>
      </c>
      <c r="H107" s="68" t="str">
        <f>IF(AND(Main[[#This Row],[In Stock Date]]&lt;&gt;"",Main[[#This Row],[Revised Due Date]]&lt;&gt;""),Main[[#This Row],[In Stock Date]]-Main[[#This Row],[Revised Due Date]],"")</f>
        <v/>
      </c>
      <c r="I107" s="65" t="s">
        <v>126</v>
      </c>
      <c r="J107" s="65" t="s">
        <v>4</v>
      </c>
      <c r="K107" s="65" t="s">
        <v>4</v>
      </c>
      <c r="L107" s="67"/>
      <c r="M107" s="69" t="str">
        <f>IF(Main[[#This Row],[Tech Start Date]]&lt;1/1/1990,"",IF(Main[[#This Row],[Class]]="C",WORKDAY(Main[[#This Row],[Tech Start Date]],9),IF(Main[[#This Row],[Class]]="B", WORKDAY(Main[[#This Row],[Tech Start Date]],6),IF(Main[[#This Row],[Class]]="A",WORKDAY(Main[[#This Row],[Tech Start Date]],2),""))))</f>
        <v/>
      </c>
      <c r="N107" s="69" t="str">
        <f>IF(Main[[#This Row],[Tech Start Date]]&lt;1/1/1990,"",IF(Main[[#This Row],[Class]]="C",WORKDAY(Main[[#This Row],[Tech Start Date]],19),IF(Main[[#This Row],[Class]]="B", WORKDAY(Main[[#This Row],[Tech Start Date]],12),IF(Main[[#This Row],[Class]]="A",WORKDAY(Main[[#This Row],[Tech Start Date]],4),""))))</f>
        <v/>
      </c>
      <c r="O107" s="69" t="str">
        <f>IF(Main[[#This Row],[Tech Start Date]]&lt;1/1/1990,"",IF(Main[[#This Row],[Class]]="C",WORKDAY(Main[[#This Row],[Tech Start Date]],23),IF(Main[[#This Row],[Class]]="B", WORKDAY(Main[[#This Row],[Tech Start Date]],15),IF(Main[[#This Row],[Class]]="A",WORKDAY(Main[[#This Row],[Tech Start Date]],5),""))))</f>
        <v/>
      </c>
      <c r="P107" s="69" t="str">
        <f>IF(Main[[#This Row],[Tech Start Date]]&lt;1/1/1990,"",IF(Main[[#This Row],[Class]]="C",WORKDAY(Main[[#This Row],[Tech Start Date]],28),IF(Main[[#This Row],[Class]]="B", WORKDAY(Main[[#This Row],[Tech Start Date]],19),IF(Main[[#This Row],[Class]]="A",WORKDAY(Main[[#This Row],[Tech Start Date]],9),""))))</f>
        <v/>
      </c>
      <c r="Q107" s="67">
        <v>40025</v>
      </c>
      <c r="R107" s="67"/>
      <c r="S107" s="65" t="s">
        <v>11</v>
      </c>
      <c r="T107" s="70" t="s">
        <v>4</v>
      </c>
      <c r="U107" s="65" t="s">
        <v>14</v>
      </c>
      <c r="V107" s="65" t="s">
        <v>1914</v>
      </c>
      <c r="W107" s="65" t="s">
        <v>1922</v>
      </c>
      <c r="X107" s="65" t="s">
        <v>2853</v>
      </c>
      <c r="Y107" s="65" t="s">
        <v>2991</v>
      </c>
      <c r="Z107" s="65" t="s">
        <v>81</v>
      </c>
      <c r="AA107" s="65" t="s">
        <v>2853</v>
      </c>
    </row>
    <row r="108" spans="1:27" ht="17.45" hidden="1" customHeight="1">
      <c r="A108" s="100" t="str">
        <f>IF(priority(Main[[#This Row],[Comments]])&lt;&gt;0, priority(Main[[#This Row],[Comments]]),"")</f>
        <v/>
      </c>
      <c r="B108" s="77" t="s">
        <v>1104</v>
      </c>
      <c r="C108" s="65" t="s">
        <v>4</v>
      </c>
      <c r="D108" s="66" t="s">
        <v>127</v>
      </c>
      <c r="E108" s="67"/>
      <c r="F108" s="67"/>
      <c r="G108" s="64" t="str">
        <f>IF(stdProdLT(Main[[#This Row],[Comments]])=0.1,"N/A",IF(stdProdLT(Main[[#This Row],[Comments]])=0,"",stdProdLT(Main[[#This Row],[Comments]])))</f>
        <v/>
      </c>
      <c r="H108" s="68" t="str">
        <f>IF(AND(Main[[#This Row],[In Stock Date]]&lt;&gt;"",Main[[#This Row],[Revised Due Date]]&lt;&gt;""),Main[[#This Row],[In Stock Date]]-Main[[#This Row],[Revised Due Date]],"")</f>
        <v/>
      </c>
      <c r="I108" s="65" t="s">
        <v>30</v>
      </c>
      <c r="J108" s="65" t="s">
        <v>21</v>
      </c>
      <c r="K108" s="65" t="s">
        <v>4</v>
      </c>
      <c r="L108" s="67"/>
      <c r="M108" s="69" t="str">
        <f>IF(Main[[#This Row],[Tech Start Date]]&lt;1/1/1990,"",IF(Main[[#This Row],[Class]]="C",WORKDAY(Main[[#This Row],[Tech Start Date]],9),IF(Main[[#This Row],[Class]]="B", WORKDAY(Main[[#This Row],[Tech Start Date]],6),IF(Main[[#This Row],[Class]]="A",WORKDAY(Main[[#This Row],[Tech Start Date]],2),""))))</f>
        <v/>
      </c>
      <c r="N108" s="69" t="str">
        <f>IF(Main[[#This Row],[Tech Start Date]]&lt;1/1/1990,"",IF(Main[[#This Row],[Class]]="C",WORKDAY(Main[[#This Row],[Tech Start Date]],19),IF(Main[[#This Row],[Class]]="B", WORKDAY(Main[[#This Row],[Tech Start Date]],12),IF(Main[[#This Row],[Class]]="A",WORKDAY(Main[[#This Row],[Tech Start Date]],4),""))))</f>
        <v/>
      </c>
      <c r="O108" s="69" t="str">
        <f>IF(Main[[#This Row],[Tech Start Date]]&lt;1/1/1990,"",IF(Main[[#This Row],[Class]]="C",WORKDAY(Main[[#This Row],[Tech Start Date]],23),IF(Main[[#This Row],[Class]]="B", WORKDAY(Main[[#This Row],[Tech Start Date]],15),IF(Main[[#This Row],[Class]]="A",WORKDAY(Main[[#This Row],[Tech Start Date]],5),""))))</f>
        <v/>
      </c>
      <c r="P108" s="69" t="str">
        <f>IF(Main[[#This Row],[Tech Start Date]]&lt;1/1/1990,"",IF(Main[[#This Row],[Class]]="C",WORKDAY(Main[[#This Row],[Tech Start Date]],28),IF(Main[[#This Row],[Class]]="B", WORKDAY(Main[[#This Row],[Tech Start Date]],19),IF(Main[[#This Row],[Class]]="A",WORKDAY(Main[[#This Row],[Tech Start Date]],9),""))))</f>
        <v/>
      </c>
      <c r="Q108" s="67">
        <v>40508</v>
      </c>
      <c r="R108" s="67"/>
      <c r="S108" s="65" t="s">
        <v>6</v>
      </c>
      <c r="T108" s="70" t="s">
        <v>4</v>
      </c>
      <c r="U108" s="65" t="s">
        <v>14</v>
      </c>
      <c r="V108" s="65" t="s">
        <v>1917</v>
      </c>
      <c r="W108" s="65" t="s">
        <v>1916</v>
      </c>
      <c r="X108" s="65" t="s">
        <v>2818</v>
      </c>
      <c r="Y108" s="65" t="s">
        <v>2929</v>
      </c>
      <c r="Z108" s="65" t="s">
        <v>530</v>
      </c>
      <c r="AA108" s="65" t="s">
        <v>2818</v>
      </c>
    </row>
    <row r="109" spans="1:27" ht="17.45" hidden="1" customHeight="1">
      <c r="A109" s="100" t="str">
        <f>IF(priority(Main[[#This Row],[Comments]])&lt;&gt;0, priority(Main[[#This Row],[Comments]]),"")</f>
        <v/>
      </c>
      <c r="B109" s="77" t="s">
        <v>3246</v>
      </c>
      <c r="C109" s="65" t="s">
        <v>72</v>
      </c>
      <c r="D109" s="66" t="s">
        <v>3247</v>
      </c>
      <c r="E109" s="67"/>
      <c r="F109" s="67"/>
      <c r="G109" s="64" t="str">
        <f>IF(stdProdLT(Main[[#This Row],[Comments]])=0.1,"N/A",IF(stdProdLT(Main[[#This Row],[Comments]])=0,"",stdProdLT(Main[[#This Row],[Comments]])))</f>
        <v/>
      </c>
      <c r="H109" s="68" t="str">
        <f>IF(AND(Main[[#This Row],[In Stock Date]]&lt;&gt;"",Main[[#This Row],[Revised Due Date]]&lt;&gt;""),Main[[#This Row],[In Stock Date]]-Main[[#This Row],[Revised Due Date]],"")</f>
        <v/>
      </c>
      <c r="I109" s="65" t="s">
        <v>4</v>
      </c>
      <c r="J109" s="65" t="s">
        <v>4</v>
      </c>
      <c r="K109" s="65" t="s">
        <v>4</v>
      </c>
      <c r="L109" s="67"/>
      <c r="M109" s="69" t="str">
        <f>IF(Main[[#This Row],[Tech Start Date]]&lt;1/1/1990,"",IF(Main[[#This Row],[Class]]="C",WORKDAY(Main[[#This Row],[Tech Start Date]],9),IF(Main[[#This Row],[Class]]="B", WORKDAY(Main[[#This Row],[Tech Start Date]],6),IF(Main[[#This Row],[Class]]="A",WORKDAY(Main[[#This Row],[Tech Start Date]],2),""))))</f>
        <v/>
      </c>
      <c r="N109" s="69" t="str">
        <f>IF(Main[[#This Row],[Tech Start Date]]&lt;1/1/1990,"",IF(Main[[#This Row],[Class]]="C",WORKDAY(Main[[#This Row],[Tech Start Date]],19),IF(Main[[#This Row],[Class]]="B", WORKDAY(Main[[#This Row],[Tech Start Date]],12),IF(Main[[#This Row],[Class]]="A",WORKDAY(Main[[#This Row],[Tech Start Date]],4),""))))</f>
        <v/>
      </c>
      <c r="O109" s="69" t="str">
        <f>IF(Main[[#This Row],[Tech Start Date]]&lt;1/1/1990,"",IF(Main[[#This Row],[Class]]="C",WORKDAY(Main[[#This Row],[Tech Start Date]],23),IF(Main[[#This Row],[Class]]="B", WORKDAY(Main[[#This Row],[Tech Start Date]],15),IF(Main[[#This Row],[Class]]="A",WORKDAY(Main[[#This Row],[Tech Start Date]],5),""))))</f>
        <v/>
      </c>
      <c r="P109" s="69" t="str">
        <f>IF(Main[[#This Row],[Tech Start Date]]&lt;1/1/1990,"",IF(Main[[#This Row],[Class]]="C",WORKDAY(Main[[#This Row],[Tech Start Date]],28),IF(Main[[#This Row],[Class]]="B", WORKDAY(Main[[#This Row],[Tech Start Date]],19),IF(Main[[#This Row],[Class]]="A",WORKDAY(Main[[#This Row],[Tech Start Date]],9),""))))</f>
        <v/>
      </c>
      <c r="Q109" s="67"/>
      <c r="R109" s="67"/>
      <c r="S109" s="65" t="s">
        <v>11</v>
      </c>
      <c r="T109" s="70" t="s">
        <v>4</v>
      </c>
      <c r="U109" s="65" t="s">
        <v>14</v>
      </c>
      <c r="V109" s="65" t="s">
        <v>1915</v>
      </c>
      <c r="W109" s="65" t="s">
        <v>1922</v>
      </c>
      <c r="X109" s="65" t="s">
        <v>2847</v>
      </c>
      <c r="Y109" s="65" t="s">
        <v>2978</v>
      </c>
      <c r="Z109" s="65" t="s">
        <v>4</v>
      </c>
      <c r="AA109" s="65" t="s">
        <v>2847</v>
      </c>
    </row>
    <row r="110" spans="1:27" ht="17.45" hidden="1" customHeight="1">
      <c r="A110" s="100" t="str">
        <f>IF(priority(Main[[#This Row],[Comments]])&lt;&gt;0, priority(Main[[#This Row],[Comments]]),"")</f>
        <v/>
      </c>
      <c r="B110" s="77" t="s">
        <v>1105</v>
      </c>
      <c r="C110" s="65" t="s">
        <v>4</v>
      </c>
      <c r="D110" s="66" t="s">
        <v>128</v>
      </c>
      <c r="E110" s="67"/>
      <c r="F110" s="67"/>
      <c r="G110" s="64" t="str">
        <f>IF(stdProdLT(Main[[#This Row],[Comments]])=0.1,"N/A",IF(stdProdLT(Main[[#This Row],[Comments]])=0,"",stdProdLT(Main[[#This Row],[Comments]])))</f>
        <v/>
      </c>
      <c r="H110" s="68" t="str">
        <f>IF(AND(Main[[#This Row],[In Stock Date]]&lt;&gt;"",Main[[#This Row],[Revised Due Date]]&lt;&gt;""),Main[[#This Row],[In Stock Date]]-Main[[#This Row],[Revised Due Date]],"")</f>
        <v/>
      </c>
      <c r="I110" s="65" t="s">
        <v>129</v>
      </c>
      <c r="J110" s="65" t="s">
        <v>4</v>
      </c>
      <c r="K110" s="65" t="s">
        <v>4</v>
      </c>
      <c r="L110" s="67"/>
      <c r="M110" s="69" t="str">
        <f>IF(Main[[#This Row],[Tech Start Date]]&lt;1/1/1990,"",IF(Main[[#This Row],[Class]]="C",WORKDAY(Main[[#This Row],[Tech Start Date]],9),IF(Main[[#This Row],[Class]]="B", WORKDAY(Main[[#This Row],[Tech Start Date]],6),IF(Main[[#This Row],[Class]]="A",WORKDAY(Main[[#This Row],[Tech Start Date]],2),""))))</f>
        <v/>
      </c>
      <c r="N110" s="69" t="str">
        <f>IF(Main[[#This Row],[Tech Start Date]]&lt;1/1/1990,"",IF(Main[[#This Row],[Class]]="C",WORKDAY(Main[[#This Row],[Tech Start Date]],19),IF(Main[[#This Row],[Class]]="B", WORKDAY(Main[[#This Row],[Tech Start Date]],12),IF(Main[[#This Row],[Class]]="A",WORKDAY(Main[[#This Row],[Tech Start Date]],4),""))))</f>
        <v/>
      </c>
      <c r="O110" s="69" t="str">
        <f>IF(Main[[#This Row],[Tech Start Date]]&lt;1/1/1990,"",IF(Main[[#This Row],[Class]]="C",WORKDAY(Main[[#This Row],[Tech Start Date]],23),IF(Main[[#This Row],[Class]]="B", WORKDAY(Main[[#This Row],[Tech Start Date]],15),IF(Main[[#This Row],[Class]]="A",WORKDAY(Main[[#This Row],[Tech Start Date]],5),""))))</f>
        <v/>
      </c>
      <c r="P110" s="69" t="str">
        <f>IF(Main[[#This Row],[Tech Start Date]]&lt;1/1/1990,"",IF(Main[[#This Row],[Class]]="C",WORKDAY(Main[[#This Row],[Tech Start Date]],28),IF(Main[[#This Row],[Class]]="B", WORKDAY(Main[[#This Row],[Tech Start Date]],19),IF(Main[[#This Row],[Class]]="A",WORKDAY(Main[[#This Row],[Tech Start Date]],9),""))))</f>
        <v/>
      </c>
      <c r="Q110" s="67"/>
      <c r="R110" s="67"/>
      <c r="S110" s="65" t="s">
        <v>17</v>
      </c>
      <c r="T110" s="70" t="s">
        <v>4</v>
      </c>
      <c r="U110" s="65" t="s">
        <v>14</v>
      </c>
      <c r="V110" s="65" t="s">
        <v>1914</v>
      </c>
      <c r="W110" s="65" t="s">
        <v>1918</v>
      </c>
      <c r="X110" s="65" t="s">
        <v>922</v>
      </c>
      <c r="Y110" s="65" t="s">
        <v>2992</v>
      </c>
      <c r="Z110" s="65" t="s">
        <v>4</v>
      </c>
      <c r="AA110" s="65" t="s">
        <v>129</v>
      </c>
    </row>
    <row r="111" spans="1:27" ht="17.45" hidden="1" customHeight="1">
      <c r="A111" s="100">
        <f>IF(priority(Main[[#This Row],[Comments]])&lt;&gt;0, priority(Main[[#This Row],[Comments]]),"")</f>
        <v>19</v>
      </c>
      <c r="B111" s="77" t="s">
        <v>2720</v>
      </c>
      <c r="C111" s="65" t="s">
        <v>2721</v>
      </c>
      <c r="D111" s="66" t="s">
        <v>3613</v>
      </c>
      <c r="E111" s="67">
        <v>40968.374976851854</v>
      </c>
      <c r="F111" s="67">
        <v>41061</v>
      </c>
      <c r="G111" s="64">
        <f>IF(stdProdLT(Main[[#This Row],[Comments]])=0.1,"N/A",IF(stdProdLT(Main[[#This Row],[Comments]])=0,"",stdProdLT(Main[[#This Row],[Comments]])))</f>
        <v>168</v>
      </c>
      <c r="H111" s="68" t="str">
        <f>IF(AND(Main[[#This Row],[In Stock Date]]&lt;&gt;"",Main[[#This Row],[Revised Due Date]]&lt;&gt;""),Main[[#This Row],[In Stock Date]]-Main[[#This Row],[Revised Due Date]],"")</f>
        <v/>
      </c>
      <c r="I111" s="65" t="s">
        <v>4</v>
      </c>
      <c r="J111" s="65" t="s">
        <v>4</v>
      </c>
      <c r="K111" s="65" t="s">
        <v>4</v>
      </c>
      <c r="L111" s="67"/>
      <c r="M111" s="69" t="str">
        <f>IF(Main[[#This Row],[Tech Start Date]]&lt;1/1/1990,"",IF(Main[[#This Row],[Class]]="C",WORKDAY(Main[[#This Row],[Tech Start Date]],9),IF(Main[[#This Row],[Class]]="B", WORKDAY(Main[[#This Row],[Tech Start Date]],6),IF(Main[[#This Row],[Class]]="A",WORKDAY(Main[[#This Row],[Tech Start Date]],2),""))))</f>
        <v/>
      </c>
      <c r="N111" s="69" t="str">
        <f>IF(Main[[#This Row],[Tech Start Date]]&lt;1/1/1990,"",IF(Main[[#This Row],[Class]]="C",WORKDAY(Main[[#This Row],[Tech Start Date]],19),IF(Main[[#This Row],[Class]]="B", WORKDAY(Main[[#This Row],[Tech Start Date]],12),IF(Main[[#This Row],[Class]]="A",WORKDAY(Main[[#This Row],[Tech Start Date]],4),""))))</f>
        <v/>
      </c>
      <c r="O111" s="69" t="str">
        <f>IF(Main[[#This Row],[Tech Start Date]]&lt;1/1/1990,"",IF(Main[[#This Row],[Class]]="C",WORKDAY(Main[[#This Row],[Tech Start Date]],23),IF(Main[[#This Row],[Class]]="B", WORKDAY(Main[[#This Row],[Tech Start Date]],15),IF(Main[[#This Row],[Class]]="A",WORKDAY(Main[[#This Row],[Tech Start Date]],5),""))))</f>
        <v/>
      </c>
      <c r="P111" s="69" t="str">
        <f>IF(Main[[#This Row],[Tech Start Date]]&lt;1/1/1990,"",IF(Main[[#This Row],[Class]]="C",WORKDAY(Main[[#This Row],[Tech Start Date]],28),IF(Main[[#This Row],[Class]]="B", WORKDAY(Main[[#This Row],[Tech Start Date]],19),IF(Main[[#This Row],[Class]]="A",WORKDAY(Main[[#This Row],[Tech Start Date]],9),""))))</f>
        <v/>
      </c>
      <c r="Q111" s="67"/>
      <c r="R111" s="67"/>
      <c r="S111" s="65" t="s">
        <v>11</v>
      </c>
      <c r="T111" s="70" t="s">
        <v>3938</v>
      </c>
      <c r="U111" s="65" t="s">
        <v>7</v>
      </c>
      <c r="V111" s="65" t="s">
        <v>1917</v>
      </c>
      <c r="W111" s="65" t="s">
        <v>1919</v>
      </c>
      <c r="X111" s="65" t="s">
        <v>2893</v>
      </c>
      <c r="Y111" s="65" t="s">
        <v>3055</v>
      </c>
      <c r="Z111" s="65" t="s">
        <v>4</v>
      </c>
      <c r="AA111" s="65" t="s">
        <v>2893</v>
      </c>
    </row>
    <row r="112" spans="1:27" ht="17.45" hidden="1" customHeight="1">
      <c r="A112" s="100" t="str">
        <f>IF(priority(Main[[#This Row],[Comments]])&lt;&gt;0, priority(Main[[#This Row],[Comments]]),"")</f>
        <v/>
      </c>
      <c r="B112" s="77" t="s">
        <v>2680</v>
      </c>
      <c r="C112" s="65" t="s">
        <v>42</v>
      </c>
      <c r="D112" s="66" t="s">
        <v>2681</v>
      </c>
      <c r="E112" s="67">
        <v>40897.730937499997</v>
      </c>
      <c r="F112" s="67"/>
      <c r="G112" s="64" t="str">
        <f>IF(stdProdLT(Main[[#This Row],[Comments]])=0.1,"N/A",IF(stdProdLT(Main[[#This Row],[Comments]])=0,"",stdProdLT(Main[[#This Row],[Comments]])))</f>
        <v/>
      </c>
      <c r="H112" s="68" t="str">
        <f>IF(AND(Main[[#This Row],[In Stock Date]]&lt;&gt;"",Main[[#This Row],[Revised Due Date]]&lt;&gt;""),Main[[#This Row],[In Stock Date]]-Main[[#This Row],[Revised Due Date]],"")</f>
        <v/>
      </c>
      <c r="I112" s="65" t="s">
        <v>239</v>
      </c>
      <c r="J112" s="65" t="s">
        <v>21</v>
      </c>
      <c r="K112" s="65" t="s">
        <v>1923</v>
      </c>
      <c r="L112" s="67"/>
      <c r="M112" s="69" t="str">
        <f>IF(Main[[#This Row],[Tech Start Date]]&lt;1/1/1990,"",IF(Main[[#This Row],[Class]]="C",WORKDAY(Main[[#This Row],[Tech Start Date]],9),IF(Main[[#This Row],[Class]]="B", WORKDAY(Main[[#This Row],[Tech Start Date]],6),IF(Main[[#This Row],[Class]]="A",WORKDAY(Main[[#This Row],[Tech Start Date]],2),""))))</f>
        <v/>
      </c>
      <c r="N112" s="69" t="str">
        <f>IF(Main[[#This Row],[Tech Start Date]]&lt;1/1/1990,"",IF(Main[[#This Row],[Class]]="C",WORKDAY(Main[[#This Row],[Tech Start Date]],19),IF(Main[[#This Row],[Class]]="B", WORKDAY(Main[[#This Row],[Tech Start Date]],12),IF(Main[[#This Row],[Class]]="A",WORKDAY(Main[[#This Row],[Tech Start Date]],4),""))))</f>
        <v/>
      </c>
      <c r="O112" s="69" t="str">
        <f>IF(Main[[#This Row],[Tech Start Date]]&lt;1/1/1990,"",IF(Main[[#This Row],[Class]]="C",WORKDAY(Main[[#This Row],[Tech Start Date]],23),IF(Main[[#This Row],[Class]]="B", WORKDAY(Main[[#This Row],[Tech Start Date]],15),IF(Main[[#This Row],[Class]]="A",WORKDAY(Main[[#This Row],[Tech Start Date]],5),""))))</f>
        <v/>
      </c>
      <c r="P112" s="69" t="str">
        <f>IF(Main[[#This Row],[Tech Start Date]]&lt;1/1/1990,"",IF(Main[[#This Row],[Class]]="C",WORKDAY(Main[[#This Row],[Tech Start Date]],28),IF(Main[[#This Row],[Class]]="B", WORKDAY(Main[[#This Row],[Tech Start Date]],19),IF(Main[[#This Row],[Class]]="A",WORKDAY(Main[[#This Row],[Tech Start Date]],9),""))))</f>
        <v/>
      </c>
      <c r="Q112" s="67">
        <v>41244</v>
      </c>
      <c r="R112" s="67"/>
      <c r="S112" s="65" t="s">
        <v>6</v>
      </c>
      <c r="T112" s="70" t="s">
        <v>4</v>
      </c>
      <c r="U112" s="65" t="s">
        <v>29</v>
      </c>
      <c r="V112" s="65" t="s">
        <v>1924</v>
      </c>
      <c r="W112" s="65" t="s">
        <v>1916</v>
      </c>
      <c r="X112" s="65" t="s">
        <v>30</v>
      </c>
      <c r="Y112" s="65" t="s">
        <v>2940</v>
      </c>
      <c r="Z112" s="65" t="s">
        <v>530</v>
      </c>
      <c r="AA112" s="65" t="s">
        <v>30</v>
      </c>
    </row>
    <row r="113" spans="1:27" ht="17.45" hidden="1" customHeight="1">
      <c r="A113" s="100" t="str">
        <f>IF(priority(Main[[#This Row],[Comments]])&lt;&gt;0, priority(Main[[#This Row],[Comments]]),"")</f>
        <v/>
      </c>
      <c r="B113" s="77" t="s">
        <v>1082</v>
      </c>
      <c r="C113" s="65" t="s">
        <v>4</v>
      </c>
      <c r="D113" s="66" t="s">
        <v>132</v>
      </c>
      <c r="E113" s="67"/>
      <c r="F113" s="67">
        <v>40598</v>
      </c>
      <c r="G113" s="64" t="str">
        <f>IF(stdProdLT(Main[[#This Row],[Comments]])=0.1,"N/A",IF(stdProdLT(Main[[#This Row],[Comments]])=0,"",stdProdLT(Main[[#This Row],[Comments]])))</f>
        <v/>
      </c>
      <c r="H113" s="68" t="str">
        <f>IF(AND(Main[[#This Row],[In Stock Date]]&lt;&gt;"",Main[[#This Row],[Revised Due Date]]&lt;&gt;""),Main[[#This Row],[In Stock Date]]-Main[[#This Row],[Revised Due Date]],"")</f>
        <v/>
      </c>
      <c r="I113" s="65" t="s">
        <v>4</v>
      </c>
      <c r="J113" s="65" t="s">
        <v>4</v>
      </c>
      <c r="K113" s="71" t="s">
        <v>4</v>
      </c>
      <c r="L113" s="67"/>
      <c r="M113" s="69" t="str">
        <f>IF(Main[[#This Row],[Tech Start Date]]&lt;1/1/1990,"",IF(Main[[#This Row],[Class]]="C",WORKDAY(Main[[#This Row],[Tech Start Date]],9),IF(Main[[#This Row],[Class]]="B", WORKDAY(Main[[#This Row],[Tech Start Date]],6),IF(Main[[#This Row],[Class]]="A",WORKDAY(Main[[#This Row],[Tech Start Date]],2),""))))</f>
        <v/>
      </c>
      <c r="N113" s="69" t="str">
        <f>IF(Main[[#This Row],[Tech Start Date]]&lt;1/1/1990,"",IF(Main[[#This Row],[Class]]="C",WORKDAY(Main[[#This Row],[Tech Start Date]],19),IF(Main[[#This Row],[Class]]="B", WORKDAY(Main[[#This Row],[Tech Start Date]],12),IF(Main[[#This Row],[Class]]="A",WORKDAY(Main[[#This Row],[Tech Start Date]],4),""))))</f>
        <v/>
      </c>
      <c r="O113" s="69" t="str">
        <f>IF(Main[[#This Row],[Tech Start Date]]&lt;1/1/1990,"",IF(Main[[#This Row],[Class]]="C",WORKDAY(Main[[#This Row],[Tech Start Date]],23),IF(Main[[#This Row],[Class]]="B", WORKDAY(Main[[#This Row],[Tech Start Date]],15),IF(Main[[#This Row],[Class]]="A",WORKDAY(Main[[#This Row],[Tech Start Date]],5),""))))</f>
        <v/>
      </c>
      <c r="P113" s="69" t="str">
        <f>IF(Main[[#This Row],[Tech Start Date]]&lt;1/1/1990,"",IF(Main[[#This Row],[Class]]="C",WORKDAY(Main[[#This Row],[Tech Start Date]],28),IF(Main[[#This Row],[Class]]="B", WORKDAY(Main[[#This Row],[Tech Start Date]],19),IF(Main[[#This Row],[Class]]="A",WORKDAY(Main[[#This Row],[Tech Start Date]],9),""))))</f>
        <v/>
      </c>
      <c r="Q113" s="67">
        <v>40598</v>
      </c>
      <c r="R113" s="67"/>
      <c r="S113" s="65" t="s">
        <v>11</v>
      </c>
      <c r="T113" s="70" t="s">
        <v>4</v>
      </c>
      <c r="U113" s="65" t="s">
        <v>14</v>
      </c>
      <c r="V113" s="65" t="s">
        <v>1924</v>
      </c>
      <c r="W113" s="65" t="s">
        <v>1920</v>
      </c>
      <c r="X113" s="65" t="s">
        <v>2848</v>
      </c>
      <c r="Y113" s="65" t="s">
        <v>2979</v>
      </c>
      <c r="Z113" s="65" t="s">
        <v>4</v>
      </c>
      <c r="AA113" s="65" t="s">
        <v>2848</v>
      </c>
    </row>
    <row r="114" spans="1:27" ht="17.45" hidden="1" customHeight="1">
      <c r="A114" s="100" t="str">
        <f>IF(priority(Main[[#This Row],[Comments]])&lt;&gt;0, priority(Main[[#This Row],[Comments]]),"")</f>
        <v/>
      </c>
      <c r="B114" s="77" t="s">
        <v>1084</v>
      </c>
      <c r="C114" s="65" t="s">
        <v>4</v>
      </c>
      <c r="D114" s="66" t="s">
        <v>134</v>
      </c>
      <c r="E114" s="67">
        <v>40683.594340277778</v>
      </c>
      <c r="F114" s="67"/>
      <c r="G114" s="64" t="str">
        <f>IF(stdProdLT(Main[[#This Row],[Comments]])=0.1,"N/A",IF(stdProdLT(Main[[#This Row],[Comments]])=0,"",stdProdLT(Main[[#This Row],[Comments]])))</f>
        <v/>
      </c>
      <c r="H114" s="68" t="str">
        <f>IF(AND(Main[[#This Row],[In Stock Date]]&lt;&gt;"",Main[[#This Row],[Revised Due Date]]&lt;&gt;""),Main[[#This Row],[In Stock Date]]-Main[[#This Row],[Revised Due Date]],"")</f>
        <v/>
      </c>
      <c r="I114" s="65" t="s">
        <v>4</v>
      </c>
      <c r="J114" s="65" t="s">
        <v>4</v>
      </c>
      <c r="K114" s="65" t="s">
        <v>4</v>
      </c>
      <c r="L114" s="67"/>
      <c r="M114" s="69" t="str">
        <f>IF(Main[[#This Row],[Tech Start Date]]&lt;1/1/1990,"",IF(Main[[#This Row],[Class]]="C",WORKDAY(Main[[#This Row],[Tech Start Date]],9),IF(Main[[#This Row],[Class]]="B", WORKDAY(Main[[#This Row],[Tech Start Date]],6),IF(Main[[#This Row],[Class]]="A",WORKDAY(Main[[#This Row],[Tech Start Date]],2),""))))</f>
        <v/>
      </c>
      <c r="N114" s="69" t="str">
        <f>IF(Main[[#This Row],[Tech Start Date]]&lt;1/1/1990,"",IF(Main[[#This Row],[Class]]="C",WORKDAY(Main[[#This Row],[Tech Start Date]],19),IF(Main[[#This Row],[Class]]="B", WORKDAY(Main[[#This Row],[Tech Start Date]],12),IF(Main[[#This Row],[Class]]="A",WORKDAY(Main[[#This Row],[Tech Start Date]],4),""))))</f>
        <v/>
      </c>
      <c r="O114" s="69" t="str">
        <f>IF(Main[[#This Row],[Tech Start Date]]&lt;1/1/1990,"",IF(Main[[#This Row],[Class]]="C",WORKDAY(Main[[#This Row],[Tech Start Date]],23),IF(Main[[#This Row],[Class]]="B", WORKDAY(Main[[#This Row],[Tech Start Date]],15),IF(Main[[#This Row],[Class]]="A",WORKDAY(Main[[#This Row],[Tech Start Date]],5),""))))</f>
        <v/>
      </c>
      <c r="P114" s="69" t="str">
        <f>IF(Main[[#This Row],[Tech Start Date]]&lt;1/1/1990,"",IF(Main[[#This Row],[Class]]="C",WORKDAY(Main[[#This Row],[Tech Start Date]],28),IF(Main[[#This Row],[Class]]="B", WORKDAY(Main[[#This Row],[Tech Start Date]],19),IF(Main[[#This Row],[Class]]="A",WORKDAY(Main[[#This Row],[Tech Start Date]],9),""))))</f>
        <v/>
      </c>
      <c r="Q114" s="67">
        <v>40718</v>
      </c>
      <c r="R114" s="67"/>
      <c r="S114" s="65" t="s">
        <v>6</v>
      </c>
      <c r="T114" s="70" t="s">
        <v>4</v>
      </c>
      <c r="U114" s="65" t="s">
        <v>7</v>
      </c>
      <c r="V114" s="65" t="s">
        <v>1914</v>
      </c>
      <c r="W114" s="65" t="s">
        <v>1922</v>
      </c>
      <c r="X114" s="65" t="s">
        <v>2821</v>
      </c>
      <c r="Y114" s="65" t="s">
        <v>2936</v>
      </c>
      <c r="Z114" s="65" t="s">
        <v>4</v>
      </c>
      <c r="AA114" s="65" t="s">
        <v>2821</v>
      </c>
    </row>
    <row r="115" spans="1:27" ht="17.45" hidden="1" customHeight="1">
      <c r="A115" s="100" t="str">
        <f>IF(priority(Main[[#This Row],[Comments]])&lt;&gt;0, priority(Main[[#This Row],[Comments]]),"")</f>
        <v/>
      </c>
      <c r="B115" s="77" t="s">
        <v>1085</v>
      </c>
      <c r="C115" s="65" t="s">
        <v>4</v>
      </c>
      <c r="D115" s="66" t="s">
        <v>135</v>
      </c>
      <c r="E115" s="67">
        <v>40312.634143518517</v>
      </c>
      <c r="F115" s="67"/>
      <c r="G115" s="64" t="str">
        <f>IF(stdProdLT(Main[[#This Row],[Comments]])=0.1,"N/A",IF(stdProdLT(Main[[#This Row],[Comments]])=0,"",stdProdLT(Main[[#This Row],[Comments]])))</f>
        <v/>
      </c>
      <c r="H115" s="68" t="str">
        <f>IF(AND(Main[[#This Row],[In Stock Date]]&lt;&gt;"",Main[[#This Row],[Revised Due Date]]&lt;&gt;""),Main[[#This Row],[In Stock Date]]-Main[[#This Row],[Revised Due Date]],"")</f>
        <v/>
      </c>
      <c r="I115" s="65" t="s">
        <v>129</v>
      </c>
      <c r="J115" s="65" t="s">
        <v>4</v>
      </c>
      <c r="K115" s="65" t="s">
        <v>4</v>
      </c>
      <c r="L115" s="67"/>
      <c r="M115" s="69" t="str">
        <f>IF(Main[[#This Row],[Tech Start Date]]&lt;1/1/1990,"",IF(Main[[#This Row],[Class]]="C",WORKDAY(Main[[#This Row],[Tech Start Date]],9),IF(Main[[#This Row],[Class]]="B", WORKDAY(Main[[#This Row],[Tech Start Date]],6),IF(Main[[#This Row],[Class]]="A",WORKDAY(Main[[#This Row],[Tech Start Date]],2),""))))</f>
        <v/>
      </c>
      <c r="N115" s="69" t="str">
        <f>IF(Main[[#This Row],[Tech Start Date]]&lt;1/1/1990,"",IF(Main[[#This Row],[Class]]="C",WORKDAY(Main[[#This Row],[Tech Start Date]],19),IF(Main[[#This Row],[Class]]="B", WORKDAY(Main[[#This Row],[Tech Start Date]],12),IF(Main[[#This Row],[Class]]="A",WORKDAY(Main[[#This Row],[Tech Start Date]],4),""))))</f>
        <v/>
      </c>
      <c r="O115" s="69" t="str">
        <f>IF(Main[[#This Row],[Tech Start Date]]&lt;1/1/1990,"",IF(Main[[#This Row],[Class]]="C",WORKDAY(Main[[#This Row],[Tech Start Date]],23),IF(Main[[#This Row],[Class]]="B", WORKDAY(Main[[#This Row],[Tech Start Date]],15),IF(Main[[#This Row],[Class]]="A",WORKDAY(Main[[#This Row],[Tech Start Date]],5),""))))</f>
        <v/>
      </c>
      <c r="P115" s="69" t="str">
        <f>IF(Main[[#This Row],[Tech Start Date]]&lt;1/1/1990,"",IF(Main[[#This Row],[Class]]="C",WORKDAY(Main[[#This Row],[Tech Start Date]],28),IF(Main[[#This Row],[Class]]="B", WORKDAY(Main[[#This Row],[Tech Start Date]],19),IF(Main[[#This Row],[Class]]="A",WORKDAY(Main[[#This Row],[Tech Start Date]],9),""))))</f>
        <v/>
      </c>
      <c r="Q115" s="67">
        <v>40329</v>
      </c>
      <c r="R115" s="67"/>
      <c r="S115" s="65" t="s">
        <v>6</v>
      </c>
      <c r="T115" s="70" t="s">
        <v>4</v>
      </c>
      <c r="U115" s="65" t="s">
        <v>7</v>
      </c>
      <c r="V115" s="65" t="s">
        <v>1914</v>
      </c>
      <c r="W115" s="65" t="s">
        <v>1916</v>
      </c>
      <c r="X115" s="65" t="s">
        <v>417</v>
      </c>
      <c r="Y115" s="65" t="s">
        <v>2980</v>
      </c>
      <c r="Z115" s="65" t="s">
        <v>4</v>
      </c>
      <c r="AA115" s="65" t="s">
        <v>3379</v>
      </c>
    </row>
    <row r="116" spans="1:27" ht="17.45" hidden="1" customHeight="1">
      <c r="A116" s="100" t="str">
        <f>IF(priority(Main[[#This Row],[Comments]])&lt;&gt;0, priority(Main[[#This Row],[Comments]]),"")</f>
        <v/>
      </c>
      <c r="B116" s="77" t="s">
        <v>1086</v>
      </c>
      <c r="C116" s="65" t="s">
        <v>4</v>
      </c>
      <c r="D116" s="66" t="s">
        <v>97</v>
      </c>
      <c r="E116" s="67"/>
      <c r="F116" s="67"/>
      <c r="G116" s="64" t="str">
        <f>IF(stdProdLT(Main[[#This Row],[Comments]])=0.1,"N/A",IF(stdProdLT(Main[[#This Row],[Comments]])=0,"",stdProdLT(Main[[#This Row],[Comments]])))</f>
        <v/>
      </c>
      <c r="H116" s="68" t="str">
        <f>IF(AND(Main[[#This Row],[In Stock Date]]&lt;&gt;"",Main[[#This Row],[Revised Due Date]]&lt;&gt;""),Main[[#This Row],[In Stock Date]]-Main[[#This Row],[Revised Due Date]],"")</f>
        <v/>
      </c>
      <c r="I116" s="65" t="s">
        <v>4</v>
      </c>
      <c r="J116" s="65" t="s">
        <v>4</v>
      </c>
      <c r="K116" s="65" t="s">
        <v>4</v>
      </c>
      <c r="L116" s="67"/>
      <c r="M116" s="69" t="str">
        <f>IF(Main[[#This Row],[Tech Start Date]]&lt;1/1/1990,"",IF(Main[[#This Row],[Class]]="C",WORKDAY(Main[[#This Row],[Tech Start Date]],9),IF(Main[[#This Row],[Class]]="B", WORKDAY(Main[[#This Row],[Tech Start Date]],6),IF(Main[[#This Row],[Class]]="A",WORKDAY(Main[[#This Row],[Tech Start Date]],2),""))))</f>
        <v/>
      </c>
      <c r="N116" s="69" t="str">
        <f>IF(Main[[#This Row],[Tech Start Date]]&lt;1/1/1990,"",IF(Main[[#This Row],[Class]]="C",WORKDAY(Main[[#This Row],[Tech Start Date]],19),IF(Main[[#This Row],[Class]]="B", WORKDAY(Main[[#This Row],[Tech Start Date]],12),IF(Main[[#This Row],[Class]]="A",WORKDAY(Main[[#This Row],[Tech Start Date]],4),""))))</f>
        <v/>
      </c>
      <c r="O116" s="69" t="str">
        <f>IF(Main[[#This Row],[Tech Start Date]]&lt;1/1/1990,"",IF(Main[[#This Row],[Class]]="C",WORKDAY(Main[[#This Row],[Tech Start Date]],23),IF(Main[[#This Row],[Class]]="B", WORKDAY(Main[[#This Row],[Tech Start Date]],15),IF(Main[[#This Row],[Class]]="A",WORKDAY(Main[[#This Row],[Tech Start Date]],5),""))))</f>
        <v/>
      </c>
      <c r="P116" s="69" t="str">
        <f>IF(Main[[#This Row],[Tech Start Date]]&lt;1/1/1990,"",IF(Main[[#This Row],[Class]]="C",WORKDAY(Main[[#This Row],[Tech Start Date]],28),IF(Main[[#This Row],[Class]]="B", WORKDAY(Main[[#This Row],[Tech Start Date]],19),IF(Main[[#This Row],[Class]]="A",WORKDAY(Main[[#This Row],[Tech Start Date]],9),""))))</f>
        <v/>
      </c>
      <c r="Q116" s="67">
        <v>40858</v>
      </c>
      <c r="R116" s="67"/>
      <c r="S116" s="65" t="s">
        <v>17</v>
      </c>
      <c r="T116" s="70" t="s">
        <v>4</v>
      </c>
      <c r="U116" s="65" t="s">
        <v>14</v>
      </c>
      <c r="V116" s="65" t="s">
        <v>1914</v>
      </c>
      <c r="W116" s="65" t="s">
        <v>1919</v>
      </c>
      <c r="X116" s="65" t="s">
        <v>50</v>
      </c>
      <c r="Y116" s="65" t="s">
        <v>2959</v>
      </c>
      <c r="Z116" s="65" t="s">
        <v>4</v>
      </c>
      <c r="AA116" s="65" t="s">
        <v>2828</v>
      </c>
    </row>
    <row r="117" spans="1:27" ht="17.45" hidden="1" customHeight="1">
      <c r="A117" s="100" t="str">
        <f>IF(priority(Main[[#This Row],[Comments]])&lt;&gt;0, priority(Main[[#This Row],[Comments]]),"")</f>
        <v/>
      </c>
      <c r="B117" s="77" t="s">
        <v>1670</v>
      </c>
      <c r="C117" s="65" t="s">
        <v>4</v>
      </c>
      <c r="D117" s="66" t="s">
        <v>730</v>
      </c>
      <c r="E117" s="67"/>
      <c r="F117" s="67"/>
      <c r="G117" s="64" t="str">
        <f>IF(stdProdLT(Main[[#This Row],[Comments]])=0.1,"N/A",IF(stdProdLT(Main[[#This Row],[Comments]])=0,"",stdProdLT(Main[[#This Row],[Comments]])))</f>
        <v/>
      </c>
      <c r="H117" s="68" t="str">
        <f>IF(AND(Main[[#This Row],[In Stock Date]]&lt;&gt;"",Main[[#This Row],[Revised Due Date]]&lt;&gt;""),Main[[#This Row],[In Stock Date]]-Main[[#This Row],[Revised Due Date]],"")</f>
        <v/>
      </c>
      <c r="I117" s="65" t="s">
        <v>4</v>
      </c>
      <c r="J117" s="65" t="s">
        <v>4</v>
      </c>
      <c r="K117" s="65" t="s">
        <v>4</v>
      </c>
      <c r="L117" s="67"/>
      <c r="M117" s="69" t="str">
        <f>IF(Main[[#This Row],[Tech Start Date]]&lt;1/1/1990,"",IF(Main[[#This Row],[Class]]="C",WORKDAY(Main[[#This Row],[Tech Start Date]],9),IF(Main[[#This Row],[Class]]="B", WORKDAY(Main[[#This Row],[Tech Start Date]],6),IF(Main[[#This Row],[Class]]="A",WORKDAY(Main[[#This Row],[Tech Start Date]],2),""))))</f>
        <v/>
      </c>
      <c r="N117" s="69" t="str">
        <f>IF(Main[[#This Row],[Tech Start Date]]&lt;1/1/1990,"",IF(Main[[#This Row],[Class]]="C",WORKDAY(Main[[#This Row],[Tech Start Date]],19),IF(Main[[#This Row],[Class]]="B", WORKDAY(Main[[#This Row],[Tech Start Date]],12),IF(Main[[#This Row],[Class]]="A",WORKDAY(Main[[#This Row],[Tech Start Date]],4),""))))</f>
        <v/>
      </c>
      <c r="O117" s="69" t="str">
        <f>IF(Main[[#This Row],[Tech Start Date]]&lt;1/1/1990,"",IF(Main[[#This Row],[Class]]="C",WORKDAY(Main[[#This Row],[Tech Start Date]],23),IF(Main[[#This Row],[Class]]="B", WORKDAY(Main[[#This Row],[Tech Start Date]],15),IF(Main[[#This Row],[Class]]="A",WORKDAY(Main[[#This Row],[Tech Start Date]],5),""))))</f>
        <v/>
      </c>
      <c r="P117" s="69" t="str">
        <f>IF(Main[[#This Row],[Tech Start Date]]&lt;1/1/1990,"",IF(Main[[#This Row],[Class]]="C",WORKDAY(Main[[#This Row],[Tech Start Date]],28),IF(Main[[#This Row],[Class]]="B", WORKDAY(Main[[#This Row],[Tech Start Date]],19),IF(Main[[#This Row],[Class]]="A",WORKDAY(Main[[#This Row],[Tech Start Date]],9),""))))</f>
        <v/>
      </c>
      <c r="Q117" s="67"/>
      <c r="R117" s="67"/>
      <c r="S117" s="65" t="s">
        <v>23</v>
      </c>
      <c r="T117" s="70" t="s">
        <v>4</v>
      </c>
      <c r="U117" s="65" t="s">
        <v>14</v>
      </c>
      <c r="V117" s="65" t="s">
        <v>1914</v>
      </c>
      <c r="W117" s="65" t="s">
        <v>1918</v>
      </c>
      <c r="X117" s="65" t="s">
        <v>399</v>
      </c>
      <c r="Y117" s="65" t="s">
        <v>4</v>
      </c>
      <c r="Z117" s="65" t="s">
        <v>4</v>
      </c>
      <c r="AA117" s="65" t="s">
        <v>3391</v>
      </c>
    </row>
    <row r="118" spans="1:27" ht="17.45" hidden="1" customHeight="1">
      <c r="A118" s="100" t="str">
        <f>IF(priority(Main[[#This Row],[Comments]])&lt;&gt;0, priority(Main[[#This Row],[Comments]]),"")</f>
        <v/>
      </c>
      <c r="B118" s="77" t="s">
        <v>1087</v>
      </c>
      <c r="C118" s="65" t="s">
        <v>113</v>
      </c>
      <c r="D118" s="66" t="s">
        <v>136</v>
      </c>
      <c r="E118" s="67"/>
      <c r="F118" s="67"/>
      <c r="G118" s="64" t="str">
        <f>IF(stdProdLT(Main[[#This Row],[Comments]])=0.1,"N/A",IF(stdProdLT(Main[[#This Row],[Comments]])=0,"",stdProdLT(Main[[#This Row],[Comments]])))</f>
        <v/>
      </c>
      <c r="H118" s="68" t="str">
        <f>IF(AND(Main[[#This Row],[In Stock Date]]&lt;&gt;"",Main[[#This Row],[Revised Due Date]]&lt;&gt;""),Main[[#This Row],[In Stock Date]]-Main[[#This Row],[Revised Due Date]],"")</f>
        <v/>
      </c>
      <c r="I118" s="65" t="s">
        <v>4</v>
      </c>
      <c r="J118" s="65" t="s">
        <v>4</v>
      </c>
      <c r="K118" s="65" t="s">
        <v>4</v>
      </c>
      <c r="L118" s="67"/>
      <c r="M118" s="69" t="str">
        <f>IF(Main[[#This Row],[Tech Start Date]]&lt;1/1/1990,"",IF(Main[[#This Row],[Class]]="C",WORKDAY(Main[[#This Row],[Tech Start Date]],9),IF(Main[[#This Row],[Class]]="B", WORKDAY(Main[[#This Row],[Tech Start Date]],6),IF(Main[[#This Row],[Class]]="A",WORKDAY(Main[[#This Row],[Tech Start Date]],2),""))))</f>
        <v/>
      </c>
      <c r="N118" s="69" t="str">
        <f>IF(Main[[#This Row],[Tech Start Date]]&lt;1/1/1990,"",IF(Main[[#This Row],[Class]]="C",WORKDAY(Main[[#This Row],[Tech Start Date]],19),IF(Main[[#This Row],[Class]]="B", WORKDAY(Main[[#This Row],[Tech Start Date]],12),IF(Main[[#This Row],[Class]]="A",WORKDAY(Main[[#This Row],[Tech Start Date]],4),""))))</f>
        <v/>
      </c>
      <c r="O118" s="69" t="str">
        <f>IF(Main[[#This Row],[Tech Start Date]]&lt;1/1/1990,"",IF(Main[[#This Row],[Class]]="C",WORKDAY(Main[[#This Row],[Tech Start Date]],23),IF(Main[[#This Row],[Class]]="B", WORKDAY(Main[[#This Row],[Tech Start Date]],15),IF(Main[[#This Row],[Class]]="A",WORKDAY(Main[[#This Row],[Tech Start Date]],5),""))))</f>
        <v/>
      </c>
      <c r="P118" s="69" t="str">
        <f>IF(Main[[#This Row],[Tech Start Date]]&lt;1/1/1990,"",IF(Main[[#This Row],[Class]]="C",WORKDAY(Main[[#This Row],[Tech Start Date]],28),IF(Main[[#This Row],[Class]]="B", WORKDAY(Main[[#This Row],[Tech Start Date]],19),IF(Main[[#This Row],[Class]]="A",WORKDAY(Main[[#This Row],[Tech Start Date]],9),""))))</f>
        <v/>
      </c>
      <c r="Q118" s="67">
        <v>40641</v>
      </c>
      <c r="R118" s="67"/>
      <c r="S118" s="65" t="s">
        <v>11</v>
      </c>
      <c r="T118" s="70" t="s">
        <v>4</v>
      </c>
      <c r="U118" s="65" t="s">
        <v>14</v>
      </c>
      <c r="V118" s="65" t="s">
        <v>1914</v>
      </c>
      <c r="W118" s="65" t="s">
        <v>1922</v>
      </c>
      <c r="X118" s="65" t="s">
        <v>2839</v>
      </c>
      <c r="Y118" s="65" t="s">
        <v>2981</v>
      </c>
      <c r="Z118" s="65" t="s">
        <v>4</v>
      </c>
      <c r="AA118" s="65" t="s">
        <v>2839</v>
      </c>
    </row>
    <row r="119" spans="1:27" ht="17.45" hidden="1" customHeight="1">
      <c r="A119" s="100" t="str">
        <f>IF(priority(Main[[#This Row],[Comments]])&lt;&gt;0, priority(Main[[#This Row],[Comments]]),"")</f>
        <v/>
      </c>
      <c r="B119" s="77" t="s">
        <v>1088</v>
      </c>
      <c r="C119" s="65" t="s">
        <v>137</v>
      </c>
      <c r="D119" s="66" t="s">
        <v>138</v>
      </c>
      <c r="E119" s="67"/>
      <c r="F119" s="67"/>
      <c r="G119" s="64" t="str">
        <f>IF(stdProdLT(Main[[#This Row],[Comments]])=0.1,"N/A",IF(stdProdLT(Main[[#This Row],[Comments]])=0,"",stdProdLT(Main[[#This Row],[Comments]])))</f>
        <v/>
      </c>
      <c r="H119" s="68" t="str">
        <f>IF(AND(Main[[#This Row],[In Stock Date]]&lt;&gt;"",Main[[#This Row],[Revised Due Date]]&lt;&gt;""),Main[[#This Row],[In Stock Date]]-Main[[#This Row],[Revised Due Date]],"")</f>
        <v/>
      </c>
      <c r="I119" s="65" t="s">
        <v>4</v>
      </c>
      <c r="J119" s="65" t="s">
        <v>4</v>
      </c>
      <c r="K119" s="65" t="s">
        <v>4</v>
      </c>
      <c r="L119" s="67"/>
      <c r="M119" s="69" t="str">
        <f>IF(Main[[#This Row],[Tech Start Date]]&lt;1/1/1990,"",IF(Main[[#This Row],[Class]]="C",WORKDAY(Main[[#This Row],[Tech Start Date]],9),IF(Main[[#This Row],[Class]]="B", WORKDAY(Main[[#This Row],[Tech Start Date]],6),IF(Main[[#This Row],[Class]]="A",WORKDAY(Main[[#This Row],[Tech Start Date]],2),""))))</f>
        <v/>
      </c>
      <c r="N119" s="69" t="str">
        <f>IF(Main[[#This Row],[Tech Start Date]]&lt;1/1/1990,"",IF(Main[[#This Row],[Class]]="C",WORKDAY(Main[[#This Row],[Tech Start Date]],19),IF(Main[[#This Row],[Class]]="B", WORKDAY(Main[[#This Row],[Tech Start Date]],12),IF(Main[[#This Row],[Class]]="A",WORKDAY(Main[[#This Row],[Tech Start Date]],4),""))))</f>
        <v/>
      </c>
      <c r="O119" s="69" t="str">
        <f>IF(Main[[#This Row],[Tech Start Date]]&lt;1/1/1990,"",IF(Main[[#This Row],[Class]]="C",WORKDAY(Main[[#This Row],[Tech Start Date]],23),IF(Main[[#This Row],[Class]]="B", WORKDAY(Main[[#This Row],[Tech Start Date]],15),IF(Main[[#This Row],[Class]]="A",WORKDAY(Main[[#This Row],[Tech Start Date]],5),""))))</f>
        <v/>
      </c>
      <c r="P119" s="69" t="str">
        <f>IF(Main[[#This Row],[Tech Start Date]]&lt;1/1/1990,"",IF(Main[[#This Row],[Class]]="C",WORKDAY(Main[[#This Row],[Tech Start Date]],28),IF(Main[[#This Row],[Class]]="B", WORKDAY(Main[[#This Row],[Tech Start Date]],19),IF(Main[[#This Row],[Class]]="A",WORKDAY(Main[[#This Row],[Tech Start Date]],9),""))))</f>
        <v/>
      </c>
      <c r="Q119" s="67">
        <v>40641</v>
      </c>
      <c r="R119" s="67"/>
      <c r="S119" s="65" t="s">
        <v>11</v>
      </c>
      <c r="T119" s="70" t="s">
        <v>4</v>
      </c>
      <c r="U119" s="65" t="s">
        <v>14</v>
      </c>
      <c r="V119" s="65" t="s">
        <v>1914</v>
      </c>
      <c r="W119" s="65" t="s">
        <v>1922</v>
      </c>
      <c r="X119" s="65" t="s">
        <v>2839</v>
      </c>
      <c r="Y119" s="65" t="s">
        <v>2970</v>
      </c>
      <c r="Z119" s="65" t="s">
        <v>4</v>
      </c>
      <c r="AA119" s="65" t="s">
        <v>2839</v>
      </c>
    </row>
    <row r="120" spans="1:27" ht="17.45" hidden="1" customHeight="1">
      <c r="A120" s="100" t="str">
        <f>IF(priority(Main[[#This Row],[Comments]])&lt;&gt;0, priority(Main[[#This Row],[Comments]]),"")</f>
        <v/>
      </c>
      <c r="B120" s="77" t="s">
        <v>1090</v>
      </c>
      <c r="C120" s="65" t="s">
        <v>33</v>
      </c>
      <c r="D120" s="66" t="s">
        <v>139</v>
      </c>
      <c r="E120" s="67"/>
      <c r="F120" s="67"/>
      <c r="G120" s="64" t="str">
        <f>IF(stdProdLT(Main[[#This Row],[Comments]])=0.1,"N/A",IF(stdProdLT(Main[[#This Row],[Comments]])=0,"",stdProdLT(Main[[#This Row],[Comments]])))</f>
        <v/>
      </c>
      <c r="H120" s="68" t="str">
        <f>IF(AND(Main[[#This Row],[In Stock Date]]&lt;&gt;"",Main[[#This Row],[Revised Due Date]]&lt;&gt;""),Main[[#This Row],[In Stock Date]]-Main[[#This Row],[Revised Due Date]],"")</f>
        <v/>
      </c>
      <c r="I120" s="65" t="s">
        <v>4</v>
      </c>
      <c r="J120" s="65" t="s">
        <v>4</v>
      </c>
      <c r="K120" s="65" t="s">
        <v>4</v>
      </c>
      <c r="L120" s="67"/>
      <c r="M120" s="69" t="str">
        <f>IF(Main[[#This Row],[Tech Start Date]]&lt;1/1/1990,"",IF(Main[[#This Row],[Class]]="C",WORKDAY(Main[[#This Row],[Tech Start Date]],9),IF(Main[[#This Row],[Class]]="B", WORKDAY(Main[[#This Row],[Tech Start Date]],6),IF(Main[[#This Row],[Class]]="A",WORKDAY(Main[[#This Row],[Tech Start Date]],2),""))))</f>
        <v/>
      </c>
      <c r="N120" s="69" t="str">
        <f>IF(Main[[#This Row],[Tech Start Date]]&lt;1/1/1990,"",IF(Main[[#This Row],[Class]]="C",WORKDAY(Main[[#This Row],[Tech Start Date]],19),IF(Main[[#This Row],[Class]]="B", WORKDAY(Main[[#This Row],[Tech Start Date]],12),IF(Main[[#This Row],[Class]]="A",WORKDAY(Main[[#This Row],[Tech Start Date]],4),""))))</f>
        <v/>
      </c>
      <c r="O120" s="69" t="str">
        <f>IF(Main[[#This Row],[Tech Start Date]]&lt;1/1/1990,"",IF(Main[[#This Row],[Class]]="C",WORKDAY(Main[[#This Row],[Tech Start Date]],23),IF(Main[[#This Row],[Class]]="B", WORKDAY(Main[[#This Row],[Tech Start Date]],15),IF(Main[[#This Row],[Class]]="A",WORKDAY(Main[[#This Row],[Tech Start Date]],5),""))))</f>
        <v/>
      </c>
      <c r="P120" s="69" t="str">
        <f>IF(Main[[#This Row],[Tech Start Date]]&lt;1/1/1990,"",IF(Main[[#This Row],[Class]]="C",WORKDAY(Main[[#This Row],[Tech Start Date]],28),IF(Main[[#This Row],[Class]]="B", WORKDAY(Main[[#This Row],[Tech Start Date]],19),IF(Main[[#This Row],[Class]]="A",WORKDAY(Main[[#This Row],[Tech Start Date]],9),""))))</f>
        <v/>
      </c>
      <c r="Q120" s="67"/>
      <c r="R120" s="67"/>
      <c r="S120" s="65" t="s">
        <v>11</v>
      </c>
      <c r="T120" s="70" t="s">
        <v>4</v>
      </c>
      <c r="U120" s="65" t="s">
        <v>14</v>
      </c>
      <c r="V120" s="65" t="s">
        <v>1915</v>
      </c>
      <c r="W120" s="65" t="s">
        <v>1922</v>
      </c>
      <c r="X120" s="65" t="s">
        <v>2827</v>
      </c>
      <c r="Y120" s="65" t="s">
        <v>2948</v>
      </c>
      <c r="Z120" s="65" t="s">
        <v>4</v>
      </c>
      <c r="AA120" s="65" t="s">
        <v>2827</v>
      </c>
    </row>
    <row r="121" spans="1:27" ht="17.45" hidden="1" customHeight="1">
      <c r="A121" s="100" t="str">
        <f>IF(priority(Main[[#This Row],[Comments]])&lt;&gt;0, priority(Main[[#This Row],[Comments]]),"")</f>
        <v/>
      </c>
      <c r="B121" s="77" t="s">
        <v>1091</v>
      </c>
      <c r="C121" s="65" t="s">
        <v>4</v>
      </c>
      <c r="D121" s="66" t="s">
        <v>140</v>
      </c>
      <c r="E121" s="67">
        <v>40436.663981481484</v>
      </c>
      <c r="F121" s="67"/>
      <c r="G121" s="64" t="str">
        <f>IF(stdProdLT(Main[[#This Row],[Comments]])=0.1,"N/A",IF(stdProdLT(Main[[#This Row],[Comments]])=0,"",stdProdLT(Main[[#This Row],[Comments]])))</f>
        <v/>
      </c>
      <c r="H121" s="68" t="str">
        <f>IF(AND(Main[[#This Row],[In Stock Date]]&lt;&gt;"",Main[[#This Row],[Revised Due Date]]&lt;&gt;""),Main[[#This Row],[In Stock Date]]-Main[[#This Row],[Revised Due Date]],"")</f>
        <v/>
      </c>
      <c r="I121" s="65" t="s">
        <v>4</v>
      </c>
      <c r="J121" s="65" t="s">
        <v>4</v>
      </c>
      <c r="K121" s="71" t="s">
        <v>4</v>
      </c>
      <c r="L121" s="67"/>
      <c r="M121" s="69" t="str">
        <f>IF(Main[[#This Row],[Tech Start Date]]&lt;1/1/1990,"",IF(Main[[#This Row],[Class]]="C",WORKDAY(Main[[#This Row],[Tech Start Date]],9),IF(Main[[#This Row],[Class]]="B", WORKDAY(Main[[#This Row],[Tech Start Date]],6),IF(Main[[#This Row],[Class]]="A",WORKDAY(Main[[#This Row],[Tech Start Date]],2),""))))</f>
        <v/>
      </c>
      <c r="N121" s="69" t="str">
        <f>IF(Main[[#This Row],[Tech Start Date]]&lt;1/1/1990,"",IF(Main[[#This Row],[Class]]="C",WORKDAY(Main[[#This Row],[Tech Start Date]],19),IF(Main[[#This Row],[Class]]="B", WORKDAY(Main[[#This Row],[Tech Start Date]],12),IF(Main[[#This Row],[Class]]="A",WORKDAY(Main[[#This Row],[Tech Start Date]],4),""))))</f>
        <v/>
      </c>
      <c r="O121" s="69" t="str">
        <f>IF(Main[[#This Row],[Tech Start Date]]&lt;1/1/1990,"",IF(Main[[#This Row],[Class]]="C",WORKDAY(Main[[#This Row],[Tech Start Date]],23),IF(Main[[#This Row],[Class]]="B", WORKDAY(Main[[#This Row],[Tech Start Date]],15),IF(Main[[#This Row],[Class]]="A",WORKDAY(Main[[#This Row],[Tech Start Date]],5),""))))</f>
        <v/>
      </c>
      <c r="P121" s="69" t="str">
        <f>IF(Main[[#This Row],[Tech Start Date]]&lt;1/1/1990,"",IF(Main[[#This Row],[Class]]="C",WORKDAY(Main[[#This Row],[Tech Start Date]],28),IF(Main[[#This Row],[Class]]="B", WORKDAY(Main[[#This Row],[Tech Start Date]],19),IF(Main[[#This Row],[Class]]="A",WORKDAY(Main[[#This Row],[Tech Start Date]],9),""))))</f>
        <v/>
      </c>
      <c r="Q121" s="67"/>
      <c r="R121" s="67"/>
      <c r="S121" s="65" t="s">
        <v>17</v>
      </c>
      <c r="T121" s="70" t="s">
        <v>141</v>
      </c>
      <c r="U121" s="65" t="s">
        <v>7</v>
      </c>
      <c r="V121" s="65" t="s">
        <v>1915</v>
      </c>
      <c r="W121" s="65" t="s">
        <v>1922</v>
      </c>
      <c r="X121" s="65" t="s">
        <v>922</v>
      </c>
      <c r="Y121" s="65" t="s">
        <v>2982</v>
      </c>
      <c r="Z121" s="65" t="s">
        <v>4</v>
      </c>
      <c r="AA121" s="65" t="s">
        <v>922</v>
      </c>
    </row>
    <row r="122" spans="1:27" ht="17.45" hidden="1" customHeight="1">
      <c r="A122" s="100" t="str">
        <f>IF(priority(Main[[#This Row],[Comments]])&lt;&gt;0, priority(Main[[#This Row],[Comments]]),"")</f>
        <v/>
      </c>
      <c r="B122" s="77" t="s">
        <v>1093</v>
      </c>
      <c r="C122" s="65" t="s">
        <v>31</v>
      </c>
      <c r="D122" s="66" t="s">
        <v>142</v>
      </c>
      <c r="E122" s="67"/>
      <c r="F122" s="67"/>
      <c r="G122" s="64" t="str">
        <f>IF(stdProdLT(Main[[#This Row],[Comments]])=0.1,"N/A",IF(stdProdLT(Main[[#This Row],[Comments]])=0,"",stdProdLT(Main[[#This Row],[Comments]])))</f>
        <v/>
      </c>
      <c r="H122" s="68" t="str">
        <f>IF(AND(Main[[#This Row],[In Stock Date]]&lt;&gt;"",Main[[#This Row],[Revised Due Date]]&lt;&gt;""),Main[[#This Row],[In Stock Date]]-Main[[#This Row],[Revised Due Date]],"")</f>
        <v/>
      </c>
      <c r="I122" s="65" t="s">
        <v>4</v>
      </c>
      <c r="J122" s="65" t="s">
        <v>4</v>
      </c>
      <c r="K122" s="65" t="s">
        <v>4</v>
      </c>
      <c r="L122" s="67"/>
      <c r="M122" s="69" t="str">
        <f>IF(Main[[#This Row],[Tech Start Date]]&lt;1/1/1990,"",IF(Main[[#This Row],[Class]]="C",WORKDAY(Main[[#This Row],[Tech Start Date]],9),IF(Main[[#This Row],[Class]]="B", WORKDAY(Main[[#This Row],[Tech Start Date]],6),IF(Main[[#This Row],[Class]]="A",WORKDAY(Main[[#This Row],[Tech Start Date]],2),""))))</f>
        <v/>
      </c>
      <c r="N122" s="69" t="str">
        <f>IF(Main[[#This Row],[Tech Start Date]]&lt;1/1/1990,"",IF(Main[[#This Row],[Class]]="C",WORKDAY(Main[[#This Row],[Tech Start Date]],19),IF(Main[[#This Row],[Class]]="B", WORKDAY(Main[[#This Row],[Tech Start Date]],12),IF(Main[[#This Row],[Class]]="A",WORKDAY(Main[[#This Row],[Tech Start Date]],4),""))))</f>
        <v/>
      </c>
      <c r="O122" s="69" t="str">
        <f>IF(Main[[#This Row],[Tech Start Date]]&lt;1/1/1990,"",IF(Main[[#This Row],[Class]]="C",WORKDAY(Main[[#This Row],[Tech Start Date]],23),IF(Main[[#This Row],[Class]]="B", WORKDAY(Main[[#This Row],[Tech Start Date]],15),IF(Main[[#This Row],[Class]]="A",WORKDAY(Main[[#This Row],[Tech Start Date]],5),""))))</f>
        <v/>
      </c>
      <c r="P122" s="69" t="str">
        <f>IF(Main[[#This Row],[Tech Start Date]]&lt;1/1/1990,"",IF(Main[[#This Row],[Class]]="C",WORKDAY(Main[[#This Row],[Tech Start Date]],28),IF(Main[[#This Row],[Class]]="B", WORKDAY(Main[[#This Row],[Tech Start Date]],19),IF(Main[[#This Row],[Class]]="A",WORKDAY(Main[[#This Row],[Tech Start Date]],9),""))))</f>
        <v/>
      </c>
      <c r="Q122" s="67">
        <v>40318</v>
      </c>
      <c r="R122" s="67"/>
      <c r="S122" s="65" t="s">
        <v>11</v>
      </c>
      <c r="T122" s="70" t="s">
        <v>4</v>
      </c>
      <c r="U122" s="65" t="s">
        <v>14</v>
      </c>
      <c r="V122" s="65" t="s">
        <v>1917</v>
      </c>
      <c r="W122" s="65" t="s">
        <v>1916</v>
      </c>
      <c r="X122" s="65" t="s">
        <v>2830</v>
      </c>
      <c r="Y122" s="65" t="s">
        <v>4</v>
      </c>
      <c r="Z122" s="65" t="s">
        <v>4</v>
      </c>
      <c r="AA122" s="65" t="s">
        <v>2830</v>
      </c>
    </row>
    <row r="123" spans="1:27" ht="17.45" hidden="1" customHeight="1">
      <c r="A123" s="100" t="str">
        <f>IF(priority(Main[[#This Row],[Comments]])&lt;&gt;0, priority(Main[[#This Row],[Comments]]),"")</f>
        <v/>
      </c>
      <c r="B123" s="77" t="s">
        <v>2335</v>
      </c>
      <c r="C123" s="65" t="s">
        <v>347</v>
      </c>
      <c r="D123" s="66" t="s">
        <v>2336</v>
      </c>
      <c r="E123" s="67"/>
      <c r="F123" s="67"/>
      <c r="G123" s="64" t="str">
        <f>IF(stdProdLT(Main[[#This Row],[Comments]])=0.1,"N/A",IF(stdProdLT(Main[[#This Row],[Comments]])=0,"",stdProdLT(Main[[#This Row],[Comments]])))</f>
        <v/>
      </c>
      <c r="H123" s="68" t="str">
        <f>IF(AND(Main[[#This Row],[In Stock Date]]&lt;&gt;"",Main[[#This Row],[Revised Due Date]]&lt;&gt;""),Main[[#This Row],[In Stock Date]]-Main[[#This Row],[Revised Due Date]],"")</f>
        <v/>
      </c>
      <c r="I123" s="65" t="s">
        <v>4</v>
      </c>
      <c r="J123" s="65" t="s">
        <v>4</v>
      </c>
      <c r="K123" s="65" t="s">
        <v>4</v>
      </c>
      <c r="L123" s="67"/>
      <c r="M123" s="69" t="str">
        <f>IF(Main[[#This Row],[Tech Start Date]]&lt;1/1/1990,"",IF(Main[[#This Row],[Class]]="C",WORKDAY(Main[[#This Row],[Tech Start Date]],9),IF(Main[[#This Row],[Class]]="B", WORKDAY(Main[[#This Row],[Tech Start Date]],6),IF(Main[[#This Row],[Class]]="A",WORKDAY(Main[[#This Row],[Tech Start Date]],2),""))))</f>
        <v/>
      </c>
      <c r="N123" s="69" t="str">
        <f>IF(Main[[#This Row],[Tech Start Date]]&lt;1/1/1990,"",IF(Main[[#This Row],[Class]]="C",WORKDAY(Main[[#This Row],[Tech Start Date]],19),IF(Main[[#This Row],[Class]]="B", WORKDAY(Main[[#This Row],[Tech Start Date]],12),IF(Main[[#This Row],[Class]]="A",WORKDAY(Main[[#This Row],[Tech Start Date]],4),""))))</f>
        <v/>
      </c>
      <c r="O123" s="69" t="str">
        <f>IF(Main[[#This Row],[Tech Start Date]]&lt;1/1/1990,"",IF(Main[[#This Row],[Class]]="C",WORKDAY(Main[[#This Row],[Tech Start Date]],23),IF(Main[[#This Row],[Class]]="B", WORKDAY(Main[[#This Row],[Tech Start Date]],15),IF(Main[[#This Row],[Class]]="A",WORKDAY(Main[[#This Row],[Tech Start Date]],5),""))))</f>
        <v/>
      </c>
      <c r="P123" s="69" t="str">
        <f>IF(Main[[#This Row],[Tech Start Date]]&lt;1/1/1990,"",IF(Main[[#This Row],[Class]]="C",WORKDAY(Main[[#This Row],[Tech Start Date]],28),IF(Main[[#This Row],[Class]]="B", WORKDAY(Main[[#This Row],[Tech Start Date]],19),IF(Main[[#This Row],[Class]]="A",WORKDAY(Main[[#This Row],[Tech Start Date]],9),""))))</f>
        <v/>
      </c>
      <c r="Q123" s="67">
        <v>40847</v>
      </c>
      <c r="R123" s="67"/>
      <c r="S123" s="65" t="s">
        <v>4</v>
      </c>
      <c r="T123" s="70" t="s">
        <v>4</v>
      </c>
      <c r="U123" s="65" t="s">
        <v>12</v>
      </c>
      <c r="V123" s="65" t="s">
        <v>1914</v>
      </c>
      <c r="W123" s="65" t="s">
        <v>4</v>
      </c>
      <c r="X123" s="65" t="s">
        <v>2849</v>
      </c>
      <c r="Y123" s="65" t="s">
        <v>2983</v>
      </c>
      <c r="Z123" s="65" t="s">
        <v>4</v>
      </c>
      <c r="AA123" s="65" t="s">
        <v>2849</v>
      </c>
    </row>
    <row r="124" spans="1:27" ht="17.45" hidden="1" customHeight="1">
      <c r="A124" s="100" t="str">
        <f>IF(priority(Main[[#This Row],[Comments]])&lt;&gt;0, priority(Main[[#This Row],[Comments]]),"")</f>
        <v/>
      </c>
      <c r="B124" s="77" t="s">
        <v>2067</v>
      </c>
      <c r="C124" s="65" t="s">
        <v>4</v>
      </c>
      <c r="D124" s="66" t="s">
        <v>2068</v>
      </c>
      <c r="E124" s="67"/>
      <c r="F124" s="67"/>
      <c r="G124" s="64" t="str">
        <f>IF(stdProdLT(Main[[#This Row],[Comments]])=0.1,"N/A",IF(stdProdLT(Main[[#This Row],[Comments]])=0,"",stdProdLT(Main[[#This Row],[Comments]])))</f>
        <v/>
      </c>
      <c r="H124" s="68" t="str">
        <f>IF(AND(Main[[#This Row],[In Stock Date]]&lt;&gt;"",Main[[#This Row],[Revised Due Date]]&lt;&gt;""),Main[[#This Row],[In Stock Date]]-Main[[#This Row],[Revised Due Date]],"")</f>
        <v/>
      </c>
      <c r="I124" s="65" t="s">
        <v>4</v>
      </c>
      <c r="J124" s="65" t="s">
        <v>4</v>
      </c>
      <c r="K124" s="65" t="s">
        <v>4</v>
      </c>
      <c r="L124" s="67"/>
      <c r="M124" s="69" t="str">
        <f>IF(Main[[#This Row],[Tech Start Date]]&lt;1/1/1990,"",IF(Main[[#This Row],[Class]]="C",WORKDAY(Main[[#This Row],[Tech Start Date]],9),IF(Main[[#This Row],[Class]]="B", WORKDAY(Main[[#This Row],[Tech Start Date]],6),IF(Main[[#This Row],[Class]]="A",WORKDAY(Main[[#This Row],[Tech Start Date]],2),""))))</f>
        <v/>
      </c>
      <c r="N124" s="69" t="str">
        <f>IF(Main[[#This Row],[Tech Start Date]]&lt;1/1/1990,"",IF(Main[[#This Row],[Class]]="C",WORKDAY(Main[[#This Row],[Tech Start Date]],19),IF(Main[[#This Row],[Class]]="B", WORKDAY(Main[[#This Row],[Tech Start Date]],12),IF(Main[[#This Row],[Class]]="A",WORKDAY(Main[[#This Row],[Tech Start Date]],4),""))))</f>
        <v/>
      </c>
      <c r="O124" s="69" t="str">
        <f>IF(Main[[#This Row],[Tech Start Date]]&lt;1/1/1990,"",IF(Main[[#This Row],[Class]]="C",WORKDAY(Main[[#This Row],[Tech Start Date]],23),IF(Main[[#This Row],[Class]]="B", WORKDAY(Main[[#This Row],[Tech Start Date]],15),IF(Main[[#This Row],[Class]]="A",WORKDAY(Main[[#This Row],[Tech Start Date]],5),""))))</f>
        <v/>
      </c>
      <c r="P124" s="69" t="str">
        <f>IF(Main[[#This Row],[Tech Start Date]]&lt;1/1/1990,"",IF(Main[[#This Row],[Class]]="C",WORKDAY(Main[[#This Row],[Tech Start Date]],28),IF(Main[[#This Row],[Class]]="B", WORKDAY(Main[[#This Row],[Tech Start Date]],19),IF(Main[[#This Row],[Class]]="A",WORKDAY(Main[[#This Row],[Tech Start Date]],9),""))))</f>
        <v/>
      </c>
      <c r="Q124" s="67"/>
      <c r="R124" s="67"/>
      <c r="S124" s="65" t="s">
        <v>6</v>
      </c>
      <c r="T124" s="70" t="s">
        <v>4</v>
      </c>
      <c r="U124" s="65" t="s">
        <v>14</v>
      </c>
      <c r="V124" s="65" t="s">
        <v>1924</v>
      </c>
      <c r="W124" s="65" t="s">
        <v>1918</v>
      </c>
      <c r="X124" s="65" t="s">
        <v>306</v>
      </c>
      <c r="Y124" s="65" t="s">
        <v>4</v>
      </c>
      <c r="Z124" s="65" t="s">
        <v>4</v>
      </c>
      <c r="AA124" s="65" t="s">
        <v>4</v>
      </c>
    </row>
    <row r="125" spans="1:27" ht="17.45" hidden="1" customHeight="1">
      <c r="A125" s="100" t="str">
        <f>IF(priority(Main[[#This Row],[Comments]])&lt;&gt;0, priority(Main[[#This Row],[Comments]]),"")</f>
        <v/>
      </c>
      <c r="B125" s="77" t="s">
        <v>2337</v>
      </c>
      <c r="C125" s="65" t="s">
        <v>4</v>
      </c>
      <c r="D125" s="66" t="s">
        <v>2338</v>
      </c>
      <c r="E125" s="67">
        <v>40841.293483796297</v>
      </c>
      <c r="F125" s="67"/>
      <c r="G125" s="64" t="str">
        <f>IF(stdProdLT(Main[[#This Row],[Comments]])=0.1,"N/A",IF(stdProdLT(Main[[#This Row],[Comments]])=0,"",stdProdLT(Main[[#This Row],[Comments]])))</f>
        <v/>
      </c>
      <c r="H125" s="68" t="str">
        <f>IF(AND(Main[[#This Row],[In Stock Date]]&lt;&gt;"",Main[[#This Row],[Revised Due Date]]&lt;&gt;""),Main[[#This Row],[In Stock Date]]-Main[[#This Row],[Revised Due Date]],"")</f>
        <v/>
      </c>
      <c r="I125" s="65" t="s">
        <v>912</v>
      </c>
      <c r="J125" s="65" t="s">
        <v>52</v>
      </c>
      <c r="K125" s="65" t="s">
        <v>4</v>
      </c>
      <c r="L125" s="67"/>
      <c r="M125" s="69" t="str">
        <f>IF(Main[[#This Row],[Tech Start Date]]&lt;1/1/1990,"",IF(Main[[#This Row],[Class]]="C",WORKDAY(Main[[#This Row],[Tech Start Date]],9),IF(Main[[#This Row],[Class]]="B", WORKDAY(Main[[#This Row],[Tech Start Date]],6),IF(Main[[#This Row],[Class]]="A",WORKDAY(Main[[#This Row],[Tech Start Date]],2),""))))</f>
        <v/>
      </c>
      <c r="N125" s="69" t="str">
        <f>IF(Main[[#This Row],[Tech Start Date]]&lt;1/1/1990,"",IF(Main[[#This Row],[Class]]="C",WORKDAY(Main[[#This Row],[Tech Start Date]],19),IF(Main[[#This Row],[Class]]="B", WORKDAY(Main[[#This Row],[Tech Start Date]],12),IF(Main[[#This Row],[Class]]="A",WORKDAY(Main[[#This Row],[Tech Start Date]],4),""))))</f>
        <v/>
      </c>
      <c r="O125" s="69" t="str">
        <f>IF(Main[[#This Row],[Tech Start Date]]&lt;1/1/1990,"",IF(Main[[#This Row],[Class]]="C",WORKDAY(Main[[#This Row],[Tech Start Date]],23),IF(Main[[#This Row],[Class]]="B", WORKDAY(Main[[#This Row],[Tech Start Date]],15),IF(Main[[#This Row],[Class]]="A",WORKDAY(Main[[#This Row],[Tech Start Date]],5),""))))</f>
        <v/>
      </c>
      <c r="P125" s="69" t="str">
        <f>IF(Main[[#This Row],[Tech Start Date]]&lt;1/1/1990,"",IF(Main[[#This Row],[Class]]="C",WORKDAY(Main[[#This Row],[Tech Start Date]],28),IF(Main[[#This Row],[Class]]="B", WORKDAY(Main[[#This Row],[Tech Start Date]],19),IF(Main[[#This Row],[Class]]="A",WORKDAY(Main[[#This Row],[Tech Start Date]],9),""))))</f>
        <v/>
      </c>
      <c r="Q125" s="67"/>
      <c r="R125" s="67"/>
      <c r="S125" s="65" t="s">
        <v>6</v>
      </c>
      <c r="T125" s="70" t="s">
        <v>4</v>
      </c>
      <c r="U125" s="65" t="s">
        <v>29</v>
      </c>
      <c r="V125" s="65" t="s">
        <v>1914</v>
      </c>
      <c r="W125" s="65" t="s">
        <v>1918</v>
      </c>
      <c r="X125" s="65" t="s">
        <v>937</v>
      </c>
      <c r="Y125" s="65" t="s">
        <v>2984</v>
      </c>
      <c r="Z125" s="65" t="s">
        <v>4</v>
      </c>
      <c r="AA125" s="65" t="s">
        <v>937</v>
      </c>
    </row>
    <row r="126" spans="1:27" ht="17.45" hidden="1" customHeight="1">
      <c r="A126" s="100" t="str">
        <f>IF(priority(Main[[#This Row],[Comments]])&lt;&gt;0, priority(Main[[#This Row],[Comments]]),"")</f>
        <v/>
      </c>
      <c r="B126" s="77" t="s">
        <v>1094</v>
      </c>
      <c r="C126" s="65" t="s">
        <v>33</v>
      </c>
      <c r="D126" s="66" t="s">
        <v>143</v>
      </c>
      <c r="E126" s="67"/>
      <c r="F126" s="67">
        <v>40422</v>
      </c>
      <c r="G126" s="64" t="str">
        <f>IF(stdProdLT(Main[[#This Row],[Comments]])=0.1,"N/A",IF(stdProdLT(Main[[#This Row],[Comments]])=0,"",stdProdLT(Main[[#This Row],[Comments]])))</f>
        <v/>
      </c>
      <c r="H126" s="68" t="str">
        <f>IF(AND(Main[[#This Row],[In Stock Date]]&lt;&gt;"",Main[[#This Row],[Revised Due Date]]&lt;&gt;""),Main[[#This Row],[In Stock Date]]-Main[[#This Row],[Revised Due Date]],"")</f>
        <v/>
      </c>
      <c r="I126" s="65" t="s">
        <v>4</v>
      </c>
      <c r="J126" s="65" t="s">
        <v>4</v>
      </c>
      <c r="K126" s="65" t="s">
        <v>4</v>
      </c>
      <c r="L126" s="67"/>
      <c r="M126" s="69" t="str">
        <f>IF(Main[[#This Row],[Tech Start Date]]&lt;1/1/1990,"",IF(Main[[#This Row],[Class]]="C",WORKDAY(Main[[#This Row],[Tech Start Date]],9),IF(Main[[#This Row],[Class]]="B", WORKDAY(Main[[#This Row],[Tech Start Date]],6),IF(Main[[#This Row],[Class]]="A",WORKDAY(Main[[#This Row],[Tech Start Date]],2),""))))</f>
        <v/>
      </c>
      <c r="N126" s="69" t="str">
        <f>IF(Main[[#This Row],[Tech Start Date]]&lt;1/1/1990,"",IF(Main[[#This Row],[Class]]="C",WORKDAY(Main[[#This Row],[Tech Start Date]],19),IF(Main[[#This Row],[Class]]="B", WORKDAY(Main[[#This Row],[Tech Start Date]],12),IF(Main[[#This Row],[Class]]="A",WORKDAY(Main[[#This Row],[Tech Start Date]],4),""))))</f>
        <v/>
      </c>
      <c r="O126" s="69" t="str">
        <f>IF(Main[[#This Row],[Tech Start Date]]&lt;1/1/1990,"",IF(Main[[#This Row],[Class]]="C",WORKDAY(Main[[#This Row],[Tech Start Date]],23),IF(Main[[#This Row],[Class]]="B", WORKDAY(Main[[#This Row],[Tech Start Date]],15),IF(Main[[#This Row],[Class]]="A",WORKDAY(Main[[#This Row],[Tech Start Date]],5),""))))</f>
        <v/>
      </c>
      <c r="P126" s="69" t="str">
        <f>IF(Main[[#This Row],[Tech Start Date]]&lt;1/1/1990,"",IF(Main[[#This Row],[Class]]="C",WORKDAY(Main[[#This Row],[Tech Start Date]],28),IF(Main[[#This Row],[Class]]="B", WORKDAY(Main[[#This Row],[Tech Start Date]],19),IF(Main[[#This Row],[Class]]="A",WORKDAY(Main[[#This Row],[Tech Start Date]],9),""))))</f>
        <v/>
      </c>
      <c r="Q126" s="67">
        <v>40282</v>
      </c>
      <c r="R126" s="67"/>
      <c r="S126" s="65" t="s">
        <v>11</v>
      </c>
      <c r="T126" s="70" t="s">
        <v>4</v>
      </c>
      <c r="U126" s="65" t="s">
        <v>14</v>
      </c>
      <c r="V126" s="65" t="s">
        <v>1917</v>
      </c>
      <c r="W126" s="65" t="s">
        <v>1919</v>
      </c>
      <c r="X126" s="65" t="s">
        <v>2850</v>
      </c>
      <c r="Y126" s="65" t="s">
        <v>4</v>
      </c>
      <c r="Z126" s="65" t="s">
        <v>4</v>
      </c>
      <c r="AA126" s="65" t="s">
        <v>2850</v>
      </c>
    </row>
    <row r="127" spans="1:27" ht="17.45" hidden="1" customHeight="1">
      <c r="A127" s="100" t="str">
        <f>IF(priority(Main[[#This Row],[Comments]])&lt;&gt;0, priority(Main[[#This Row],[Comments]]),"")</f>
        <v/>
      </c>
      <c r="B127" s="77" t="s">
        <v>1095</v>
      </c>
      <c r="C127" s="65" t="s">
        <v>4</v>
      </c>
      <c r="D127" s="66" t="s">
        <v>144</v>
      </c>
      <c r="E127" s="67">
        <v>40395.405358796299</v>
      </c>
      <c r="F127" s="67">
        <v>40574</v>
      </c>
      <c r="G127" s="64" t="str">
        <f>IF(stdProdLT(Main[[#This Row],[Comments]])=0.1,"N/A",IF(stdProdLT(Main[[#This Row],[Comments]])=0,"",stdProdLT(Main[[#This Row],[Comments]])))</f>
        <v/>
      </c>
      <c r="H127" s="68" t="str">
        <f>IF(AND(Main[[#This Row],[In Stock Date]]&lt;&gt;"",Main[[#This Row],[Revised Due Date]]&lt;&gt;""),Main[[#This Row],[In Stock Date]]-Main[[#This Row],[Revised Due Date]],"")</f>
        <v/>
      </c>
      <c r="I127" s="65" t="s">
        <v>4</v>
      </c>
      <c r="J127" s="65" t="s">
        <v>28</v>
      </c>
      <c r="K127" s="71" t="s">
        <v>4</v>
      </c>
      <c r="L127" s="67"/>
      <c r="M127" s="69" t="str">
        <f>IF(Main[[#This Row],[Tech Start Date]]&lt;1/1/1990,"",IF(Main[[#This Row],[Class]]="C",WORKDAY(Main[[#This Row],[Tech Start Date]],9),IF(Main[[#This Row],[Class]]="B", WORKDAY(Main[[#This Row],[Tech Start Date]],6),IF(Main[[#This Row],[Class]]="A",WORKDAY(Main[[#This Row],[Tech Start Date]],2),""))))</f>
        <v/>
      </c>
      <c r="N127" s="69" t="str">
        <f>IF(Main[[#This Row],[Tech Start Date]]&lt;1/1/1990,"",IF(Main[[#This Row],[Class]]="C",WORKDAY(Main[[#This Row],[Tech Start Date]],19),IF(Main[[#This Row],[Class]]="B", WORKDAY(Main[[#This Row],[Tech Start Date]],12),IF(Main[[#This Row],[Class]]="A",WORKDAY(Main[[#This Row],[Tech Start Date]],4),""))))</f>
        <v/>
      </c>
      <c r="O127" s="69" t="str">
        <f>IF(Main[[#This Row],[Tech Start Date]]&lt;1/1/1990,"",IF(Main[[#This Row],[Class]]="C",WORKDAY(Main[[#This Row],[Tech Start Date]],23),IF(Main[[#This Row],[Class]]="B", WORKDAY(Main[[#This Row],[Tech Start Date]],15),IF(Main[[#This Row],[Class]]="A",WORKDAY(Main[[#This Row],[Tech Start Date]],5),""))))</f>
        <v/>
      </c>
      <c r="P127" s="69" t="str">
        <f>IF(Main[[#This Row],[Tech Start Date]]&lt;1/1/1990,"",IF(Main[[#This Row],[Class]]="C",WORKDAY(Main[[#This Row],[Tech Start Date]],28),IF(Main[[#This Row],[Class]]="B", WORKDAY(Main[[#This Row],[Tech Start Date]],19),IF(Main[[#This Row],[Class]]="A",WORKDAY(Main[[#This Row],[Tech Start Date]],9),""))))</f>
        <v/>
      </c>
      <c r="Q127" s="67"/>
      <c r="R127" s="67"/>
      <c r="S127" s="65" t="s">
        <v>17</v>
      </c>
      <c r="T127" s="70" t="s">
        <v>4</v>
      </c>
      <c r="U127" s="65" t="s">
        <v>7</v>
      </c>
      <c r="V127" s="65" t="s">
        <v>1915</v>
      </c>
      <c r="W127" s="65" t="s">
        <v>1919</v>
      </c>
      <c r="X127" s="65" t="s">
        <v>50</v>
      </c>
      <c r="Y127" s="65" t="s">
        <v>2985</v>
      </c>
      <c r="Z127" s="65" t="s">
        <v>2862</v>
      </c>
      <c r="AA127" s="65" t="s">
        <v>65</v>
      </c>
    </row>
    <row r="128" spans="1:27" ht="17.45" hidden="1" customHeight="1">
      <c r="A128" s="100" t="str">
        <f>IF(priority(Main[[#This Row],[Comments]])&lt;&gt;0, priority(Main[[#This Row],[Comments]]),"")</f>
        <v/>
      </c>
      <c r="B128" s="77" t="s">
        <v>1083</v>
      </c>
      <c r="C128" s="65" t="s">
        <v>4</v>
      </c>
      <c r="D128" s="66" t="s">
        <v>133</v>
      </c>
      <c r="E128" s="67"/>
      <c r="F128" s="67"/>
      <c r="G128" s="64" t="str">
        <f>IF(stdProdLT(Main[[#This Row],[Comments]])=0.1,"N/A",IF(stdProdLT(Main[[#This Row],[Comments]])=0,"",stdProdLT(Main[[#This Row],[Comments]])))</f>
        <v/>
      </c>
      <c r="H128" s="68" t="str">
        <f>IF(AND(Main[[#This Row],[In Stock Date]]&lt;&gt;"",Main[[#This Row],[Revised Due Date]]&lt;&gt;""),Main[[#This Row],[In Stock Date]]-Main[[#This Row],[Revised Due Date]],"")</f>
        <v/>
      </c>
      <c r="I128" s="65" t="s">
        <v>69</v>
      </c>
      <c r="J128" s="65" t="s">
        <v>70</v>
      </c>
      <c r="K128" s="71" t="s">
        <v>1923</v>
      </c>
      <c r="L128" s="67"/>
      <c r="M128" s="69" t="str">
        <f>IF(Main[[#This Row],[Tech Start Date]]&lt;1/1/1990,"",IF(Main[[#This Row],[Class]]="C",WORKDAY(Main[[#This Row],[Tech Start Date]],9),IF(Main[[#This Row],[Class]]="B", WORKDAY(Main[[#This Row],[Tech Start Date]],6),IF(Main[[#This Row],[Class]]="A",WORKDAY(Main[[#This Row],[Tech Start Date]],2),""))))</f>
        <v/>
      </c>
      <c r="N128" s="69" t="str">
        <f>IF(Main[[#This Row],[Tech Start Date]]&lt;1/1/1990,"",IF(Main[[#This Row],[Class]]="C",WORKDAY(Main[[#This Row],[Tech Start Date]],19),IF(Main[[#This Row],[Class]]="B", WORKDAY(Main[[#This Row],[Tech Start Date]],12),IF(Main[[#This Row],[Class]]="A",WORKDAY(Main[[#This Row],[Tech Start Date]],4),""))))</f>
        <v/>
      </c>
      <c r="O128" s="69" t="str">
        <f>IF(Main[[#This Row],[Tech Start Date]]&lt;1/1/1990,"",IF(Main[[#This Row],[Class]]="C",WORKDAY(Main[[#This Row],[Tech Start Date]],23),IF(Main[[#This Row],[Class]]="B", WORKDAY(Main[[#This Row],[Tech Start Date]],15),IF(Main[[#This Row],[Class]]="A",WORKDAY(Main[[#This Row],[Tech Start Date]],5),""))))</f>
        <v/>
      </c>
      <c r="P128" s="69" t="str">
        <f>IF(Main[[#This Row],[Tech Start Date]]&lt;1/1/1990,"",IF(Main[[#This Row],[Class]]="C",WORKDAY(Main[[#This Row],[Tech Start Date]],28),IF(Main[[#This Row],[Class]]="B", WORKDAY(Main[[#This Row],[Tech Start Date]],19),IF(Main[[#This Row],[Class]]="A",WORKDAY(Main[[#This Row],[Tech Start Date]],9),""))))</f>
        <v/>
      </c>
      <c r="Q128" s="67">
        <v>40633</v>
      </c>
      <c r="R128" s="67"/>
      <c r="S128" s="65" t="s">
        <v>6</v>
      </c>
      <c r="T128" s="70" t="s">
        <v>4</v>
      </c>
      <c r="U128" s="65" t="s">
        <v>14</v>
      </c>
      <c r="V128" s="65" t="s">
        <v>1917</v>
      </c>
      <c r="W128" s="65" t="s">
        <v>1918</v>
      </c>
      <c r="X128" s="65" t="s">
        <v>2819</v>
      </c>
      <c r="Y128" s="65" t="s">
        <v>2932</v>
      </c>
      <c r="Z128" s="65" t="s">
        <v>44</v>
      </c>
      <c r="AA128" s="65" t="s">
        <v>2819</v>
      </c>
    </row>
    <row r="129" spans="1:27" ht="17.45" hidden="1" customHeight="1">
      <c r="A129" s="100" t="str">
        <f>IF(priority(Main[[#This Row],[Comments]])&lt;&gt;0, priority(Main[[#This Row],[Comments]]),"")</f>
        <v/>
      </c>
      <c r="B129" s="77" t="s">
        <v>1097</v>
      </c>
      <c r="C129" s="65" t="s">
        <v>47</v>
      </c>
      <c r="D129" s="66" t="s">
        <v>146</v>
      </c>
      <c r="E129" s="67"/>
      <c r="F129" s="67"/>
      <c r="G129" s="64" t="str">
        <f>IF(stdProdLT(Main[[#This Row],[Comments]])=0.1,"N/A",IF(stdProdLT(Main[[#This Row],[Comments]])=0,"",stdProdLT(Main[[#This Row],[Comments]])))</f>
        <v/>
      </c>
      <c r="H129" s="68" t="str">
        <f>IF(AND(Main[[#This Row],[In Stock Date]]&lt;&gt;"",Main[[#This Row],[Revised Due Date]]&lt;&gt;""),Main[[#This Row],[In Stock Date]]-Main[[#This Row],[Revised Due Date]],"")</f>
        <v/>
      </c>
      <c r="I129" s="65" t="s">
        <v>4</v>
      </c>
      <c r="J129" s="65" t="s">
        <v>4</v>
      </c>
      <c r="K129" s="65" t="s">
        <v>4</v>
      </c>
      <c r="L129" s="67"/>
      <c r="M129" s="69" t="str">
        <f>IF(Main[[#This Row],[Tech Start Date]]&lt;1/1/1990,"",IF(Main[[#This Row],[Class]]="C",WORKDAY(Main[[#This Row],[Tech Start Date]],9),IF(Main[[#This Row],[Class]]="B", WORKDAY(Main[[#This Row],[Tech Start Date]],6),IF(Main[[#This Row],[Class]]="A",WORKDAY(Main[[#This Row],[Tech Start Date]],2),""))))</f>
        <v/>
      </c>
      <c r="N129" s="69" t="str">
        <f>IF(Main[[#This Row],[Tech Start Date]]&lt;1/1/1990,"",IF(Main[[#This Row],[Class]]="C",WORKDAY(Main[[#This Row],[Tech Start Date]],19),IF(Main[[#This Row],[Class]]="B", WORKDAY(Main[[#This Row],[Tech Start Date]],12),IF(Main[[#This Row],[Class]]="A",WORKDAY(Main[[#This Row],[Tech Start Date]],4),""))))</f>
        <v/>
      </c>
      <c r="O129" s="69" t="str">
        <f>IF(Main[[#This Row],[Tech Start Date]]&lt;1/1/1990,"",IF(Main[[#This Row],[Class]]="C",WORKDAY(Main[[#This Row],[Tech Start Date]],23),IF(Main[[#This Row],[Class]]="B", WORKDAY(Main[[#This Row],[Tech Start Date]],15),IF(Main[[#This Row],[Class]]="A",WORKDAY(Main[[#This Row],[Tech Start Date]],5),""))))</f>
        <v/>
      </c>
      <c r="P129" s="69" t="str">
        <f>IF(Main[[#This Row],[Tech Start Date]]&lt;1/1/1990,"",IF(Main[[#This Row],[Class]]="C",WORKDAY(Main[[#This Row],[Tech Start Date]],28),IF(Main[[#This Row],[Class]]="B", WORKDAY(Main[[#This Row],[Tech Start Date]],19),IF(Main[[#This Row],[Class]]="A",WORKDAY(Main[[#This Row],[Tech Start Date]],9),""))))</f>
        <v/>
      </c>
      <c r="Q129" s="67"/>
      <c r="R129" s="67"/>
      <c r="S129" s="65" t="s">
        <v>11</v>
      </c>
      <c r="T129" s="70" t="s">
        <v>4</v>
      </c>
      <c r="U129" s="65" t="s">
        <v>14</v>
      </c>
      <c r="V129" s="65" t="s">
        <v>1915</v>
      </c>
      <c r="W129" s="65" t="s">
        <v>1918</v>
      </c>
      <c r="X129" s="65" t="s">
        <v>399</v>
      </c>
      <c r="Y129" s="65" t="s">
        <v>4</v>
      </c>
      <c r="Z129" s="65" t="s">
        <v>4</v>
      </c>
      <c r="AA129" s="65" t="s">
        <v>399</v>
      </c>
    </row>
    <row r="130" spans="1:27" ht="17.45" hidden="1" customHeight="1">
      <c r="A130" s="100" t="str">
        <f>IF(priority(Main[[#This Row],[Comments]])&lt;&gt;0, priority(Main[[#This Row],[Comments]]),"")</f>
        <v/>
      </c>
      <c r="B130" s="77" t="s">
        <v>3248</v>
      </c>
      <c r="C130" s="65" t="s">
        <v>4</v>
      </c>
      <c r="D130" s="66" t="s">
        <v>3249</v>
      </c>
      <c r="E130" s="67">
        <v>40928.503738425927</v>
      </c>
      <c r="F130" s="67"/>
      <c r="G130" s="64" t="str">
        <f>IF(stdProdLT(Main[[#This Row],[Comments]])=0.1,"N/A",IF(stdProdLT(Main[[#This Row],[Comments]])=0,"",stdProdLT(Main[[#This Row],[Comments]])))</f>
        <v/>
      </c>
      <c r="H130" s="68" t="str">
        <f>IF(AND(Main[[#This Row],[In Stock Date]]&lt;&gt;"",Main[[#This Row],[Revised Due Date]]&lt;&gt;""),Main[[#This Row],[In Stock Date]]-Main[[#This Row],[Revised Due Date]],"")</f>
        <v/>
      </c>
      <c r="I130" s="65" t="s">
        <v>4</v>
      </c>
      <c r="J130" s="65" t="s">
        <v>4</v>
      </c>
      <c r="K130" s="71" t="s">
        <v>4</v>
      </c>
      <c r="L130" s="67"/>
      <c r="M130" s="69" t="str">
        <f>IF(Main[[#This Row],[Tech Start Date]]&lt;1/1/1990,"",IF(Main[[#This Row],[Class]]="C",WORKDAY(Main[[#This Row],[Tech Start Date]],9),IF(Main[[#This Row],[Class]]="B", WORKDAY(Main[[#This Row],[Tech Start Date]],6),IF(Main[[#This Row],[Class]]="A",WORKDAY(Main[[#This Row],[Tech Start Date]],2),""))))</f>
        <v/>
      </c>
      <c r="N130" s="69" t="str">
        <f>IF(Main[[#This Row],[Tech Start Date]]&lt;1/1/1990,"",IF(Main[[#This Row],[Class]]="C",WORKDAY(Main[[#This Row],[Tech Start Date]],19),IF(Main[[#This Row],[Class]]="B", WORKDAY(Main[[#This Row],[Tech Start Date]],12),IF(Main[[#This Row],[Class]]="A",WORKDAY(Main[[#This Row],[Tech Start Date]],4),""))))</f>
        <v/>
      </c>
      <c r="O130" s="69" t="str">
        <f>IF(Main[[#This Row],[Tech Start Date]]&lt;1/1/1990,"",IF(Main[[#This Row],[Class]]="C",WORKDAY(Main[[#This Row],[Tech Start Date]],23),IF(Main[[#This Row],[Class]]="B", WORKDAY(Main[[#This Row],[Tech Start Date]],15),IF(Main[[#This Row],[Class]]="A",WORKDAY(Main[[#This Row],[Tech Start Date]],5),""))))</f>
        <v/>
      </c>
      <c r="P130" s="69" t="str">
        <f>IF(Main[[#This Row],[Tech Start Date]]&lt;1/1/1990,"",IF(Main[[#This Row],[Class]]="C",WORKDAY(Main[[#This Row],[Tech Start Date]],28),IF(Main[[#This Row],[Class]]="B", WORKDAY(Main[[#This Row],[Tech Start Date]],19),IF(Main[[#This Row],[Class]]="A",WORKDAY(Main[[#This Row],[Tech Start Date]],9),""))))</f>
        <v/>
      </c>
      <c r="Q130" s="67"/>
      <c r="R130" s="67"/>
      <c r="S130" s="65" t="s">
        <v>6</v>
      </c>
      <c r="T130" s="70" t="s">
        <v>4</v>
      </c>
      <c r="U130" s="65" t="s">
        <v>29</v>
      </c>
      <c r="V130" s="65" t="s">
        <v>1915</v>
      </c>
      <c r="W130" s="65" t="s">
        <v>1918</v>
      </c>
      <c r="X130" s="65" t="s">
        <v>2249</v>
      </c>
      <c r="Y130" s="65" t="s">
        <v>4</v>
      </c>
      <c r="Z130" s="65" t="s">
        <v>4</v>
      </c>
      <c r="AA130" s="65" t="s">
        <v>4</v>
      </c>
    </row>
    <row r="131" spans="1:27" ht="17.45" hidden="1" customHeight="1">
      <c r="A131" s="100" t="str">
        <f>IF(priority(Main[[#This Row],[Comments]])&lt;&gt;0, priority(Main[[#This Row],[Comments]]),"")</f>
        <v/>
      </c>
      <c r="B131" s="77" t="s">
        <v>1098</v>
      </c>
      <c r="C131" s="65" t="s">
        <v>4</v>
      </c>
      <c r="D131" s="66" t="s">
        <v>147</v>
      </c>
      <c r="E131" s="67">
        <v>40666.180879629632</v>
      </c>
      <c r="F131" s="67"/>
      <c r="G131" s="64" t="str">
        <f>IF(stdProdLT(Main[[#This Row],[Comments]])=0.1,"N/A",IF(stdProdLT(Main[[#This Row],[Comments]])=0,"",stdProdLT(Main[[#This Row],[Comments]])))</f>
        <v/>
      </c>
      <c r="H131" s="68" t="str">
        <f>IF(AND(Main[[#This Row],[In Stock Date]]&lt;&gt;"",Main[[#This Row],[Revised Due Date]]&lt;&gt;""),Main[[#This Row],[In Stock Date]]-Main[[#This Row],[Revised Due Date]],"")</f>
        <v/>
      </c>
      <c r="I131" s="65" t="s">
        <v>4</v>
      </c>
      <c r="J131" s="65" t="s">
        <v>4</v>
      </c>
      <c r="K131" s="65" t="s">
        <v>4</v>
      </c>
      <c r="L131" s="67"/>
      <c r="M131" s="69" t="str">
        <f>IF(Main[[#This Row],[Tech Start Date]]&lt;1/1/1990,"",IF(Main[[#This Row],[Class]]="C",WORKDAY(Main[[#This Row],[Tech Start Date]],9),IF(Main[[#This Row],[Class]]="B", WORKDAY(Main[[#This Row],[Tech Start Date]],6),IF(Main[[#This Row],[Class]]="A",WORKDAY(Main[[#This Row],[Tech Start Date]],2),""))))</f>
        <v/>
      </c>
      <c r="N131" s="69" t="str">
        <f>IF(Main[[#This Row],[Tech Start Date]]&lt;1/1/1990,"",IF(Main[[#This Row],[Class]]="C",WORKDAY(Main[[#This Row],[Tech Start Date]],19),IF(Main[[#This Row],[Class]]="B", WORKDAY(Main[[#This Row],[Tech Start Date]],12),IF(Main[[#This Row],[Class]]="A",WORKDAY(Main[[#This Row],[Tech Start Date]],4),""))))</f>
        <v/>
      </c>
      <c r="O131" s="69" t="str">
        <f>IF(Main[[#This Row],[Tech Start Date]]&lt;1/1/1990,"",IF(Main[[#This Row],[Class]]="C",WORKDAY(Main[[#This Row],[Tech Start Date]],23),IF(Main[[#This Row],[Class]]="B", WORKDAY(Main[[#This Row],[Tech Start Date]],15),IF(Main[[#This Row],[Class]]="A",WORKDAY(Main[[#This Row],[Tech Start Date]],5),""))))</f>
        <v/>
      </c>
      <c r="P131" s="69" t="str">
        <f>IF(Main[[#This Row],[Tech Start Date]]&lt;1/1/1990,"",IF(Main[[#This Row],[Class]]="C",WORKDAY(Main[[#This Row],[Tech Start Date]],28),IF(Main[[#This Row],[Class]]="B", WORKDAY(Main[[#This Row],[Tech Start Date]],19),IF(Main[[#This Row],[Class]]="A",WORKDAY(Main[[#This Row],[Tech Start Date]],9),""))))</f>
        <v/>
      </c>
      <c r="Q131" s="67">
        <v>40687</v>
      </c>
      <c r="R131" s="67"/>
      <c r="S131" s="65" t="s">
        <v>6</v>
      </c>
      <c r="T131" s="70" t="s">
        <v>4</v>
      </c>
      <c r="U131" s="65" t="s">
        <v>7</v>
      </c>
      <c r="V131" s="65" t="s">
        <v>1914</v>
      </c>
      <c r="W131" s="65" t="s">
        <v>4</v>
      </c>
      <c r="X131" s="65" t="s">
        <v>2851</v>
      </c>
      <c r="Y131" s="65" t="s">
        <v>2986</v>
      </c>
      <c r="Z131" s="65" t="s">
        <v>4</v>
      </c>
      <c r="AA131" s="65" t="s">
        <v>2851</v>
      </c>
    </row>
    <row r="132" spans="1:27" ht="17.45" hidden="1" customHeight="1">
      <c r="A132" s="100" t="str">
        <f>IF(priority(Main[[#This Row],[Comments]])&lt;&gt;0, priority(Main[[#This Row],[Comments]]),"")</f>
        <v/>
      </c>
      <c r="B132" s="77" t="s">
        <v>1099</v>
      </c>
      <c r="C132" s="65" t="s">
        <v>148</v>
      </c>
      <c r="D132" s="66" t="s">
        <v>149</v>
      </c>
      <c r="E132" s="67"/>
      <c r="F132" s="67"/>
      <c r="G132" s="64" t="str">
        <f>IF(stdProdLT(Main[[#This Row],[Comments]])=0.1,"N/A",IF(stdProdLT(Main[[#This Row],[Comments]])=0,"",stdProdLT(Main[[#This Row],[Comments]])))</f>
        <v/>
      </c>
      <c r="H132" s="68" t="str">
        <f>IF(AND(Main[[#This Row],[In Stock Date]]&lt;&gt;"",Main[[#This Row],[Revised Due Date]]&lt;&gt;""),Main[[#This Row],[In Stock Date]]-Main[[#This Row],[Revised Due Date]],"")</f>
        <v/>
      </c>
      <c r="I132" s="65" t="s">
        <v>4</v>
      </c>
      <c r="J132" s="65" t="s">
        <v>28</v>
      </c>
      <c r="K132" s="71" t="s">
        <v>4</v>
      </c>
      <c r="L132" s="67"/>
      <c r="M132" s="69" t="str">
        <f>IF(Main[[#This Row],[Tech Start Date]]&lt;1/1/1990,"",IF(Main[[#This Row],[Class]]="C",WORKDAY(Main[[#This Row],[Tech Start Date]],9),IF(Main[[#This Row],[Class]]="B", WORKDAY(Main[[#This Row],[Tech Start Date]],6),IF(Main[[#This Row],[Class]]="A",WORKDAY(Main[[#This Row],[Tech Start Date]],2),""))))</f>
        <v/>
      </c>
      <c r="N132" s="69" t="str">
        <f>IF(Main[[#This Row],[Tech Start Date]]&lt;1/1/1990,"",IF(Main[[#This Row],[Class]]="C",WORKDAY(Main[[#This Row],[Tech Start Date]],19),IF(Main[[#This Row],[Class]]="B", WORKDAY(Main[[#This Row],[Tech Start Date]],12),IF(Main[[#This Row],[Class]]="A",WORKDAY(Main[[#This Row],[Tech Start Date]],4),""))))</f>
        <v/>
      </c>
      <c r="O132" s="69" t="str">
        <f>IF(Main[[#This Row],[Tech Start Date]]&lt;1/1/1990,"",IF(Main[[#This Row],[Class]]="C",WORKDAY(Main[[#This Row],[Tech Start Date]],23),IF(Main[[#This Row],[Class]]="B", WORKDAY(Main[[#This Row],[Tech Start Date]],15),IF(Main[[#This Row],[Class]]="A",WORKDAY(Main[[#This Row],[Tech Start Date]],5),""))))</f>
        <v/>
      </c>
      <c r="P132" s="69" t="str">
        <f>IF(Main[[#This Row],[Tech Start Date]]&lt;1/1/1990,"",IF(Main[[#This Row],[Class]]="C",WORKDAY(Main[[#This Row],[Tech Start Date]],28),IF(Main[[#This Row],[Class]]="B", WORKDAY(Main[[#This Row],[Tech Start Date]],19),IF(Main[[#This Row],[Class]]="A",WORKDAY(Main[[#This Row],[Tech Start Date]],9),""))))</f>
        <v/>
      </c>
      <c r="Q132" s="67">
        <v>40511</v>
      </c>
      <c r="R132" s="67"/>
      <c r="S132" s="65" t="s">
        <v>11</v>
      </c>
      <c r="T132" s="70" t="s">
        <v>4</v>
      </c>
      <c r="U132" s="65" t="s">
        <v>14</v>
      </c>
      <c r="V132" s="65" t="s">
        <v>1917</v>
      </c>
      <c r="W132" s="65" t="s">
        <v>1916</v>
      </c>
      <c r="X132" s="65" t="s">
        <v>2843</v>
      </c>
      <c r="Y132" s="65" t="s">
        <v>2987</v>
      </c>
      <c r="Z132" s="65" t="s">
        <v>530</v>
      </c>
      <c r="AA132" s="65" t="s">
        <v>2843</v>
      </c>
    </row>
    <row r="133" spans="1:27" ht="17.45" hidden="1" customHeight="1">
      <c r="A133" s="100" t="str">
        <f>IF(priority(Main[[#This Row],[Comments]])&lt;&gt;0, priority(Main[[#This Row],[Comments]]),"")</f>
        <v/>
      </c>
      <c r="B133" s="77" t="s">
        <v>2698</v>
      </c>
      <c r="C133" s="65" t="s">
        <v>4</v>
      </c>
      <c r="D133" s="66" t="s">
        <v>2699</v>
      </c>
      <c r="E133" s="67">
        <v>40905.438483796293</v>
      </c>
      <c r="F133" s="67"/>
      <c r="G133" s="64" t="str">
        <f>IF(stdProdLT(Main[[#This Row],[Comments]])=0.1,"N/A",IF(stdProdLT(Main[[#This Row],[Comments]])=0,"",stdProdLT(Main[[#This Row],[Comments]])))</f>
        <v/>
      </c>
      <c r="H133" s="68" t="str">
        <f>IF(AND(Main[[#This Row],[In Stock Date]]&lt;&gt;"",Main[[#This Row],[Revised Due Date]]&lt;&gt;""),Main[[#This Row],[In Stock Date]]-Main[[#This Row],[Revised Due Date]],"")</f>
        <v/>
      </c>
      <c r="I133" s="65" t="s">
        <v>4</v>
      </c>
      <c r="J133" s="65" t="s">
        <v>4</v>
      </c>
      <c r="K133" s="65" t="s">
        <v>4</v>
      </c>
      <c r="L133" s="67"/>
      <c r="M133" s="69" t="str">
        <f>IF(Main[[#This Row],[Tech Start Date]]&lt;1/1/1990,"",IF(Main[[#This Row],[Class]]="C",WORKDAY(Main[[#This Row],[Tech Start Date]],9),IF(Main[[#This Row],[Class]]="B", WORKDAY(Main[[#This Row],[Tech Start Date]],6),IF(Main[[#This Row],[Class]]="A",WORKDAY(Main[[#This Row],[Tech Start Date]],2),""))))</f>
        <v/>
      </c>
      <c r="N133" s="69" t="str">
        <f>IF(Main[[#This Row],[Tech Start Date]]&lt;1/1/1990,"",IF(Main[[#This Row],[Class]]="C",WORKDAY(Main[[#This Row],[Tech Start Date]],19),IF(Main[[#This Row],[Class]]="B", WORKDAY(Main[[#This Row],[Tech Start Date]],12),IF(Main[[#This Row],[Class]]="A",WORKDAY(Main[[#This Row],[Tech Start Date]],4),""))))</f>
        <v/>
      </c>
      <c r="O133" s="69" t="str">
        <f>IF(Main[[#This Row],[Tech Start Date]]&lt;1/1/1990,"",IF(Main[[#This Row],[Class]]="C",WORKDAY(Main[[#This Row],[Tech Start Date]],23),IF(Main[[#This Row],[Class]]="B", WORKDAY(Main[[#This Row],[Tech Start Date]],15),IF(Main[[#This Row],[Class]]="A",WORKDAY(Main[[#This Row],[Tech Start Date]],5),""))))</f>
        <v/>
      </c>
      <c r="P133" s="69" t="str">
        <f>IF(Main[[#This Row],[Tech Start Date]]&lt;1/1/1990,"",IF(Main[[#This Row],[Class]]="C",WORKDAY(Main[[#This Row],[Tech Start Date]],28),IF(Main[[#This Row],[Class]]="B", WORKDAY(Main[[#This Row],[Tech Start Date]],19),IF(Main[[#This Row],[Class]]="A",WORKDAY(Main[[#This Row],[Tech Start Date]],9),""))))</f>
        <v/>
      </c>
      <c r="Q133" s="67"/>
      <c r="R133" s="67"/>
      <c r="S133" s="65" t="s">
        <v>6</v>
      </c>
      <c r="T133" s="70" t="s">
        <v>4</v>
      </c>
      <c r="U133" s="65" t="s">
        <v>29</v>
      </c>
      <c r="V133" s="65" t="s">
        <v>1914</v>
      </c>
      <c r="W133" s="65" t="s">
        <v>1918</v>
      </c>
      <c r="X133" s="65" t="s">
        <v>937</v>
      </c>
      <c r="Y133" s="65" t="s">
        <v>2984</v>
      </c>
      <c r="Z133" s="65" t="s">
        <v>4</v>
      </c>
      <c r="AA133" s="65" t="s">
        <v>937</v>
      </c>
    </row>
    <row r="134" spans="1:27" ht="17.45" hidden="1" customHeight="1">
      <c r="A134" s="100" t="str">
        <f>IF(priority(Main[[#This Row],[Comments]])&lt;&gt;0, priority(Main[[#This Row],[Comments]]),"")</f>
        <v/>
      </c>
      <c r="B134" s="77" t="s">
        <v>1100</v>
      </c>
      <c r="C134" s="65" t="s">
        <v>93</v>
      </c>
      <c r="D134" s="66" t="s">
        <v>150</v>
      </c>
      <c r="E134" s="67"/>
      <c r="F134" s="67"/>
      <c r="G134" s="64" t="str">
        <f>IF(stdProdLT(Main[[#This Row],[Comments]])=0.1,"N/A",IF(stdProdLT(Main[[#This Row],[Comments]])=0,"",stdProdLT(Main[[#This Row],[Comments]])))</f>
        <v/>
      </c>
      <c r="H134" s="68" t="str">
        <f>IF(AND(Main[[#This Row],[In Stock Date]]&lt;&gt;"",Main[[#This Row],[Revised Due Date]]&lt;&gt;""),Main[[#This Row],[In Stock Date]]-Main[[#This Row],[Revised Due Date]],"")</f>
        <v/>
      </c>
      <c r="I134" s="65" t="s">
        <v>4</v>
      </c>
      <c r="J134" s="65" t="s">
        <v>4</v>
      </c>
      <c r="K134" s="65" t="s">
        <v>4</v>
      </c>
      <c r="L134" s="67"/>
      <c r="M134" s="69" t="str">
        <f>IF(Main[[#This Row],[Tech Start Date]]&lt;1/1/1990,"",IF(Main[[#This Row],[Class]]="C",WORKDAY(Main[[#This Row],[Tech Start Date]],9),IF(Main[[#This Row],[Class]]="B", WORKDAY(Main[[#This Row],[Tech Start Date]],6),IF(Main[[#This Row],[Class]]="A",WORKDAY(Main[[#This Row],[Tech Start Date]],2),""))))</f>
        <v/>
      </c>
      <c r="N134" s="69" t="str">
        <f>IF(Main[[#This Row],[Tech Start Date]]&lt;1/1/1990,"",IF(Main[[#This Row],[Class]]="C",WORKDAY(Main[[#This Row],[Tech Start Date]],19),IF(Main[[#This Row],[Class]]="B", WORKDAY(Main[[#This Row],[Tech Start Date]],12),IF(Main[[#This Row],[Class]]="A",WORKDAY(Main[[#This Row],[Tech Start Date]],4),""))))</f>
        <v/>
      </c>
      <c r="O134" s="69" t="str">
        <f>IF(Main[[#This Row],[Tech Start Date]]&lt;1/1/1990,"",IF(Main[[#This Row],[Class]]="C",WORKDAY(Main[[#This Row],[Tech Start Date]],23),IF(Main[[#This Row],[Class]]="B", WORKDAY(Main[[#This Row],[Tech Start Date]],15),IF(Main[[#This Row],[Class]]="A",WORKDAY(Main[[#This Row],[Tech Start Date]],5),""))))</f>
        <v/>
      </c>
      <c r="P134" s="69" t="str">
        <f>IF(Main[[#This Row],[Tech Start Date]]&lt;1/1/1990,"",IF(Main[[#This Row],[Class]]="C",WORKDAY(Main[[#This Row],[Tech Start Date]],28),IF(Main[[#This Row],[Class]]="B", WORKDAY(Main[[#This Row],[Tech Start Date]],19),IF(Main[[#This Row],[Class]]="A",WORKDAY(Main[[#This Row],[Tech Start Date]],9),""))))</f>
        <v/>
      </c>
      <c r="Q134" s="67"/>
      <c r="R134" s="67"/>
      <c r="S134" s="65" t="s">
        <v>11</v>
      </c>
      <c r="T134" s="70" t="s">
        <v>4</v>
      </c>
      <c r="U134" s="65" t="s">
        <v>14</v>
      </c>
      <c r="V134" s="65" t="s">
        <v>1917</v>
      </c>
      <c r="W134" s="65" t="s">
        <v>1920</v>
      </c>
      <c r="X134" s="65" t="s">
        <v>553</v>
      </c>
      <c r="Y134" s="65" t="s">
        <v>2988</v>
      </c>
      <c r="Z134" s="65" t="s">
        <v>4</v>
      </c>
      <c r="AA134" s="65" t="s">
        <v>3392</v>
      </c>
    </row>
    <row r="135" spans="1:27" ht="17.45" hidden="1" customHeight="1">
      <c r="A135" s="100" t="str">
        <f>IF(priority(Main[[#This Row],[Comments]])&lt;&gt;0, priority(Main[[#This Row],[Comments]]),"")</f>
        <v/>
      </c>
      <c r="B135" s="77" t="s">
        <v>1101</v>
      </c>
      <c r="C135" s="65" t="s">
        <v>26</v>
      </c>
      <c r="D135" s="66" t="s">
        <v>151</v>
      </c>
      <c r="E135" s="67"/>
      <c r="F135" s="67">
        <v>40613</v>
      </c>
      <c r="G135" s="64" t="str">
        <f>IF(stdProdLT(Main[[#This Row],[Comments]])=0.1,"N/A",IF(stdProdLT(Main[[#This Row],[Comments]])=0,"",stdProdLT(Main[[#This Row],[Comments]])))</f>
        <v/>
      </c>
      <c r="H135" s="68" t="str">
        <f>IF(AND(Main[[#This Row],[In Stock Date]]&lt;&gt;"",Main[[#This Row],[Revised Due Date]]&lt;&gt;""),Main[[#This Row],[In Stock Date]]-Main[[#This Row],[Revised Due Date]],"")</f>
        <v/>
      </c>
      <c r="I135" s="65" t="s">
        <v>4</v>
      </c>
      <c r="J135" s="65" t="s">
        <v>28</v>
      </c>
      <c r="K135" s="65" t="s">
        <v>4</v>
      </c>
      <c r="L135" s="67"/>
      <c r="M135" s="69" t="str">
        <f>IF(Main[[#This Row],[Tech Start Date]]&lt;1/1/1990,"",IF(Main[[#This Row],[Class]]="C",WORKDAY(Main[[#This Row],[Tech Start Date]],9),IF(Main[[#This Row],[Class]]="B", WORKDAY(Main[[#This Row],[Tech Start Date]],6),IF(Main[[#This Row],[Class]]="A",WORKDAY(Main[[#This Row],[Tech Start Date]],2),""))))</f>
        <v/>
      </c>
      <c r="N135" s="69" t="str">
        <f>IF(Main[[#This Row],[Tech Start Date]]&lt;1/1/1990,"",IF(Main[[#This Row],[Class]]="C",WORKDAY(Main[[#This Row],[Tech Start Date]],19),IF(Main[[#This Row],[Class]]="B", WORKDAY(Main[[#This Row],[Tech Start Date]],12),IF(Main[[#This Row],[Class]]="A",WORKDAY(Main[[#This Row],[Tech Start Date]],4),""))))</f>
        <v/>
      </c>
      <c r="O135" s="69" t="str">
        <f>IF(Main[[#This Row],[Tech Start Date]]&lt;1/1/1990,"",IF(Main[[#This Row],[Class]]="C",WORKDAY(Main[[#This Row],[Tech Start Date]],23),IF(Main[[#This Row],[Class]]="B", WORKDAY(Main[[#This Row],[Tech Start Date]],15),IF(Main[[#This Row],[Class]]="A",WORKDAY(Main[[#This Row],[Tech Start Date]],5),""))))</f>
        <v/>
      </c>
      <c r="P135" s="69" t="str">
        <f>IF(Main[[#This Row],[Tech Start Date]]&lt;1/1/1990,"",IF(Main[[#This Row],[Class]]="C",WORKDAY(Main[[#This Row],[Tech Start Date]],28),IF(Main[[#This Row],[Class]]="B", WORKDAY(Main[[#This Row],[Tech Start Date]],19),IF(Main[[#This Row],[Class]]="A",WORKDAY(Main[[#This Row],[Tech Start Date]],9),""))))</f>
        <v/>
      </c>
      <c r="Q135" s="67"/>
      <c r="R135" s="67"/>
      <c r="S135" s="65" t="s">
        <v>11</v>
      </c>
      <c r="T135" s="70" t="s">
        <v>4</v>
      </c>
      <c r="U135" s="65" t="s">
        <v>14</v>
      </c>
      <c r="V135" s="65" t="s">
        <v>1914</v>
      </c>
      <c r="W135" s="65" t="s">
        <v>1922</v>
      </c>
      <c r="X135" s="65" t="s">
        <v>2842</v>
      </c>
      <c r="Y135" s="65" t="s">
        <v>2974</v>
      </c>
      <c r="Z135" s="65" t="s">
        <v>129</v>
      </c>
      <c r="AA135" s="65" t="s">
        <v>2842</v>
      </c>
    </row>
    <row r="136" spans="1:27" ht="17.45" hidden="1" customHeight="1">
      <c r="A136" s="100" t="str">
        <f>IF(priority(Main[[#This Row],[Comments]])&lt;&gt;0, priority(Main[[#This Row],[Comments]]),"")</f>
        <v/>
      </c>
      <c r="B136" s="77" t="s">
        <v>1106</v>
      </c>
      <c r="C136" s="65" t="s">
        <v>4</v>
      </c>
      <c r="D136" s="66" t="s">
        <v>152</v>
      </c>
      <c r="E136" s="67">
        <v>40584.587800925925</v>
      </c>
      <c r="F136" s="67"/>
      <c r="G136" s="64" t="str">
        <f>IF(stdProdLT(Main[[#This Row],[Comments]])=0.1,"N/A",IF(stdProdLT(Main[[#This Row],[Comments]])=0,"",stdProdLT(Main[[#This Row],[Comments]])))</f>
        <v/>
      </c>
      <c r="H136" s="68" t="str">
        <f>IF(AND(Main[[#This Row],[In Stock Date]]&lt;&gt;"",Main[[#This Row],[Revised Due Date]]&lt;&gt;""),Main[[#This Row],[In Stock Date]]-Main[[#This Row],[Revised Due Date]],"")</f>
        <v/>
      </c>
      <c r="I136" s="65" t="s">
        <v>4</v>
      </c>
      <c r="J136" s="65" t="s">
        <v>4</v>
      </c>
      <c r="K136" s="65" t="s">
        <v>4</v>
      </c>
      <c r="L136" s="67"/>
      <c r="M136" s="69" t="str">
        <f>IF(Main[[#This Row],[Tech Start Date]]&lt;1/1/1990,"",IF(Main[[#This Row],[Class]]="C",WORKDAY(Main[[#This Row],[Tech Start Date]],9),IF(Main[[#This Row],[Class]]="B", WORKDAY(Main[[#This Row],[Tech Start Date]],6),IF(Main[[#This Row],[Class]]="A",WORKDAY(Main[[#This Row],[Tech Start Date]],2),""))))</f>
        <v/>
      </c>
      <c r="N136" s="69" t="str">
        <f>IF(Main[[#This Row],[Tech Start Date]]&lt;1/1/1990,"",IF(Main[[#This Row],[Class]]="C",WORKDAY(Main[[#This Row],[Tech Start Date]],19),IF(Main[[#This Row],[Class]]="B", WORKDAY(Main[[#This Row],[Tech Start Date]],12),IF(Main[[#This Row],[Class]]="A",WORKDAY(Main[[#This Row],[Tech Start Date]],4),""))))</f>
        <v/>
      </c>
      <c r="O136" s="69" t="str">
        <f>IF(Main[[#This Row],[Tech Start Date]]&lt;1/1/1990,"",IF(Main[[#This Row],[Class]]="C",WORKDAY(Main[[#This Row],[Tech Start Date]],23),IF(Main[[#This Row],[Class]]="B", WORKDAY(Main[[#This Row],[Tech Start Date]],15),IF(Main[[#This Row],[Class]]="A",WORKDAY(Main[[#This Row],[Tech Start Date]],5),""))))</f>
        <v/>
      </c>
      <c r="P136" s="69" t="str">
        <f>IF(Main[[#This Row],[Tech Start Date]]&lt;1/1/1990,"",IF(Main[[#This Row],[Class]]="C",WORKDAY(Main[[#This Row],[Tech Start Date]],28),IF(Main[[#This Row],[Class]]="B", WORKDAY(Main[[#This Row],[Tech Start Date]],19),IF(Main[[#This Row],[Class]]="A",WORKDAY(Main[[#This Row],[Tech Start Date]],9),""))))</f>
        <v/>
      </c>
      <c r="Q136" s="67"/>
      <c r="R136" s="67"/>
      <c r="S136" s="65" t="s">
        <v>4</v>
      </c>
      <c r="T136" s="70" t="s">
        <v>4</v>
      </c>
      <c r="U136" s="65" t="s">
        <v>29</v>
      </c>
      <c r="V136" s="65" t="s">
        <v>1915</v>
      </c>
      <c r="W136" s="65" t="s">
        <v>4</v>
      </c>
      <c r="X136" s="65" t="s">
        <v>942</v>
      </c>
      <c r="Y136" s="65" t="s">
        <v>2989</v>
      </c>
      <c r="Z136" s="65" t="s">
        <v>4</v>
      </c>
      <c r="AA136" s="65" t="s">
        <v>942</v>
      </c>
    </row>
    <row r="137" spans="1:27" ht="17.45" hidden="1" customHeight="1">
      <c r="A137" s="100" t="str">
        <f>IF(priority(Main[[#This Row],[Comments]])&lt;&gt;0, priority(Main[[#This Row],[Comments]]),"")</f>
        <v/>
      </c>
      <c r="B137" s="77" t="s">
        <v>1107</v>
      </c>
      <c r="C137" s="65" t="s">
        <v>4</v>
      </c>
      <c r="D137" s="66" t="s">
        <v>153</v>
      </c>
      <c r="E137" s="67"/>
      <c r="F137" s="67"/>
      <c r="G137" s="64" t="str">
        <f>IF(stdProdLT(Main[[#This Row],[Comments]])=0.1,"N/A",IF(stdProdLT(Main[[#This Row],[Comments]])=0,"",stdProdLT(Main[[#This Row],[Comments]])))</f>
        <v/>
      </c>
      <c r="H137" s="68" t="str">
        <f>IF(AND(Main[[#This Row],[In Stock Date]]&lt;&gt;"",Main[[#This Row],[Revised Due Date]]&lt;&gt;""),Main[[#This Row],[In Stock Date]]-Main[[#This Row],[Revised Due Date]],"")</f>
        <v/>
      </c>
      <c r="I137" s="65" t="s">
        <v>30</v>
      </c>
      <c r="J137" s="65" t="s">
        <v>52</v>
      </c>
      <c r="K137" s="65" t="s">
        <v>4</v>
      </c>
      <c r="L137" s="67"/>
      <c r="M137" s="69" t="str">
        <f>IF(Main[[#This Row],[Tech Start Date]]&lt;1/1/1990,"",IF(Main[[#This Row],[Class]]="C",WORKDAY(Main[[#This Row],[Tech Start Date]],9),IF(Main[[#This Row],[Class]]="B", WORKDAY(Main[[#This Row],[Tech Start Date]],6),IF(Main[[#This Row],[Class]]="A",WORKDAY(Main[[#This Row],[Tech Start Date]],2),""))))</f>
        <v/>
      </c>
      <c r="N137" s="69" t="str">
        <f>IF(Main[[#This Row],[Tech Start Date]]&lt;1/1/1990,"",IF(Main[[#This Row],[Class]]="C",WORKDAY(Main[[#This Row],[Tech Start Date]],19),IF(Main[[#This Row],[Class]]="B", WORKDAY(Main[[#This Row],[Tech Start Date]],12),IF(Main[[#This Row],[Class]]="A",WORKDAY(Main[[#This Row],[Tech Start Date]],4),""))))</f>
        <v/>
      </c>
      <c r="O137" s="69" t="str">
        <f>IF(Main[[#This Row],[Tech Start Date]]&lt;1/1/1990,"",IF(Main[[#This Row],[Class]]="C",WORKDAY(Main[[#This Row],[Tech Start Date]],23),IF(Main[[#This Row],[Class]]="B", WORKDAY(Main[[#This Row],[Tech Start Date]],15),IF(Main[[#This Row],[Class]]="A",WORKDAY(Main[[#This Row],[Tech Start Date]],5),""))))</f>
        <v/>
      </c>
      <c r="P137" s="69" t="str">
        <f>IF(Main[[#This Row],[Tech Start Date]]&lt;1/1/1990,"",IF(Main[[#This Row],[Class]]="C",WORKDAY(Main[[#This Row],[Tech Start Date]],28),IF(Main[[#This Row],[Class]]="B", WORKDAY(Main[[#This Row],[Tech Start Date]],19),IF(Main[[#This Row],[Class]]="A",WORKDAY(Main[[#This Row],[Tech Start Date]],9),""))))</f>
        <v/>
      </c>
      <c r="Q137" s="67">
        <v>40448</v>
      </c>
      <c r="R137" s="67"/>
      <c r="S137" s="65" t="s">
        <v>6</v>
      </c>
      <c r="T137" s="70" t="s">
        <v>4</v>
      </c>
      <c r="U137" s="65" t="s">
        <v>14</v>
      </c>
      <c r="V137" s="65" t="s">
        <v>1917</v>
      </c>
      <c r="W137" s="65" t="s">
        <v>4</v>
      </c>
      <c r="X137" s="65" t="s">
        <v>2818</v>
      </c>
      <c r="Y137" s="65" t="s">
        <v>2929</v>
      </c>
      <c r="Z137" s="65" t="s">
        <v>530</v>
      </c>
      <c r="AA137" s="65" t="s">
        <v>2818</v>
      </c>
    </row>
    <row r="138" spans="1:27" ht="17.45" hidden="1" customHeight="1">
      <c r="A138" s="100">
        <f>IF(priority(Main[[#This Row],[Comments]])&lt;&gt;0, priority(Main[[#This Row],[Comments]]),"")</f>
        <v>19</v>
      </c>
      <c r="B138" s="77" t="s">
        <v>1581</v>
      </c>
      <c r="C138" s="65" t="s">
        <v>122</v>
      </c>
      <c r="D138" s="66" t="s">
        <v>661</v>
      </c>
      <c r="E138" s="67"/>
      <c r="F138" s="67">
        <v>40704</v>
      </c>
      <c r="G138" s="64" t="str">
        <f>IF(stdProdLT(Main[[#This Row],[Comments]])=0.1,"N/A",IF(stdProdLT(Main[[#This Row],[Comments]])=0,"",stdProdLT(Main[[#This Row],[Comments]])))</f>
        <v/>
      </c>
      <c r="H138" s="68" t="str">
        <f>IF(AND(Main[[#This Row],[In Stock Date]]&lt;&gt;"",Main[[#This Row],[Revised Due Date]]&lt;&gt;""),Main[[#This Row],[In Stock Date]]-Main[[#This Row],[Revised Due Date]],"")</f>
        <v/>
      </c>
      <c r="I138" s="65" t="s">
        <v>4</v>
      </c>
      <c r="J138" s="65" t="s">
        <v>28</v>
      </c>
      <c r="K138" s="65" t="s">
        <v>1923</v>
      </c>
      <c r="L138" s="67"/>
      <c r="M138" s="69" t="str">
        <f>IF(Main[[#This Row],[Tech Start Date]]&lt;1/1/1990,"",IF(Main[[#This Row],[Class]]="C",WORKDAY(Main[[#This Row],[Tech Start Date]],9),IF(Main[[#This Row],[Class]]="B", WORKDAY(Main[[#This Row],[Tech Start Date]],6),IF(Main[[#This Row],[Class]]="A",WORKDAY(Main[[#This Row],[Tech Start Date]],2),""))))</f>
        <v/>
      </c>
      <c r="N138" s="69" t="str">
        <f>IF(Main[[#This Row],[Tech Start Date]]&lt;1/1/1990,"",IF(Main[[#This Row],[Class]]="C",WORKDAY(Main[[#This Row],[Tech Start Date]],19),IF(Main[[#This Row],[Class]]="B", WORKDAY(Main[[#This Row],[Tech Start Date]],12),IF(Main[[#This Row],[Class]]="A",WORKDAY(Main[[#This Row],[Tech Start Date]],4),""))))</f>
        <v/>
      </c>
      <c r="O138" s="69" t="str">
        <f>IF(Main[[#This Row],[Tech Start Date]]&lt;1/1/1990,"",IF(Main[[#This Row],[Class]]="C",WORKDAY(Main[[#This Row],[Tech Start Date]],23),IF(Main[[#This Row],[Class]]="B", WORKDAY(Main[[#This Row],[Tech Start Date]],15),IF(Main[[#This Row],[Class]]="A",WORKDAY(Main[[#This Row],[Tech Start Date]],5),""))))</f>
        <v/>
      </c>
      <c r="P138" s="69" t="str">
        <f>IF(Main[[#This Row],[Tech Start Date]]&lt;1/1/1990,"",IF(Main[[#This Row],[Class]]="C",WORKDAY(Main[[#This Row],[Tech Start Date]],28),IF(Main[[#This Row],[Class]]="B", WORKDAY(Main[[#This Row],[Tech Start Date]],19),IF(Main[[#This Row],[Class]]="A",WORKDAY(Main[[#This Row],[Tech Start Date]],9),""))))</f>
        <v/>
      </c>
      <c r="Q138" s="67">
        <v>40704</v>
      </c>
      <c r="R138" s="67"/>
      <c r="S138" s="65" t="s">
        <v>11</v>
      </c>
      <c r="T138" s="70" t="s">
        <v>1979</v>
      </c>
      <c r="U138" s="65" t="s">
        <v>14</v>
      </c>
      <c r="V138" s="65" t="s">
        <v>1914</v>
      </c>
      <c r="W138" s="65" t="s">
        <v>1916</v>
      </c>
      <c r="X138" s="65" t="s">
        <v>2852</v>
      </c>
      <c r="Y138" s="65" t="s">
        <v>2990</v>
      </c>
      <c r="Z138" s="65" t="s">
        <v>129</v>
      </c>
      <c r="AA138" s="65" t="s">
        <v>2852</v>
      </c>
    </row>
    <row r="139" spans="1:27" ht="17.45" hidden="1" customHeight="1">
      <c r="A139" s="100" t="str">
        <f>IF(priority(Main[[#This Row],[Comments]])&lt;&gt;0, priority(Main[[#This Row],[Comments]]),"")</f>
        <v/>
      </c>
      <c r="B139" s="77" t="s">
        <v>3319</v>
      </c>
      <c r="C139" s="65" t="s">
        <v>4</v>
      </c>
      <c r="D139" s="66" t="s">
        <v>3320</v>
      </c>
      <c r="E139" s="67">
        <v>40939.457824074074</v>
      </c>
      <c r="F139" s="67"/>
      <c r="G139" s="64" t="str">
        <f>IF(stdProdLT(Main[[#This Row],[Comments]])=0.1,"N/A",IF(stdProdLT(Main[[#This Row],[Comments]])=0,"",stdProdLT(Main[[#This Row],[Comments]])))</f>
        <v/>
      </c>
      <c r="H139" s="68" t="str">
        <f>IF(AND(Main[[#This Row],[In Stock Date]]&lt;&gt;"",Main[[#This Row],[Revised Due Date]]&lt;&gt;""),Main[[#This Row],[In Stock Date]]-Main[[#This Row],[Revised Due Date]],"")</f>
        <v/>
      </c>
      <c r="I139" s="65" t="s">
        <v>4</v>
      </c>
      <c r="J139" s="65" t="s">
        <v>4</v>
      </c>
      <c r="K139" s="65" t="s">
        <v>4</v>
      </c>
      <c r="L139" s="67"/>
      <c r="M139" s="69" t="str">
        <f>IF(Main[[#This Row],[Tech Start Date]]&lt;1/1/1990,"",IF(Main[[#This Row],[Class]]="C",WORKDAY(Main[[#This Row],[Tech Start Date]],9),IF(Main[[#This Row],[Class]]="B", WORKDAY(Main[[#This Row],[Tech Start Date]],6),IF(Main[[#This Row],[Class]]="A",WORKDAY(Main[[#This Row],[Tech Start Date]],2),""))))</f>
        <v/>
      </c>
      <c r="N139" s="69" t="str">
        <f>IF(Main[[#This Row],[Tech Start Date]]&lt;1/1/1990,"",IF(Main[[#This Row],[Class]]="C",WORKDAY(Main[[#This Row],[Tech Start Date]],19),IF(Main[[#This Row],[Class]]="B", WORKDAY(Main[[#This Row],[Tech Start Date]],12),IF(Main[[#This Row],[Class]]="A",WORKDAY(Main[[#This Row],[Tech Start Date]],4),""))))</f>
        <v/>
      </c>
      <c r="O139" s="69" t="str">
        <f>IF(Main[[#This Row],[Tech Start Date]]&lt;1/1/1990,"",IF(Main[[#This Row],[Class]]="C",WORKDAY(Main[[#This Row],[Tech Start Date]],23),IF(Main[[#This Row],[Class]]="B", WORKDAY(Main[[#This Row],[Tech Start Date]],15),IF(Main[[#This Row],[Class]]="A",WORKDAY(Main[[#This Row],[Tech Start Date]],5),""))))</f>
        <v/>
      </c>
      <c r="P139" s="69" t="str">
        <f>IF(Main[[#This Row],[Tech Start Date]]&lt;1/1/1990,"",IF(Main[[#This Row],[Class]]="C",WORKDAY(Main[[#This Row],[Tech Start Date]],28),IF(Main[[#This Row],[Class]]="B", WORKDAY(Main[[#This Row],[Tech Start Date]],19),IF(Main[[#This Row],[Class]]="A",WORKDAY(Main[[#This Row],[Tech Start Date]],9),""))))</f>
        <v/>
      </c>
      <c r="Q139" s="67">
        <v>40968</v>
      </c>
      <c r="R139" s="67"/>
      <c r="S139" s="65" t="s">
        <v>6</v>
      </c>
      <c r="T139" s="70" t="s">
        <v>4</v>
      </c>
      <c r="U139" s="65" t="s">
        <v>7</v>
      </c>
      <c r="V139" s="65" t="s">
        <v>1914</v>
      </c>
      <c r="W139" s="65" t="s">
        <v>4</v>
      </c>
      <c r="X139" s="65" t="s">
        <v>2822</v>
      </c>
      <c r="Y139" s="65" t="s">
        <v>2938</v>
      </c>
      <c r="Z139" s="65" t="s">
        <v>4</v>
      </c>
      <c r="AA139" s="65" t="s">
        <v>2822</v>
      </c>
    </row>
    <row r="140" spans="1:27" ht="17.45" hidden="1" customHeight="1">
      <c r="A140" s="100" t="str">
        <f>IF(priority(Main[[#This Row],[Comments]])&lt;&gt;0, priority(Main[[#This Row],[Comments]]),"")</f>
        <v/>
      </c>
      <c r="B140" s="77" t="s">
        <v>1156</v>
      </c>
      <c r="C140" s="65" t="s">
        <v>4</v>
      </c>
      <c r="D140" s="66" t="s">
        <v>2339</v>
      </c>
      <c r="E140" s="67">
        <v>40274.393113425926</v>
      </c>
      <c r="F140" s="67"/>
      <c r="G140" s="64" t="str">
        <f>IF(stdProdLT(Main[[#This Row],[Comments]])=0.1,"N/A",IF(stdProdLT(Main[[#This Row],[Comments]])=0,"",stdProdLT(Main[[#This Row],[Comments]])))</f>
        <v/>
      </c>
      <c r="H140" s="68" t="str">
        <f>IF(AND(Main[[#This Row],[In Stock Date]]&lt;&gt;"",Main[[#This Row],[Revised Due Date]]&lt;&gt;""),Main[[#This Row],[In Stock Date]]-Main[[#This Row],[Revised Due Date]],"")</f>
        <v/>
      </c>
      <c r="I140" s="65" t="s">
        <v>4</v>
      </c>
      <c r="J140" s="65" t="s">
        <v>4</v>
      </c>
      <c r="K140" s="71" t="s">
        <v>4</v>
      </c>
      <c r="L140" s="67"/>
      <c r="M140" s="69" t="str">
        <f>IF(Main[[#This Row],[Tech Start Date]]&lt;1/1/1990,"",IF(Main[[#This Row],[Class]]="C",WORKDAY(Main[[#This Row],[Tech Start Date]],9),IF(Main[[#This Row],[Class]]="B", WORKDAY(Main[[#This Row],[Tech Start Date]],6),IF(Main[[#This Row],[Class]]="A",WORKDAY(Main[[#This Row],[Tech Start Date]],2),""))))</f>
        <v/>
      </c>
      <c r="N140" s="69" t="str">
        <f>IF(Main[[#This Row],[Tech Start Date]]&lt;1/1/1990,"",IF(Main[[#This Row],[Class]]="C",WORKDAY(Main[[#This Row],[Tech Start Date]],19),IF(Main[[#This Row],[Class]]="B", WORKDAY(Main[[#This Row],[Tech Start Date]],12),IF(Main[[#This Row],[Class]]="A",WORKDAY(Main[[#This Row],[Tech Start Date]],4),""))))</f>
        <v/>
      </c>
      <c r="O140" s="69" t="str">
        <f>IF(Main[[#This Row],[Tech Start Date]]&lt;1/1/1990,"",IF(Main[[#This Row],[Class]]="C",WORKDAY(Main[[#This Row],[Tech Start Date]],23),IF(Main[[#This Row],[Class]]="B", WORKDAY(Main[[#This Row],[Tech Start Date]],15),IF(Main[[#This Row],[Class]]="A",WORKDAY(Main[[#This Row],[Tech Start Date]],5),""))))</f>
        <v/>
      </c>
      <c r="P140" s="69" t="str">
        <f>IF(Main[[#This Row],[Tech Start Date]]&lt;1/1/1990,"",IF(Main[[#This Row],[Class]]="C",WORKDAY(Main[[#This Row],[Tech Start Date]],28),IF(Main[[#This Row],[Class]]="B", WORKDAY(Main[[#This Row],[Tech Start Date]],19),IF(Main[[#This Row],[Class]]="A",WORKDAY(Main[[#This Row],[Tech Start Date]],9),""))))</f>
        <v/>
      </c>
      <c r="Q140" s="67">
        <v>40302</v>
      </c>
      <c r="R140" s="67"/>
      <c r="S140" s="65" t="s">
        <v>6</v>
      </c>
      <c r="T140" s="70" t="s">
        <v>4</v>
      </c>
      <c r="U140" s="65" t="s">
        <v>7</v>
      </c>
      <c r="V140" s="65" t="s">
        <v>1914</v>
      </c>
      <c r="W140" s="65" t="s">
        <v>1916</v>
      </c>
      <c r="X140" s="65" t="s">
        <v>2821</v>
      </c>
      <c r="Y140" s="65" t="s">
        <v>2936</v>
      </c>
      <c r="Z140" s="65" t="s">
        <v>4</v>
      </c>
      <c r="AA140" s="65" t="s">
        <v>2821</v>
      </c>
    </row>
    <row r="141" spans="1:27" ht="17.45" hidden="1" customHeight="1">
      <c r="A141" s="100" t="str">
        <f>IF(priority(Main[[#This Row],[Comments]])&lt;&gt;0, priority(Main[[#This Row],[Comments]]),"")</f>
        <v/>
      </c>
      <c r="B141" s="77" t="s">
        <v>1389</v>
      </c>
      <c r="C141" s="65" t="s">
        <v>4</v>
      </c>
      <c r="D141" s="66" t="s">
        <v>2340</v>
      </c>
      <c r="E141" s="67">
        <v>40644.246631944443</v>
      </c>
      <c r="F141" s="67"/>
      <c r="G141" s="64" t="str">
        <f>IF(stdProdLT(Main[[#This Row],[Comments]])=0.1,"N/A",IF(stdProdLT(Main[[#This Row],[Comments]])=0,"",stdProdLT(Main[[#This Row],[Comments]])))</f>
        <v/>
      </c>
      <c r="H141" s="68" t="str">
        <f>IF(AND(Main[[#This Row],[In Stock Date]]&lt;&gt;"",Main[[#This Row],[Revised Due Date]]&lt;&gt;""),Main[[#This Row],[In Stock Date]]-Main[[#This Row],[Revised Due Date]],"")</f>
        <v/>
      </c>
      <c r="I141" s="65" t="s">
        <v>912</v>
      </c>
      <c r="J141" s="65" t="s">
        <v>52</v>
      </c>
      <c r="K141" s="65" t="s">
        <v>4</v>
      </c>
      <c r="L141" s="67"/>
      <c r="M141" s="69" t="str">
        <f>IF(Main[[#This Row],[Tech Start Date]]&lt;1/1/1990,"",IF(Main[[#This Row],[Class]]="C",WORKDAY(Main[[#This Row],[Tech Start Date]],9),IF(Main[[#This Row],[Class]]="B", WORKDAY(Main[[#This Row],[Tech Start Date]],6),IF(Main[[#This Row],[Class]]="A",WORKDAY(Main[[#This Row],[Tech Start Date]],2),""))))</f>
        <v/>
      </c>
      <c r="N141" s="69" t="str">
        <f>IF(Main[[#This Row],[Tech Start Date]]&lt;1/1/1990,"",IF(Main[[#This Row],[Class]]="C",WORKDAY(Main[[#This Row],[Tech Start Date]],19),IF(Main[[#This Row],[Class]]="B", WORKDAY(Main[[#This Row],[Tech Start Date]],12),IF(Main[[#This Row],[Class]]="A",WORKDAY(Main[[#This Row],[Tech Start Date]],4),""))))</f>
        <v/>
      </c>
      <c r="O141" s="69" t="str">
        <f>IF(Main[[#This Row],[Tech Start Date]]&lt;1/1/1990,"",IF(Main[[#This Row],[Class]]="C",WORKDAY(Main[[#This Row],[Tech Start Date]],23),IF(Main[[#This Row],[Class]]="B", WORKDAY(Main[[#This Row],[Tech Start Date]],15),IF(Main[[#This Row],[Class]]="A",WORKDAY(Main[[#This Row],[Tech Start Date]],5),""))))</f>
        <v/>
      </c>
      <c r="P141" s="69" t="str">
        <f>IF(Main[[#This Row],[Tech Start Date]]&lt;1/1/1990,"",IF(Main[[#This Row],[Class]]="C",WORKDAY(Main[[#This Row],[Tech Start Date]],28),IF(Main[[#This Row],[Class]]="B", WORKDAY(Main[[#This Row],[Tech Start Date]],19),IF(Main[[#This Row],[Class]]="A",WORKDAY(Main[[#This Row],[Tech Start Date]],9),""))))</f>
        <v/>
      </c>
      <c r="Q141" s="67">
        <v>40659</v>
      </c>
      <c r="R141" s="67"/>
      <c r="S141" s="65" t="s">
        <v>6</v>
      </c>
      <c r="T141" s="70" t="s">
        <v>4</v>
      </c>
      <c r="U141" s="65" t="s">
        <v>29</v>
      </c>
      <c r="V141" s="65" t="s">
        <v>1914</v>
      </c>
      <c r="W141" s="65" t="s">
        <v>1922</v>
      </c>
      <c r="X141" s="65" t="s">
        <v>2821</v>
      </c>
      <c r="Y141" s="65" t="s">
        <v>2936</v>
      </c>
      <c r="Z141" s="65" t="s">
        <v>4</v>
      </c>
      <c r="AA141" s="65" t="s">
        <v>2821</v>
      </c>
    </row>
    <row r="142" spans="1:27" ht="17.45" hidden="1" customHeight="1">
      <c r="A142" s="100" t="str">
        <f>IF(priority(Main[[#This Row],[Comments]])&lt;&gt;0, priority(Main[[#This Row],[Comments]]),"")</f>
        <v/>
      </c>
      <c r="B142" s="77" t="s">
        <v>1109</v>
      </c>
      <c r="C142" s="65" t="s">
        <v>155</v>
      </c>
      <c r="D142" s="66" t="s">
        <v>156</v>
      </c>
      <c r="E142" s="67"/>
      <c r="F142" s="67"/>
      <c r="G142" s="64" t="str">
        <f>IF(stdProdLT(Main[[#This Row],[Comments]])=0.1,"N/A",IF(stdProdLT(Main[[#This Row],[Comments]])=0,"",stdProdLT(Main[[#This Row],[Comments]])))</f>
        <v/>
      </c>
      <c r="H142" s="68" t="str">
        <f>IF(AND(Main[[#This Row],[In Stock Date]]&lt;&gt;"",Main[[#This Row],[Revised Due Date]]&lt;&gt;""),Main[[#This Row],[In Stock Date]]-Main[[#This Row],[Revised Due Date]],"")</f>
        <v/>
      </c>
      <c r="I142" s="65" t="s">
        <v>4</v>
      </c>
      <c r="J142" s="65" t="s">
        <v>4</v>
      </c>
      <c r="K142" s="65" t="s">
        <v>4</v>
      </c>
      <c r="L142" s="67"/>
      <c r="M142" s="69" t="str">
        <f>IF(Main[[#This Row],[Tech Start Date]]&lt;1/1/1990,"",IF(Main[[#This Row],[Class]]="C",WORKDAY(Main[[#This Row],[Tech Start Date]],9),IF(Main[[#This Row],[Class]]="B", WORKDAY(Main[[#This Row],[Tech Start Date]],6),IF(Main[[#This Row],[Class]]="A",WORKDAY(Main[[#This Row],[Tech Start Date]],2),""))))</f>
        <v/>
      </c>
      <c r="N142" s="69" t="str">
        <f>IF(Main[[#This Row],[Tech Start Date]]&lt;1/1/1990,"",IF(Main[[#This Row],[Class]]="C",WORKDAY(Main[[#This Row],[Tech Start Date]],19),IF(Main[[#This Row],[Class]]="B", WORKDAY(Main[[#This Row],[Tech Start Date]],12),IF(Main[[#This Row],[Class]]="A",WORKDAY(Main[[#This Row],[Tech Start Date]],4),""))))</f>
        <v/>
      </c>
      <c r="O142" s="69" t="str">
        <f>IF(Main[[#This Row],[Tech Start Date]]&lt;1/1/1990,"",IF(Main[[#This Row],[Class]]="C",WORKDAY(Main[[#This Row],[Tech Start Date]],23),IF(Main[[#This Row],[Class]]="B", WORKDAY(Main[[#This Row],[Tech Start Date]],15),IF(Main[[#This Row],[Class]]="A",WORKDAY(Main[[#This Row],[Tech Start Date]],5),""))))</f>
        <v/>
      </c>
      <c r="P142" s="69" t="str">
        <f>IF(Main[[#This Row],[Tech Start Date]]&lt;1/1/1990,"",IF(Main[[#This Row],[Class]]="C",WORKDAY(Main[[#This Row],[Tech Start Date]],28),IF(Main[[#This Row],[Class]]="B", WORKDAY(Main[[#This Row],[Tech Start Date]],19),IF(Main[[#This Row],[Class]]="A",WORKDAY(Main[[#This Row],[Tech Start Date]],9),""))))</f>
        <v/>
      </c>
      <c r="Q142" s="67">
        <v>40144</v>
      </c>
      <c r="R142" s="67"/>
      <c r="S142" s="65" t="s">
        <v>11</v>
      </c>
      <c r="T142" s="70" t="s">
        <v>4</v>
      </c>
      <c r="U142" s="65" t="s">
        <v>14</v>
      </c>
      <c r="V142" s="65" t="s">
        <v>1914</v>
      </c>
      <c r="W142" s="65" t="s">
        <v>1916</v>
      </c>
      <c r="X142" s="65" t="s">
        <v>2854</v>
      </c>
      <c r="Y142" s="65" t="s">
        <v>4</v>
      </c>
      <c r="Z142" s="65" t="s">
        <v>4</v>
      </c>
      <c r="AA142" s="65" t="s">
        <v>2854</v>
      </c>
    </row>
    <row r="143" spans="1:27" ht="17.45" hidden="1" customHeight="1">
      <c r="A143" s="100" t="str">
        <f>IF(priority(Main[[#This Row],[Comments]])&lt;&gt;0, priority(Main[[#This Row],[Comments]]),"")</f>
        <v/>
      </c>
      <c r="B143" s="77" t="s">
        <v>1110</v>
      </c>
      <c r="C143" s="65" t="s">
        <v>157</v>
      </c>
      <c r="D143" s="66" t="s">
        <v>158</v>
      </c>
      <c r="E143" s="67"/>
      <c r="F143" s="67"/>
      <c r="G143" s="64" t="str">
        <f>IF(stdProdLT(Main[[#This Row],[Comments]])=0.1,"N/A",IF(stdProdLT(Main[[#This Row],[Comments]])=0,"",stdProdLT(Main[[#This Row],[Comments]])))</f>
        <v/>
      </c>
      <c r="H143" s="68" t="str">
        <f>IF(AND(Main[[#This Row],[In Stock Date]]&lt;&gt;"",Main[[#This Row],[Revised Due Date]]&lt;&gt;""),Main[[#This Row],[In Stock Date]]-Main[[#This Row],[Revised Due Date]],"")</f>
        <v/>
      </c>
      <c r="I143" s="65" t="s">
        <v>4</v>
      </c>
      <c r="J143" s="65" t="s">
        <v>4</v>
      </c>
      <c r="K143" s="65" t="s">
        <v>4</v>
      </c>
      <c r="L143" s="67"/>
      <c r="M143" s="69" t="str">
        <f>IF(Main[[#This Row],[Tech Start Date]]&lt;1/1/1990,"",IF(Main[[#This Row],[Class]]="C",WORKDAY(Main[[#This Row],[Tech Start Date]],9),IF(Main[[#This Row],[Class]]="B", WORKDAY(Main[[#This Row],[Tech Start Date]],6),IF(Main[[#This Row],[Class]]="A",WORKDAY(Main[[#This Row],[Tech Start Date]],2),""))))</f>
        <v/>
      </c>
      <c r="N143" s="69" t="str">
        <f>IF(Main[[#This Row],[Tech Start Date]]&lt;1/1/1990,"",IF(Main[[#This Row],[Class]]="C",WORKDAY(Main[[#This Row],[Tech Start Date]],19),IF(Main[[#This Row],[Class]]="B", WORKDAY(Main[[#This Row],[Tech Start Date]],12),IF(Main[[#This Row],[Class]]="A",WORKDAY(Main[[#This Row],[Tech Start Date]],4),""))))</f>
        <v/>
      </c>
      <c r="O143" s="69" t="str">
        <f>IF(Main[[#This Row],[Tech Start Date]]&lt;1/1/1990,"",IF(Main[[#This Row],[Class]]="C",WORKDAY(Main[[#This Row],[Tech Start Date]],23),IF(Main[[#This Row],[Class]]="B", WORKDAY(Main[[#This Row],[Tech Start Date]],15),IF(Main[[#This Row],[Class]]="A",WORKDAY(Main[[#This Row],[Tech Start Date]],5),""))))</f>
        <v/>
      </c>
      <c r="P143" s="69" t="str">
        <f>IF(Main[[#This Row],[Tech Start Date]]&lt;1/1/1990,"",IF(Main[[#This Row],[Class]]="C",WORKDAY(Main[[#This Row],[Tech Start Date]],28),IF(Main[[#This Row],[Class]]="B", WORKDAY(Main[[#This Row],[Tech Start Date]],19),IF(Main[[#This Row],[Class]]="A",WORKDAY(Main[[#This Row],[Tech Start Date]],9),""))))</f>
        <v/>
      </c>
      <c r="Q143" s="67"/>
      <c r="R143" s="67"/>
      <c r="S143" s="65" t="s">
        <v>11</v>
      </c>
      <c r="T143" s="70" t="s">
        <v>4</v>
      </c>
      <c r="U143" s="65" t="s">
        <v>14</v>
      </c>
      <c r="V143" s="65" t="s">
        <v>1915</v>
      </c>
      <c r="W143" s="65" t="s">
        <v>1916</v>
      </c>
      <c r="X143" s="65" t="s">
        <v>2816</v>
      </c>
      <c r="Y143" s="65" t="s">
        <v>2993</v>
      </c>
      <c r="Z143" s="65" t="s">
        <v>4</v>
      </c>
      <c r="AA143" s="65" t="s">
        <v>3393</v>
      </c>
    </row>
    <row r="144" spans="1:27" ht="17.45" hidden="1" customHeight="1">
      <c r="A144" s="100" t="str">
        <f>IF(priority(Main[[#This Row],[Comments]])&lt;&gt;0, priority(Main[[#This Row],[Comments]]),"")</f>
        <v/>
      </c>
      <c r="B144" s="77" t="s">
        <v>1111</v>
      </c>
      <c r="C144" s="65" t="s">
        <v>159</v>
      </c>
      <c r="D144" s="66" t="s">
        <v>160</v>
      </c>
      <c r="E144" s="67"/>
      <c r="F144" s="67">
        <v>40513</v>
      </c>
      <c r="G144" s="64" t="str">
        <f>IF(stdProdLT(Main[[#This Row],[Comments]])=0.1,"N/A",IF(stdProdLT(Main[[#This Row],[Comments]])=0,"",stdProdLT(Main[[#This Row],[Comments]])))</f>
        <v/>
      </c>
      <c r="H144" s="68" t="str">
        <f>IF(AND(Main[[#This Row],[In Stock Date]]&lt;&gt;"",Main[[#This Row],[Revised Due Date]]&lt;&gt;""),Main[[#This Row],[In Stock Date]]-Main[[#This Row],[Revised Due Date]],"")</f>
        <v/>
      </c>
      <c r="I144" s="65" t="s">
        <v>4</v>
      </c>
      <c r="J144" s="65" t="s">
        <v>28</v>
      </c>
      <c r="K144" s="65" t="s">
        <v>4</v>
      </c>
      <c r="L144" s="67"/>
      <c r="M144" s="69" t="str">
        <f>IF(Main[[#This Row],[Tech Start Date]]&lt;1/1/1990,"",IF(Main[[#This Row],[Class]]="C",WORKDAY(Main[[#This Row],[Tech Start Date]],9),IF(Main[[#This Row],[Class]]="B", WORKDAY(Main[[#This Row],[Tech Start Date]],6),IF(Main[[#This Row],[Class]]="A",WORKDAY(Main[[#This Row],[Tech Start Date]],2),""))))</f>
        <v/>
      </c>
      <c r="N144" s="69" t="str">
        <f>IF(Main[[#This Row],[Tech Start Date]]&lt;1/1/1990,"",IF(Main[[#This Row],[Class]]="C",WORKDAY(Main[[#This Row],[Tech Start Date]],19),IF(Main[[#This Row],[Class]]="B", WORKDAY(Main[[#This Row],[Tech Start Date]],12),IF(Main[[#This Row],[Class]]="A",WORKDAY(Main[[#This Row],[Tech Start Date]],4),""))))</f>
        <v/>
      </c>
      <c r="O144" s="69" t="str">
        <f>IF(Main[[#This Row],[Tech Start Date]]&lt;1/1/1990,"",IF(Main[[#This Row],[Class]]="C",WORKDAY(Main[[#This Row],[Tech Start Date]],23),IF(Main[[#This Row],[Class]]="B", WORKDAY(Main[[#This Row],[Tech Start Date]],15),IF(Main[[#This Row],[Class]]="A",WORKDAY(Main[[#This Row],[Tech Start Date]],5),""))))</f>
        <v/>
      </c>
      <c r="P144" s="69" t="str">
        <f>IF(Main[[#This Row],[Tech Start Date]]&lt;1/1/1990,"",IF(Main[[#This Row],[Class]]="C",WORKDAY(Main[[#This Row],[Tech Start Date]],28),IF(Main[[#This Row],[Class]]="B", WORKDAY(Main[[#This Row],[Tech Start Date]],19),IF(Main[[#This Row],[Class]]="A",WORKDAY(Main[[#This Row],[Tech Start Date]],9),""))))</f>
        <v/>
      </c>
      <c r="Q144" s="67">
        <v>40382</v>
      </c>
      <c r="R144" s="67"/>
      <c r="S144" s="65" t="s">
        <v>11</v>
      </c>
      <c r="T144" s="70" t="s">
        <v>4</v>
      </c>
      <c r="U144" s="65" t="s">
        <v>14</v>
      </c>
      <c r="V144" s="65" t="s">
        <v>1914</v>
      </c>
      <c r="W144" s="65" t="s">
        <v>1922</v>
      </c>
      <c r="X144" s="65" t="s">
        <v>2855</v>
      </c>
      <c r="Y144" s="65" t="s">
        <v>2994</v>
      </c>
      <c r="Z144" s="65" t="s">
        <v>129</v>
      </c>
      <c r="AA144" s="65" t="s">
        <v>2855</v>
      </c>
    </row>
    <row r="145" spans="1:27" ht="17.45" hidden="1" customHeight="1">
      <c r="A145" s="100" t="str">
        <f>IF(priority(Main[[#This Row],[Comments]])&lt;&gt;0, priority(Main[[#This Row],[Comments]]),"")</f>
        <v/>
      </c>
      <c r="B145" s="77" t="s">
        <v>2169</v>
      </c>
      <c r="C145" s="65" t="s">
        <v>4</v>
      </c>
      <c r="D145" s="66" t="s">
        <v>2170</v>
      </c>
      <c r="E145" s="67">
        <v>40781.644953703704</v>
      </c>
      <c r="F145" s="67"/>
      <c r="G145" s="64" t="str">
        <f>IF(stdProdLT(Main[[#This Row],[Comments]])=0.1,"N/A",IF(stdProdLT(Main[[#This Row],[Comments]])=0,"",stdProdLT(Main[[#This Row],[Comments]])))</f>
        <v/>
      </c>
      <c r="H145" s="68" t="str">
        <f>IF(AND(Main[[#This Row],[In Stock Date]]&lt;&gt;"",Main[[#This Row],[Revised Due Date]]&lt;&gt;""),Main[[#This Row],[In Stock Date]]-Main[[#This Row],[Revised Due Date]],"")</f>
        <v/>
      </c>
      <c r="I145" s="65" t="s">
        <v>4</v>
      </c>
      <c r="J145" s="65" t="s">
        <v>4</v>
      </c>
      <c r="K145" s="65" t="s">
        <v>4</v>
      </c>
      <c r="L145" s="67"/>
      <c r="M145" s="69" t="str">
        <f>IF(Main[[#This Row],[Tech Start Date]]&lt;1/1/1990,"",IF(Main[[#This Row],[Class]]="C",WORKDAY(Main[[#This Row],[Tech Start Date]],9),IF(Main[[#This Row],[Class]]="B", WORKDAY(Main[[#This Row],[Tech Start Date]],6),IF(Main[[#This Row],[Class]]="A",WORKDAY(Main[[#This Row],[Tech Start Date]],2),""))))</f>
        <v/>
      </c>
      <c r="N145" s="69" t="str">
        <f>IF(Main[[#This Row],[Tech Start Date]]&lt;1/1/1990,"",IF(Main[[#This Row],[Class]]="C",WORKDAY(Main[[#This Row],[Tech Start Date]],19),IF(Main[[#This Row],[Class]]="B", WORKDAY(Main[[#This Row],[Tech Start Date]],12),IF(Main[[#This Row],[Class]]="A",WORKDAY(Main[[#This Row],[Tech Start Date]],4),""))))</f>
        <v/>
      </c>
      <c r="O145" s="69" t="str">
        <f>IF(Main[[#This Row],[Tech Start Date]]&lt;1/1/1990,"",IF(Main[[#This Row],[Class]]="C",WORKDAY(Main[[#This Row],[Tech Start Date]],23),IF(Main[[#This Row],[Class]]="B", WORKDAY(Main[[#This Row],[Tech Start Date]],15),IF(Main[[#This Row],[Class]]="A",WORKDAY(Main[[#This Row],[Tech Start Date]],5),""))))</f>
        <v/>
      </c>
      <c r="P145" s="69" t="str">
        <f>IF(Main[[#This Row],[Tech Start Date]]&lt;1/1/1990,"",IF(Main[[#This Row],[Class]]="C",WORKDAY(Main[[#This Row],[Tech Start Date]],28),IF(Main[[#This Row],[Class]]="B", WORKDAY(Main[[#This Row],[Tech Start Date]],19),IF(Main[[#This Row],[Class]]="A",WORKDAY(Main[[#This Row],[Tech Start Date]],9),""))))</f>
        <v/>
      </c>
      <c r="Q145" s="67">
        <v>40809</v>
      </c>
      <c r="R145" s="67"/>
      <c r="S145" s="65" t="s">
        <v>6</v>
      </c>
      <c r="T145" s="70" t="s">
        <v>4</v>
      </c>
      <c r="U145" s="65" t="s">
        <v>7</v>
      </c>
      <c r="V145" s="65" t="s">
        <v>1914</v>
      </c>
      <c r="W145" s="65" t="s">
        <v>4</v>
      </c>
      <c r="X145" s="65" t="s">
        <v>2819</v>
      </c>
      <c r="Y145" s="65" t="s">
        <v>2932</v>
      </c>
      <c r="Z145" s="65" t="s">
        <v>4</v>
      </c>
      <c r="AA145" s="65" t="s">
        <v>2819</v>
      </c>
    </row>
    <row r="146" spans="1:27" ht="17.45" hidden="1" customHeight="1">
      <c r="A146" s="100" t="str">
        <f>IF(priority(Main[[#This Row],[Comments]])&lt;&gt;0, priority(Main[[#This Row],[Comments]]),"")</f>
        <v/>
      </c>
      <c r="B146" s="77" t="s">
        <v>2701</v>
      </c>
      <c r="C146" s="65" t="s">
        <v>4</v>
      </c>
      <c r="D146" s="66" t="s">
        <v>2702</v>
      </c>
      <c r="E146" s="67">
        <v>40892.147916666669</v>
      </c>
      <c r="F146" s="67"/>
      <c r="G146" s="64" t="str">
        <f>IF(stdProdLT(Main[[#This Row],[Comments]])=0.1,"N/A",IF(stdProdLT(Main[[#This Row],[Comments]])=0,"",stdProdLT(Main[[#This Row],[Comments]])))</f>
        <v/>
      </c>
      <c r="H146" s="68" t="str">
        <f>IF(AND(Main[[#This Row],[In Stock Date]]&lt;&gt;"",Main[[#This Row],[Revised Due Date]]&lt;&gt;""),Main[[#This Row],[In Stock Date]]-Main[[#This Row],[Revised Due Date]],"")</f>
        <v/>
      </c>
      <c r="I146" s="65" t="s">
        <v>69</v>
      </c>
      <c r="J146" s="65" t="s">
        <v>70</v>
      </c>
      <c r="K146" s="65" t="s">
        <v>1923</v>
      </c>
      <c r="L146" s="67"/>
      <c r="M146" s="69" t="str">
        <f>IF(Main[[#This Row],[Tech Start Date]]&lt;1/1/1990,"",IF(Main[[#This Row],[Class]]="C",WORKDAY(Main[[#This Row],[Tech Start Date]],9),IF(Main[[#This Row],[Class]]="B", WORKDAY(Main[[#This Row],[Tech Start Date]],6),IF(Main[[#This Row],[Class]]="A",WORKDAY(Main[[#This Row],[Tech Start Date]],2),""))))</f>
        <v/>
      </c>
      <c r="N146" s="69" t="str">
        <f>IF(Main[[#This Row],[Tech Start Date]]&lt;1/1/1990,"",IF(Main[[#This Row],[Class]]="C",WORKDAY(Main[[#This Row],[Tech Start Date]],19),IF(Main[[#This Row],[Class]]="B", WORKDAY(Main[[#This Row],[Tech Start Date]],12),IF(Main[[#This Row],[Class]]="A",WORKDAY(Main[[#This Row],[Tech Start Date]],4),""))))</f>
        <v/>
      </c>
      <c r="O146" s="69" t="str">
        <f>IF(Main[[#This Row],[Tech Start Date]]&lt;1/1/1990,"",IF(Main[[#This Row],[Class]]="C",WORKDAY(Main[[#This Row],[Tech Start Date]],23),IF(Main[[#This Row],[Class]]="B", WORKDAY(Main[[#This Row],[Tech Start Date]],15),IF(Main[[#This Row],[Class]]="A",WORKDAY(Main[[#This Row],[Tech Start Date]],5),""))))</f>
        <v/>
      </c>
      <c r="P146" s="69" t="str">
        <f>IF(Main[[#This Row],[Tech Start Date]]&lt;1/1/1990,"",IF(Main[[#This Row],[Class]]="C",WORKDAY(Main[[#This Row],[Tech Start Date]],28),IF(Main[[#This Row],[Class]]="B", WORKDAY(Main[[#This Row],[Tech Start Date]],19),IF(Main[[#This Row],[Class]]="A",WORKDAY(Main[[#This Row],[Tech Start Date]],9),""))))</f>
        <v/>
      </c>
      <c r="Q146" s="67">
        <v>40914</v>
      </c>
      <c r="R146" s="67"/>
      <c r="S146" s="65" t="s">
        <v>6</v>
      </c>
      <c r="T146" s="70" t="s">
        <v>4</v>
      </c>
      <c r="U146" s="65" t="s">
        <v>29</v>
      </c>
      <c r="V146" s="65" t="s">
        <v>1917</v>
      </c>
      <c r="W146" s="65" t="s">
        <v>1918</v>
      </c>
      <c r="X146" s="65" t="s">
        <v>2851</v>
      </c>
      <c r="Y146" s="65" t="s">
        <v>2986</v>
      </c>
      <c r="Z146" s="65" t="s">
        <v>30</v>
      </c>
      <c r="AA146" s="65" t="s">
        <v>2851</v>
      </c>
    </row>
    <row r="147" spans="1:27" ht="17.45" hidden="1" customHeight="1">
      <c r="A147" s="100" t="str">
        <f>IF(priority(Main[[#This Row],[Comments]])&lt;&gt;0, priority(Main[[#This Row],[Comments]]),"")</f>
        <v/>
      </c>
      <c r="B147" s="77" t="s">
        <v>2342</v>
      </c>
      <c r="C147" s="65" t="s">
        <v>4</v>
      </c>
      <c r="D147" s="66" t="s">
        <v>2343</v>
      </c>
      <c r="E147" s="67">
        <v>40876.410104166665</v>
      </c>
      <c r="F147" s="67"/>
      <c r="G147" s="64" t="str">
        <f>IF(stdProdLT(Main[[#This Row],[Comments]])=0.1,"N/A",IF(stdProdLT(Main[[#This Row],[Comments]])=0,"",stdProdLT(Main[[#This Row],[Comments]])))</f>
        <v/>
      </c>
      <c r="H147" s="68" t="str">
        <f>IF(AND(Main[[#This Row],[In Stock Date]]&lt;&gt;"",Main[[#This Row],[Revised Due Date]]&lt;&gt;""),Main[[#This Row],[In Stock Date]]-Main[[#This Row],[Revised Due Date]],"")</f>
        <v/>
      </c>
      <c r="I147" s="65" t="s">
        <v>4</v>
      </c>
      <c r="J147" s="65" t="s">
        <v>4</v>
      </c>
      <c r="K147" s="65" t="s">
        <v>4</v>
      </c>
      <c r="L147" s="67"/>
      <c r="M147" s="69" t="str">
        <f>IF(Main[[#This Row],[Tech Start Date]]&lt;1/1/1990,"",IF(Main[[#This Row],[Class]]="C",WORKDAY(Main[[#This Row],[Tech Start Date]],9),IF(Main[[#This Row],[Class]]="B", WORKDAY(Main[[#This Row],[Tech Start Date]],6),IF(Main[[#This Row],[Class]]="A",WORKDAY(Main[[#This Row],[Tech Start Date]],2),""))))</f>
        <v/>
      </c>
      <c r="N147" s="69" t="str">
        <f>IF(Main[[#This Row],[Tech Start Date]]&lt;1/1/1990,"",IF(Main[[#This Row],[Class]]="C",WORKDAY(Main[[#This Row],[Tech Start Date]],19),IF(Main[[#This Row],[Class]]="B", WORKDAY(Main[[#This Row],[Tech Start Date]],12),IF(Main[[#This Row],[Class]]="A",WORKDAY(Main[[#This Row],[Tech Start Date]],4),""))))</f>
        <v/>
      </c>
      <c r="O147" s="69" t="str">
        <f>IF(Main[[#This Row],[Tech Start Date]]&lt;1/1/1990,"",IF(Main[[#This Row],[Class]]="C",WORKDAY(Main[[#This Row],[Tech Start Date]],23),IF(Main[[#This Row],[Class]]="B", WORKDAY(Main[[#This Row],[Tech Start Date]],15),IF(Main[[#This Row],[Class]]="A",WORKDAY(Main[[#This Row],[Tech Start Date]],5),""))))</f>
        <v/>
      </c>
      <c r="P147" s="69" t="str">
        <f>IF(Main[[#This Row],[Tech Start Date]]&lt;1/1/1990,"",IF(Main[[#This Row],[Class]]="C",WORKDAY(Main[[#This Row],[Tech Start Date]],28),IF(Main[[#This Row],[Class]]="B", WORKDAY(Main[[#This Row],[Tech Start Date]],19),IF(Main[[#This Row],[Class]]="A",WORKDAY(Main[[#This Row],[Tech Start Date]],9),""))))</f>
        <v/>
      </c>
      <c r="Q147" s="67">
        <v>40879</v>
      </c>
      <c r="R147" s="67"/>
      <c r="S147" s="65" t="s">
        <v>6</v>
      </c>
      <c r="T147" s="70" t="s">
        <v>4</v>
      </c>
      <c r="U147" s="65" t="s">
        <v>29</v>
      </c>
      <c r="V147" s="65" t="s">
        <v>1915</v>
      </c>
      <c r="W147" s="65" t="s">
        <v>1918</v>
      </c>
      <c r="X147" s="65" t="s">
        <v>941</v>
      </c>
      <c r="Y147" s="65" t="s">
        <v>2995</v>
      </c>
      <c r="Z147" s="65" t="s">
        <v>4</v>
      </c>
      <c r="AA147" s="65" t="s">
        <v>941</v>
      </c>
    </row>
    <row r="148" spans="1:27" ht="17.45" hidden="1" customHeight="1">
      <c r="A148" s="100" t="str">
        <f>IF(priority(Main[[#This Row],[Comments]])&lt;&gt;0, priority(Main[[#This Row],[Comments]]),"")</f>
        <v/>
      </c>
      <c r="B148" s="77" t="s">
        <v>2461</v>
      </c>
      <c r="C148" s="65" t="s">
        <v>4</v>
      </c>
      <c r="D148" s="66" t="s">
        <v>2462</v>
      </c>
      <c r="E148" s="67">
        <v>40876.411770833336</v>
      </c>
      <c r="F148" s="67"/>
      <c r="G148" s="64" t="str">
        <f>IF(stdProdLT(Main[[#This Row],[Comments]])=0.1,"N/A",IF(stdProdLT(Main[[#This Row],[Comments]])=0,"",stdProdLT(Main[[#This Row],[Comments]])))</f>
        <v/>
      </c>
      <c r="H148" s="68" t="str">
        <f>IF(AND(Main[[#This Row],[In Stock Date]]&lt;&gt;"",Main[[#This Row],[Revised Due Date]]&lt;&gt;""),Main[[#This Row],[In Stock Date]]-Main[[#This Row],[Revised Due Date]],"")</f>
        <v/>
      </c>
      <c r="I148" s="65" t="s">
        <v>4</v>
      </c>
      <c r="J148" s="65" t="s">
        <v>4</v>
      </c>
      <c r="K148" s="65" t="s">
        <v>4</v>
      </c>
      <c r="L148" s="67"/>
      <c r="M148" s="69" t="str">
        <f>IF(Main[[#This Row],[Tech Start Date]]&lt;1/1/1990,"",IF(Main[[#This Row],[Class]]="C",WORKDAY(Main[[#This Row],[Tech Start Date]],9),IF(Main[[#This Row],[Class]]="B", WORKDAY(Main[[#This Row],[Tech Start Date]],6),IF(Main[[#This Row],[Class]]="A",WORKDAY(Main[[#This Row],[Tech Start Date]],2),""))))</f>
        <v/>
      </c>
      <c r="N148" s="69" t="str">
        <f>IF(Main[[#This Row],[Tech Start Date]]&lt;1/1/1990,"",IF(Main[[#This Row],[Class]]="C",WORKDAY(Main[[#This Row],[Tech Start Date]],19),IF(Main[[#This Row],[Class]]="B", WORKDAY(Main[[#This Row],[Tech Start Date]],12),IF(Main[[#This Row],[Class]]="A",WORKDAY(Main[[#This Row],[Tech Start Date]],4),""))))</f>
        <v/>
      </c>
      <c r="O148" s="69" t="str">
        <f>IF(Main[[#This Row],[Tech Start Date]]&lt;1/1/1990,"",IF(Main[[#This Row],[Class]]="C",WORKDAY(Main[[#This Row],[Tech Start Date]],23),IF(Main[[#This Row],[Class]]="B", WORKDAY(Main[[#This Row],[Tech Start Date]],15),IF(Main[[#This Row],[Class]]="A",WORKDAY(Main[[#This Row],[Tech Start Date]],5),""))))</f>
        <v/>
      </c>
      <c r="P148" s="69" t="str">
        <f>IF(Main[[#This Row],[Tech Start Date]]&lt;1/1/1990,"",IF(Main[[#This Row],[Class]]="C",WORKDAY(Main[[#This Row],[Tech Start Date]],28),IF(Main[[#This Row],[Class]]="B", WORKDAY(Main[[#This Row],[Tech Start Date]],19),IF(Main[[#This Row],[Class]]="A",WORKDAY(Main[[#This Row],[Tech Start Date]],9),""))))</f>
        <v/>
      </c>
      <c r="Q148" s="67"/>
      <c r="R148" s="67"/>
      <c r="S148" s="65" t="s">
        <v>6</v>
      </c>
      <c r="T148" s="70" t="s">
        <v>4</v>
      </c>
      <c r="U148" s="65" t="s">
        <v>7</v>
      </c>
      <c r="V148" s="65" t="s">
        <v>1914</v>
      </c>
      <c r="W148" s="65" t="s">
        <v>1922</v>
      </c>
      <c r="X148" s="65" t="s">
        <v>306</v>
      </c>
      <c r="Y148" s="65" t="s">
        <v>4</v>
      </c>
      <c r="Z148" s="65" t="s">
        <v>4</v>
      </c>
      <c r="AA148" s="65" t="s">
        <v>3394</v>
      </c>
    </row>
    <row r="149" spans="1:27" ht="17.45" hidden="1" customHeight="1">
      <c r="A149" s="100" t="str">
        <f>IF(priority(Main[[#This Row],[Comments]])&lt;&gt;0, priority(Main[[#This Row],[Comments]]),"")</f>
        <v/>
      </c>
      <c r="B149" s="77" t="s">
        <v>1980</v>
      </c>
      <c r="C149" s="65" t="s">
        <v>1975</v>
      </c>
      <c r="D149" s="66" t="s">
        <v>1981</v>
      </c>
      <c r="E149" s="67"/>
      <c r="F149" s="67"/>
      <c r="G149" s="64" t="str">
        <f>IF(stdProdLT(Main[[#This Row],[Comments]])=0.1,"N/A",IF(stdProdLT(Main[[#This Row],[Comments]])=0,"",stdProdLT(Main[[#This Row],[Comments]])))</f>
        <v/>
      </c>
      <c r="H149" s="68" t="str">
        <f>IF(AND(Main[[#This Row],[In Stock Date]]&lt;&gt;"",Main[[#This Row],[Revised Due Date]]&lt;&gt;""),Main[[#This Row],[In Stock Date]]-Main[[#This Row],[Revised Due Date]],"")</f>
        <v/>
      </c>
      <c r="I149" s="65" t="s">
        <v>4</v>
      </c>
      <c r="J149" s="65" t="s">
        <v>4</v>
      </c>
      <c r="K149" s="65" t="s">
        <v>4</v>
      </c>
      <c r="L149" s="67"/>
      <c r="M149" s="69" t="str">
        <f>IF(Main[[#This Row],[Tech Start Date]]&lt;1/1/1990,"",IF(Main[[#This Row],[Class]]="C",WORKDAY(Main[[#This Row],[Tech Start Date]],9),IF(Main[[#This Row],[Class]]="B", WORKDAY(Main[[#This Row],[Tech Start Date]],6),IF(Main[[#This Row],[Class]]="A",WORKDAY(Main[[#This Row],[Tech Start Date]],2),""))))</f>
        <v/>
      </c>
      <c r="N149" s="69" t="str">
        <f>IF(Main[[#This Row],[Tech Start Date]]&lt;1/1/1990,"",IF(Main[[#This Row],[Class]]="C",WORKDAY(Main[[#This Row],[Tech Start Date]],19),IF(Main[[#This Row],[Class]]="B", WORKDAY(Main[[#This Row],[Tech Start Date]],12),IF(Main[[#This Row],[Class]]="A",WORKDAY(Main[[#This Row],[Tech Start Date]],4),""))))</f>
        <v/>
      </c>
      <c r="O149" s="69" t="str">
        <f>IF(Main[[#This Row],[Tech Start Date]]&lt;1/1/1990,"",IF(Main[[#This Row],[Class]]="C",WORKDAY(Main[[#This Row],[Tech Start Date]],23),IF(Main[[#This Row],[Class]]="B", WORKDAY(Main[[#This Row],[Tech Start Date]],15),IF(Main[[#This Row],[Class]]="A",WORKDAY(Main[[#This Row],[Tech Start Date]],5),""))))</f>
        <v/>
      </c>
      <c r="P149" s="69" t="str">
        <f>IF(Main[[#This Row],[Tech Start Date]]&lt;1/1/1990,"",IF(Main[[#This Row],[Class]]="C",WORKDAY(Main[[#This Row],[Tech Start Date]],28),IF(Main[[#This Row],[Class]]="B", WORKDAY(Main[[#This Row],[Tech Start Date]],19),IF(Main[[#This Row],[Class]]="A",WORKDAY(Main[[#This Row],[Tech Start Date]],9),""))))</f>
        <v/>
      </c>
      <c r="Q149" s="67">
        <v>40745</v>
      </c>
      <c r="R149" s="67"/>
      <c r="S149" s="65" t="s">
        <v>11</v>
      </c>
      <c r="T149" s="70" t="s">
        <v>4</v>
      </c>
      <c r="U149" s="65" t="s">
        <v>14</v>
      </c>
      <c r="V149" s="65" t="s">
        <v>1915</v>
      </c>
      <c r="W149" s="65" t="s">
        <v>1916</v>
      </c>
      <c r="X149" s="65" t="s">
        <v>2816</v>
      </c>
      <c r="Y149" s="65" t="s">
        <v>4</v>
      </c>
      <c r="Z149" s="65" t="s">
        <v>4</v>
      </c>
      <c r="AA149" s="65" t="s">
        <v>2816</v>
      </c>
    </row>
    <row r="150" spans="1:27" ht="17.45" hidden="1" customHeight="1">
      <c r="A150" s="100">
        <f>IF(priority(Main[[#This Row],[Comments]])&lt;&gt;0, priority(Main[[#This Row],[Comments]]),"")</f>
        <v>13</v>
      </c>
      <c r="B150" s="77" t="s">
        <v>3586</v>
      </c>
      <c r="C150" s="65" t="s">
        <v>31</v>
      </c>
      <c r="D150" s="66" t="s">
        <v>3587</v>
      </c>
      <c r="E150" s="67">
        <v>40953.049583333333</v>
      </c>
      <c r="F150" s="67">
        <v>40968</v>
      </c>
      <c r="G150" s="64" t="str">
        <f>IF(stdProdLT(Main[[#This Row],[Comments]])=0.1,"N/A",IF(stdProdLT(Main[[#This Row],[Comments]])=0,"",stdProdLT(Main[[#This Row],[Comments]])))</f>
        <v>N/A</v>
      </c>
      <c r="H150" s="68" t="str">
        <f>IF(AND(Main[[#This Row],[In Stock Date]]&lt;&gt;"",Main[[#This Row],[Revised Due Date]]&lt;&gt;""),Main[[#This Row],[In Stock Date]]-Main[[#This Row],[Revised Due Date]],"")</f>
        <v/>
      </c>
      <c r="I150" s="65" t="s">
        <v>946</v>
      </c>
      <c r="J150" s="65" t="s">
        <v>28</v>
      </c>
      <c r="K150" s="71" t="s">
        <v>1921</v>
      </c>
      <c r="L150" s="67"/>
      <c r="M150" s="69" t="str">
        <f>IF(Main[[#This Row],[Tech Start Date]]&lt;1/1/1990,"",IF(Main[[#This Row],[Class]]="C",WORKDAY(Main[[#This Row],[Tech Start Date]],9),IF(Main[[#This Row],[Class]]="B", WORKDAY(Main[[#This Row],[Tech Start Date]],6),IF(Main[[#This Row],[Class]]="A",WORKDAY(Main[[#This Row],[Tech Start Date]],2),""))))</f>
        <v/>
      </c>
      <c r="N150" s="69" t="str">
        <f>IF(Main[[#This Row],[Tech Start Date]]&lt;1/1/1990,"",IF(Main[[#This Row],[Class]]="C",WORKDAY(Main[[#This Row],[Tech Start Date]],19),IF(Main[[#This Row],[Class]]="B", WORKDAY(Main[[#This Row],[Tech Start Date]],12),IF(Main[[#This Row],[Class]]="A",WORKDAY(Main[[#This Row],[Tech Start Date]],4),""))))</f>
        <v/>
      </c>
      <c r="O150" s="69" t="str">
        <f>IF(Main[[#This Row],[Tech Start Date]]&lt;1/1/1990,"",IF(Main[[#This Row],[Class]]="C",WORKDAY(Main[[#This Row],[Tech Start Date]],23),IF(Main[[#This Row],[Class]]="B", WORKDAY(Main[[#This Row],[Tech Start Date]],15),IF(Main[[#This Row],[Class]]="A",WORKDAY(Main[[#This Row],[Tech Start Date]],5),""))))</f>
        <v/>
      </c>
      <c r="P150" s="69" t="str">
        <f>IF(Main[[#This Row],[Tech Start Date]]&lt;1/1/1990,"",IF(Main[[#This Row],[Class]]="C",WORKDAY(Main[[#This Row],[Tech Start Date]],28),IF(Main[[#This Row],[Class]]="B", WORKDAY(Main[[#This Row],[Tech Start Date]],19),IF(Main[[#This Row],[Class]]="A",WORKDAY(Main[[#This Row],[Tech Start Date]],9),""))))</f>
        <v/>
      </c>
      <c r="Q150" s="67">
        <v>40967</v>
      </c>
      <c r="R150" s="67"/>
      <c r="S150" s="65" t="s">
        <v>11</v>
      </c>
      <c r="T150" s="70" t="s">
        <v>3588</v>
      </c>
      <c r="U150" s="65" t="s">
        <v>7</v>
      </c>
      <c r="V150" s="65" t="s">
        <v>1915</v>
      </c>
      <c r="W150" s="65" t="s">
        <v>1919</v>
      </c>
      <c r="X150" s="65" t="s">
        <v>2835</v>
      </c>
      <c r="Y150" s="65" t="s">
        <v>4</v>
      </c>
      <c r="Z150" s="65" t="s">
        <v>2053</v>
      </c>
      <c r="AA150" s="65" t="s">
        <v>2835</v>
      </c>
    </row>
    <row r="151" spans="1:27" ht="17.45" hidden="1" customHeight="1">
      <c r="A151" s="100" t="str">
        <f>IF(priority(Main[[#This Row],[Comments]])&lt;&gt;0, priority(Main[[#This Row],[Comments]]),"")</f>
        <v/>
      </c>
      <c r="B151" s="77" t="s">
        <v>1115</v>
      </c>
      <c r="C151" s="65" t="s">
        <v>4</v>
      </c>
      <c r="D151" s="66" t="s">
        <v>164</v>
      </c>
      <c r="E151" s="67">
        <v>40315.288738425923</v>
      </c>
      <c r="F151" s="67"/>
      <c r="G151" s="64" t="str">
        <f>IF(stdProdLT(Main[[#This Row],[Comments]])=0.1,"N/A",IF(stdProdLT(Main[[#This Row],[Comments]])=0,"",stdProdLT(Main[[#This Row],[Comments]])))</f>
        <v/>
      </c>
      <c r="H151" s="68" t="str">
        <f>IF(AND(Main[[#This Row],[In Stock Date]]&lt;&gt;"",Main[[#This Row],[Revised Due Date]]&lt;&gt;""),Main[[#This Row],[In Stock Date]]-Main[[#This Row],[Revised Due Date]],"")</f>
        <v/>
      </c>
      <c r="I151" s="65" t="s">
        <v>129</v>
      </c>
      <c r="J151" s="65" t="s">
        <v>4</v>
      </c>
      <c r="K151" s="65" t="s">
        <v>4</v>
      </c>
      <c r="L151" s="67"/>
      <c r="M151" s="69" t="str">
        <f>IF(Main[[#This Row],[Tech Start Date]]&lt;1/1/1990,"",IF(Main[[#This Row],[Class]]="C",WORKDAY(Main[[#This Row],[Tech Start Date]],9),IF(Main[[#This Row],[Class]]="B", WORKDAY(Main[[#This Row],[Tech Start Date]],6),IF(Main[[#This Row],[Class]]="A",WORKDAY(Main[[#This Row],[Tech Start Date]],2),""))))</f>
        <v/>
      </c>
      <c r="N151" s="69" t="str">
        <f>IF(Main[[#This Row],[Tech Start Date]]&lt;1/1/1990,"",IF(Main[[#This Row],[Class]]="C",WORKDAY(Main[[#This Row],[Tech Start Date]],19),IF(Main[[#This Row],[Class]]="B", WORKDAY(Main[[#This Row],[Tech Start Date]],12),IF(Main[[#This Row],[Class]]="A",WORKDAY(Main[[#This Row],[Tech Start Date]],4),""))))</f>
        <v/>
      </c>
      <c r="O151" s="69" t="str">
        <f>IF(Main[[#This Row],[Tech Start Date]]&lt;1/1/1990,"",IF(Main[[#This Row],[Class]]="C",WORKDAY(Main[[#This Row],[Tech Start Date]],23),IF(Main[[#This Row],[Class]]="B", WORKDAY(Main[[#This Row],[Tech Start Date]],15),IF(Main[[#This Row],[Class]]="A",WORKDAY(Main[[#This Row],[Tech Start Date]],5),""))))</f>
        <v/>
      </c>
      <c r="P151" s="69" t="str">
        <f>IF(Main[[#This Row],[Tech Start Date]]&lt;1/1/1990,"",IF(Main[[#This Row],[Class]]="C",WORKDAY(Main[[#This Row],[Tech Start Date]],28),IF(Main[[#This Row],[Class]]="B", WORKDAY(Main[[#This Row],[Tech Start Date]],19),IF(Main[[#This Row],[Class]]="A",WORKDAY(Main[[#This Row],[Tech Start Date]],9),""))))</f>
        <v/>
      </c>
      <c r="Q151" s="67">
        <v>40359</v>
      </c>
      <c r="R151" s="67"/>
      <c r="S151" s="65" t="s">
        <v>6</v>
      </c>
      <c r="T151" s="70" t="s">
        <v>4</v>
      </c>
      <c r="U151" s="65" t="s">
        <v>7</v>
      </c>
      <c r="V151" s="65" t="s">
        <v>1914</v>
      </c>
      <c r="W151" s="65" t="s">
        <v>4</v>
      </c>
      <c r="X151" s="65" t="s">
        <v>2822</v>
      </c>
      <c r="Y151" s="65" t="s">
        <v>2938</v>
      </c>
      <c r="Z151" s="65" t="s">
        <v>4</v>
      </c>
      <c r="AA151" s="65" t="s">
        <v>2822</v>
      </c>
    </row>
    <row r="152" spans="1:27" ht="17.45" hidden="1" customHeight="1">
      <c r="A152" s="100" t="str">
        <f>IF(priority(Main[[#This Row],[Comments]])&lt;&gt;0, priority(Main[[#This Row],[Comments]]),"")</f>
        <v/>
      </c>
      <c r="B152" s="77" t="s">
        <v>1116</v>
      </c>
      <c r="C152" s="65" t="s">
        <v>31</v>
      </c>
      <c r="D152" s="66" t="s">
        <v>165</v>
      </c>
      <c r="E152" s="67">
        <v>40490.313692129632</v>
      </c>
      <c r="F152" s="67">
        <v>40546</v>
      </c>
      <c r="G152" s="64" t="str">
        <f>IF(stdProdLT(Main[[#This Row],[Comments]])=0.1,"N/A",IF(stdProdLT(Main[[#This Row],[Comments]])=0,"",stdProdLT(Main[[#This Row],[Comments]])))</f>
        <v/>
      </c>
      <c r="H152" s="68" t="str">
        <f>IF(AND(Main[[#This Row],[In Stock Date]]&lt;&gt;"",Main[[#This Row],[Revised Due Date]]&lt;&gt;""),Main[[#This Row],[In Stock Date]]-Main[[#This Row],[Revised Due Date]],"")</f>
        <v/>
      </c>
      <c r="I152" s="65" t="s">
        <v>4</v>
      </c>
      <c r="J152" s="65" t="s">
        <v>4</v>
      </c>
      <c r="K152" s="65" t="s">
        <v>4</v>
      </c>
      <c r="L152" s="67"/>
      <c r="M152" s="69" t="str">
        <f>IF(Main[[#This Row],[Tech Start Date]]&lt;1/1/1990,"",IF(Main[[#This Row],[Class]]="C",WORKDAY(Main[[#This Row],[Tech Start Date]],9),IF(Main[[#This Row],[Class]]="B", WORKDAY(Main[[#This Row],[Tech Start Date]],6),IF(Main[[#This Row],[Class]]="A",WORKDAY(Main[[#This Row],[Tech Start Date]],2),""))))</f>
        <v/>
      </c>
      <c r="N152" s="69" t="str">
        <f>IF(Main[[#This Row],[Tech Start Date]]&lt;1/1/1990,"",IF(Main[[#This Row],[Class]]="C",WORKDAY(Main[[#This Row],[Tech Start Date]],19),IF(Main[[#This Row],[Class]]="B", WORKDAY(Main[[#This Row],[Tech Start Date]],12),IF(Main[[#This Row],[Class]]="A",WORKDAY(Main[[#This Row],[Tech Start Date]],4),""))))</f>
        <v/>
      </c>
      <c r="O152" s="69" t="str">
        <f>IF(Main[[#This Row],[Tech Start Date]]&lt;1/1/1990,"",IF(Main[[#This Row],[Class]]="C",WORKDAY(Main[[#This Row],[Tech Start Date]],23),IF(Main[[#This Row],[Class]]="B", WORKDAY(Main[[#This Row],[Tech Start Date]],15),IF(Main[[#This Row],[Class]]="A",WORKDAY(Main[[#This Row],[Tech Start Date]],5),""))))</f>
        <v/>
      </c>
      <c r="P152" s="69" t="str">
        <f>IF(Main[[#This Row],[Tech Start Date]]&lt;1/1/1990,"",IF(Main[[#This Row],[Class]]="C",WORKDAY(Main[[#This Row],[Tech Start Date]],28),IF(Main[[#This Row],[Class]]="B", WORKDAY(Main[[#This Row],[Tech Start Date]],19),IF(Main[[#This Row],[Class]]="A",WORKDAY(Main[[#This Row],[Tech Start Date]],9),""))))</f>
        <v/>
      </c>
      <c r="Q152" s="67">
        <v>40543</v>
      </c>
      <c r="R152" s="67"/>
      <c r="S152" s="65" t="s">
        <v>17</v>
      </c>
      <c r="T152" s="70" t="s">
        <v>4</v>
      </c>
      <c r="U152" s="65" t="s">
        <v>7</v>
      </c>
      <c r="V152" s="65" t="s">
        <v>1917</v>
      </c>
      <c r="W152" s="65" t="s">
        <v>4</v>
      </c>
      <c r="X152" s="65" t="s">
        <v>2856</v>
      </c>
      <c r="Y152" s="65" t="s">
        <v>2997</v>
      </c>
      <c r="Z152" s="65" t="s">
        <v>4</v>
      </c>
      <c r="AA152" s="65" t="s">
        <v>2856</v>
      </c>
    </row>
    <row r="153" spans="1:27" ht="17.45" hidden="1" customHeight="1">
      <c r="A153" s="100" t="str">
        <f>IF(priority(Main[[#This Row],[Comments]])&lt;&gt;0, priority(Main[[#This Row],[Comments]]),"")</f>
        <v/>
      </c>
      <c r="B153" s="77" t="s">
        <v>1117</v>
      </c>
      <c r="C153" s="65" t="s">
        <v>4</v>
      </c>
      <c r="D153" s="66" t="s">
        <v>166</v>
      </c>
      <c r="E153" s="67">
        <v>40455.90861111111</v>
      </c>
      <c r="F153" s="67"/>
      <c r="G153" s="64" t="str">
        <f>IF(stdProdLT(Main[[#This Row],[Comments]])=0.1,"N/A",IF(stdProdLT(Main[[#This Row],[Comments]])=0,"",stdProdLT(Main[[#This Row],[Comments]])))</f>
        <v/>
      </c>
      <c r="H153" s="68" t="str">
        <f>IF(AND(Main[[#This Row],[In Stock Date]]&lt;&gt;"",Main[[#This Row],[Revised Due Date]]&lt;&gt;""),Main[[#This Row],[In Stock Date]]-Main[[#This Row],[Revised Due Date]],"")</f>
        <v/>
      </c>
      <c r="I153" s="65" t="s">
        <v>4</v>
      </c>
      <c r="J153" s="65" t="s">
        <v>28</v>
      </c>
      <c r="K153" s="65" t="s">
        <v>1926</v>
      </c>
      <c r="L153" s="67"/>
      <c r="M153" s="69" t="str">
        <f>IF(Main[[#This Row],[Tech Start Date]]&lt;1/1/1990,"",IF(Main[[#This Row],[Class]]="C",WORKDAY(Main[[#This Row],[Tech Start Date]],9),IF(Main[[#This Row],[Class]]="B", WORKDAY(Main[[#This Row],[Tech Start Date]],6),IF(Main[[#This Row],[Class]]="A",WORKDAY(Main[[#This Row],[Tech Start Date]],2),""))))</f>
        <v/>
      </c>
      <c r="N153" s="69" t="str">
        <f>IF(Main[[#This Row],[Tech Start Date]]&lt;1/1/1990,"",IF(Main[[#This Row],[Class]]="C",WORKDAY(Main[[#This Row],[Tech Start Date]],19),IF(Main[[#This Row],[Class]]="B", WORKDAY(Main[[#This Row],[Tech Start Date]],12),IF(Main[[#This Row],[Class]]="A",WORKDAY(Main[[#This Row],[Tech Start Date]],4),""))))</f>
        <v/>
      </c>
      <c r="O153" s="69" t="str">
        <f>IF(Main[[#This Row],[Tech Start Date]]&lt;1/1/1990,"",IF(Main[[#This Row],[Class]]="C",WORKDAY(Main[[#This Row],[Tech Start Date]],23),IF(Main[[#This Row],[Class]]="B", WORKDAY(Main[[#This Row],[Tech Start Date]],15),IF(Main[[#This Row],[Class]]="A",WORKDAY(Main[[#This Row],[Tech Start Date]],5),""))))</f>
        <v/>
      </c>
      <c r="P153" s="69" t="str">
        <f>IF(Main[[#This Row],[Tech Start Date]]&lt;1/1/1990,"",IF(Main[[#This Row],[Class]]="C",WORKDAY(Main[[#This Row],[Tech Start Date]],28),IF(Main[[#This Row],[Class]]="B", WORKDAY(Main[[#This Row],[Tech Start Date]],19),IF(Main[[#This Row],[Class]]="A",WORKDAY(Main[[#This Row],[Tech Start Date]],9),""))))</f>
        <v/>
      </c>
      <c r="Q153" s="67">
        <v>40512</v>
      </c>
      <c r="R153" s="67"/>
      <c r="S153" s="65" t="s">
        <v>17</v>
      </c>
      <c r="T153" s="70" t="s">
        <v>4</v>
      </c>
      <c r="U153" s="65" t="s">
        <v>7</v>
      </c>
      <c r="V153" s="65" t="s">
        <v>1914</v>
      </c>
      <c r="W153" s="65" t="s">
        <v>1919</v>
      </c>
      <c r="X153" s="65" t="s">
        <v>129</v>
      </c>
      <c r="Y153" s="65" t="s">
        <v>2933</v>
      </c>
      <c r="Z153" s="65" t="s">
        <v>129</v>
      </c>
      <c r="AA153" s="65" t="s">
        <v>129</v>
      </c>
    </row>
    <row r="154" spans="1:27" ht="17.45" hidden="1" customHeight="1">
      <c r="A154" s="100" t="str">
        <f>IF(priority(Main[[#This Row],[Comments]])&lt;&gt;0, priority(Main[[#This Row],[Comments]]),"")</f>
        <v/>
      </c>
      <c r="B154" s="77" t="s">
        <v>1118</v>
      </c>
      <c r="C154" s="65" t="s">
        <v>4</v>
      </c>
      <c r="D154" s="66" t="s">
        <v>167</v>
      </c>
      <c r="E154" s="67"/>
      <c r="F154" s="67"/>
      <c r="G154" s="64" t="str">
        <f>IF(stdProdLT(Main[[#This Row],[Comments]])=0.1,"N/A",IF(stdProdLT(Main[[#This Row],[Comments]])=0,"",stdProdLT(Main[[#This Row],[Comments]])))</f>
        <v/>
      </c>
      <c r="H154" s="68" t="str">
        <f>IF(AND(Main[[#This Row],[In Stock Date]]&lt;&gt;"",Main[[#This Row],[Revised Due Date]]&lt;&gt;""),Main[[#This Row],[In Stock Date]]-Main[[#This Row],[Revised Due Date]],"")</f>
        <v/>
      </c>
      <c r="I154" s="65" t="s">
        <v>4</v>
      </c>
      <c r="J154" s="65" t="s">
        <v>28</v>
      </c>
      <c r="K154" s="65" t="s">
        <v>1926</v>
      </c>
      <c r="L154" s="67"/>
      <c r="M154" s="69" t="str">
        <f>IF(Main[[#This Row],[Tech Start Date]]&lt;1/1/1990,"",IF(Main[[#This Row],[Class]]="C",WORKDAY(Main[[#This Row],[Tech Start Date]],9),IF(Main[[#This Row],[Class]]="B", WORKDAY(Main[[#This Row],[Tech Start Date]],6),IF(Main[[#This Row],[Class]]="A",WORKDAY(Main[[#This Row],[Tech Start Date]],2),""))))</f>
        <v/>
      </c>
      <c r="N154" s="69" t="str">
        <f>IF(Main[[#This Row],[Tech Start Date]]&lt;1/1/1990,"",IF(Main[[#This Row],[Class]]="C",WORKDAY(Main[[#This Row],[Tech Start Date]],19),IF(Main[[#This Row],[Class]]="B", WORKDAY(Main[[#This Row],[Tech Start Date]],12),IF(Main[[#This Row],[Class]]="A",WORKDAY(Main[[#This Row],[Tech Start Date]],4),""))))</f>
        <v/>
      </c>
      <c r="O154" s="69" t="str">
        <f>IF(Main[[#This Row],[Tech Start Date]]&lt;1/1/1990,"",IF(Main[[#This Row],[Class]]="C",WORKDAY(Main[[#This Row],[Tech Start Date]],23),IF(Main[[#This Row],[Class]]="B", WORKDAY(Main[[#This Row],[Tech Start Date]],15),IF(Main[[#This Row],[Class]]="A",WORKDAY(Main[[#This Row],[Tech Start Date]],5),""))))</f>
        <v/>
      </c>
      <c r="P154" s="69" t="str">
        <f>IF(Main[[#This Row],[Tech Start Date]]&lt;1/1/1990,"",IF(Main[[#This Row],[Class]]="C",WORKDAY(Main[[#This Row],[Tech Start Date]],28),IF(Main[[#This Row],[Class]]="B", WORKDAY(Main[[#This Row],[Tech Start Date]],19),IF(Main[[#This Row],[Class]]="A",WORKDAY(Main[[#This Row],[Tech Start Date]],9),""))))</f>
        <v/>
      </c>
      <c r="Q154" s="67"/>
      <c r="R154" s="67"/>
      <c r="S154" s="65" t="s">
        <v>17</v>
      </c>
      <c r="T154" s="70" t="s">
        <v>4</v>
      </c>
      <c r="U154" s="65" t="s">
        <v>14</v>
      </c>
      <c r="V154" s="65" t="s">
        <v>1917</v>
      </c>
      <c r="W154" s="65" t="s">
        <v>1919</v>
      </c>
      <c r="X154" s="65" t="s">
        <v>553</v>
      </c>
      <c r="Y154" s="65" t="s">
        <v>2952</v>
      </c>
      <c r="Z154" s="65" t="s">
        <v>968</v>
      </c>
      <c r="AA154" s="65" t="s">
        <v>553</v>
      </c>
    </row>
    <row r="155" spans="1:27" ht="17.45" hidden="1" customHeight="1">
      <c r="A155" s="100" t="str">
        <f>IF(priority(Main[[#This Row],[Comments]])&lt;&gt;0, priority(Main[[#This Row],[Comments]]),"")</f>
        <v/>
      </c>
      <c r="B155" s="77" t="s">
        <v>2670</v>
      </c>
      <c r="C155" s="65" t="s">
        <v>4</v>
      </c>
      <c r="D155" s="66" t="s">
        <v>2703</v>
      </c>
      <c r="E155" s="67">
        <v>40879.610138888886</v>
      </c>
      <c r="F155" s="67"/>
      <c r="G155" s="64" t="str">
        <f>IF(stdProdLT(Main[[#This Row],[Comments]])=0.1,"N/A",IF(stdProdLT(Main[[#This Row],[Comments]])=0,"",stdProdLT(Main[[#This Row],[Comments]])))</f>
        <v/>
      </c>
      <c r="H155" s="68" t="str">
        <f>IF(AND(Main[[#This Row],[In Stock Date]]&lt;&gt;"",Main[[#This Row],[Revised Due Date]]&lt;&gt;""),Main[[#This Row],[In Stock Date]]-Main[[#This Row],[Revised Due Date]],"")</f>
        <v/>
      </c>
      <c r="I155" s="65" t="s">
        <v>69</v>
      </c>
      <c r="J155" s="65" t="s">
        <v>21</v>
      </c>
      <c r="K155" s="71" t="s">
        <v>1923</v>
      </c>
      <c r="L155" s="67"/>
      <c r="M155" s="69" t="str">
        <f>IF(Main[[#This Row],[Tech Start Date]]&lt;1/1/1990,"",IF(Main[[#This Row],[Class]]="C",WORKDAY(Main[[#This Row],[Tech Start Date]],9),IF(Main[[#This Row],[Class]]="B", WORKDAY(Main[[#This Row],[Tech Start Date]],6),IF(Main[[#This Row],[Class]]="A",WORKDAY(Main[[#This Row],[Tech Start Date]],2),""))))</f>
        <v/>
      </c>
      <c r="N155" s="69" t="str">
        <f>IF(Main[[#This Row],[Tech Start Date]]&lt;1/1/1990,"",IF(Main[[#This Row],[Class]]="C",WORKDAY(Main[[#This Row],[Tech Start Date]],19),IF(Main[[#This Row],[Class]]="B", WORKDAY(Main[[#This Row],[Tech Start Date]],12),IF(Main[[#This Row],[Class]]="A",WORKDAY(Main[[#This Row],[Tech Start Date]],4),""))))</f>
        <v/>
      </c>
      <c r="O155" s="69" t="str">
        <f>IF(Main[[#This Row],[Tech Start Date]]&lt;1/1/1990,"",IF(Main[[#This Row],[Class]]="C",WORKDAY(Main[[#This Row],[Tech Start Date]],23),IF(Main[[#This Row],[Class]]="B", WORKDAY(Main[[#This Row],[Tech Start Date]],15),IF(Main[[#This Row],[Class]]="A",WORKDAY(Main[[#This Row],[Tech Start Date]],5),""))))</f>
        <v/>
      </c>
      <c r="P155" s="69" t="str">
        <f>IF(Main[[#This Row],[Tech Start Date]]&lt;1/1/1990,"",IF(Main[[#This Row],[Class]]="C",WORKDAY(Main[[#This Row],[Tech Start Date]],28),IF(Main[[#This Row],[Class]]="B", WORKDAY(Main[[#This Row],[Tech Start Date]],19),IF(Main[[#This Row],[Class]]="A",WORKDAY(Main[[#This Row],[Tech Start Date]],9),""))))</f>
        <v/>
      </c>
      <c r="Q155" s="67">
        <v>40921</v>
      </c>
      <c r="R155" s="67"/>
      <c r="S155" s="65" t="s">
        <v>6</v>
      </c>
      <c r="T155" s="70" t="s">
        <v>4</v>
      </c>
      <c r="U155" s="65" t="s">
        <v>29</v>
      </c>
      <c r="V155" s="65" t="s">
        <v>1924</v>
      </c>
      <c r="W155" s="65" t="s">
        <v>1918</v>
      </c>
      <c r="X155" s="65" t="s">
        <v>2818</v>
      </c>
      <c r="Y155" s="65" t="s">
        <v>2929</v>
      </c>
      <c r="Z155" s="65" t="s">
        <v>30</v>
      </c>
      <c r="AA155" s="65" t="s">
        <v>2818</v>
      </c>
    </row>
    <row r="156" spans="1:27" ht="17.45" hidden="1" customHeight="1">
      <c r="A156" s="100" t="str">
        <f>IF(priority(Main[[#This Row],[Comments]])&lt;&gt;0, priority(Main[[#This Row],[Comments]]),"")</f>
        <v/>
      </c>
      <c r="B156" s="77" t="s">
        <v>3589</v>
      </c>
      <c r="C156" s="65" t="s">
        <v>4</v>
      </c>
      <c r="D156" s="66" t="s">
        <v>3590</v>
      </c>
      <c r="E156" s="67"/>
      <c r="F156" s="67">
        <v>40982</v>
      </c>
      <c r="G156" s="64" t="str">
        <f>IF(stdProdLT(Main[[#This Row],[Comments]])=0.1,"N/A",IF(stdProdLT(Main[[#This Row],[Comments]])=0,"",stdProdLT(Main[[#This Row],[Comments]])))</f>
        <v/>
      </c>
      <c r="H156" s="68" t="str">
        <f>IF(AND(Main[[#This Row],[In Stock Date]]&lt;&gt;"",Main[[#This Row],[Revised Due Date]]&lt;&gt;""),Main[[#This Row],[In Stock Date]]-Main[[#This Row],[Revised Due Date]],"")</f>
        <v/>
      </c>
      <c r="I156" s="65" t="s">
        <v>4</v>
      </c>
      <c r="J156" s="65" t="s">
        <v>4</v>
      </c>
      <c r="K156" s="71" t="s">
        <v>4</v>
      </c>
      <c r="L156" s="67"/>
      <c r="M156" s="69" t="str">
        <f>IF(Main[[#This Row],[Tech Start Date]]&lt;1/1/1990,"",IF(Main[[#This Row],[Class]]="C",WORKDAY(Main[[#This Row],[Tech Start Date]],9),IF(Main[[#This Row],[Class]]="B", WORKDAY(Main[[#This Row],[Tech Start Date]],6),IF(Main[[#This Row],[Class]]="A",WORKDAY(Main[[#This Row],[Tech Start Date]],2),""))))</f>
        <v/>
      </c>
      <c r="N156" s="69" t="str">
        <f>IF(Main[[#This Row],[Tech Start Date]]&lt;1/1/1990,"",IF(Main[[#This Row],[Class]]="C",WORKDAY(Main[[#This Row],[Tech Start Date]],19),IF(Main[[#This Row],[Class]]="B", WORKDAY(Main[[#This Row],[Tech Start Date]],12),IF(Main[[#This Row],[Class]]="A",WORKDAY(Main[[#This Row],[Tech Start Date]],4),""))))</f>
        <v/>
      </c>
      <c r="O156" s="69" t="str">
        <f>IF(Main[[#This Row],[Tech Start Date]]&lt;1/1/1990,"",IF(Main[[#This Row],[Class]]="C",WORKDAY(Main[[#This Row],[Tech Start Date]],23),IF(Main[[#This Row],[Class]]="B", WORKDAY(Main[[#This Row],[Tech Start Date]],15),IF(Main[[#This Row],[Class]]="A",WORKDAY(Main[[#This Row],[Tech Start Date]],5),""))))</f>
        <v/>
      </c>
      <c r="P156" s="69" t="str">
        <f>IF(Main[[#This Row],[Tech Start Date]]&lt;1/1/1990,"",IF(Main[[#This Row],[Class]]="C",WORKDAY(Main[[#This Row],[Tech Start Date]],28),IF(Main[[#This Row],[Class]]="B", WORKDAY(Main[[#This Row],[Tech Start Date]],19),IF(Main[[#This Row],[Class]]="A",WORKDAY(Main[[#This Row],[Tech Start Date]],9),""))))</f>
        <v/>
      </c>
      <c r="Q156" s="67"/>
      <c r="R156" s="67"/>
      <c r="S156" s="65" t="s">
        <v>11</v>
      </c>
      <c r="T156" s="70" t="s">
        <v>4</v>
      </c>
      <c r="U156" s="65" t="s">
        <v>12</v>
      </c>
      <c r="V156" s="65" t="s">
        <v>1917</v>
      </c>
      <c r="W156" s="65" t="s">
        <v>1919</v>
      </c>
      <c r="X156" s="65" t="s">
        <v>2834</v>
      </c>
      <c r="Y156" s="65" t="s">
        <v>3591</v>
      </c>
      <c r="Z156" s="65" t="s">
        <v>4</v>
      </c>
      <c r="AA156" s="65" t="s">
        <v>2834</v>
      </c>
    </row>
    <row r="157" spans="1:27" ht="17.45" hidden="1" customHeight="1">
      <c r="A157" s="100" t="str">
        <f>IF(priority(Main[[#This Row],[Comments]])&lt;&gt;0, priority(Main[[#This Row],[Comments]]),"")</f>
        <v/>
      </c>
      <c r="B157" s="77" t="s">
        <v>3592</v>
      </c>
      <c r="C157" s="65" t="s">
        <v>4</v>
      </c>
      <c r="D157" s="66" t="s">
        <v>3593</v>
      </c>
      <c r="E157" s="67">
        <v>40954.397581018522</v>
      </c>
      <c r="F157" s="67"/>
      <c r="G157" s="64" t="str">
        <f>IF(stdProdLT(Main[[#This Row],[Comments]])=0.1,"N/A",IF(stdProdLT(Main[[#This Row],[Comments]])=0,"",stdProdLT(Main[[#This Row],[Comments]])))</f>
        <v/>
      </c>
      <c r="H157" s="68" t="str">
        <f>IF(AND(Main[[#This Row],[In Stock Date]]&lt;&gt;"",Main[[#This Row],[Revised Due Date]]&lt;&gt;""),Main[[#This Row],[In Stock Date]]-Main[[#This Row],[Revised Due Date]],"")</f>
        <v/>
      </c>
      <c r="I157" s="65" t="s">
        <v>2044</v>
      </c>
      <c r="J157" s="65" t="s">
        <v>28</v>
      </c>
      <c r="K157" s="65" t="s">
        <v>4</v>
      </c>
      <c r="L157" s="67"/>
      <c r="M157" s="69" t="str">
        <f>IF(Main[[#This Row],[Tech Start Date]]&lt;1/1/1990,"",IF(Main[[#This Row],[Class]]="C",WORKDAY(Main[[#This Row],[Tech Start Date]],9),IF(Main[[#This Row],[Class]]="B", WORKDAY(Main[[#This Row],[Tech Start Date]],6),IF(Main[[#This Row],[Class]]="A",WORKDAY(Main[[#This Row],[Tech Start Date]],2),""))))</f>
        <v/>
      </c>
      <c r="N157" s="69" t="str">
        <f>IF(Main[[#This Row],[Tech Start Date]]&lt;1/1/1990,"",IF(Main[[#This Row],[Class]]="C",WORKDAY(Main[[#This Row],[Tech Start Date]],19),IF(Main[[#This Row],[Class]]="B", WORKDAY(Main[[#This Row],[Tech Start Date]],12),IF(Main[[#This Row],[Class]]="A",WORKDAY(Main[[#This Row],[Tech Start Date]],4),""))))</f>
        <v/>
      </c>
      <c r="O157" s="69" t="str">
        <f>IF(Main[[#This Row],[Tech Start Date]]&lt;1/1/1990,"",IF(Main[[#This Row],[Class]]="C",WORKDAY(Main[[#This Row],[Tech Start Date]],23),IF(Main[[#This Row],[Class]]="B", WORKDAY(Main[[#This Row],[Tech Start Date]],15),IF(Main[[#This Row],[Class]]="A",WORKDAY(Main[[#This Row],[Tech Start Date]],5),""))))</f>
        <v/>
      </c>
      <c r="P157" s="69" t="str">
        <f>IF(Main[[#This Row],[Tech Start Date]]&lt;1/1/1990,"",IF(Main[[#This Row],[Class]]="C",WORKDAY(Main[[#This Row],[Tech Start Date]],28),IF(Main[[#This Row],[Class]]="B", WORKDAY(Main[[#This Row],[Tech Start Date]],19),IF(Main[[#This Row],[Class]]="A",WORKDAY(Main[[#This Row],[Tech Start Date]],9),""))))</f>
        <v/>
      </c>
      <c r="Q157" s="67"/>
      <c r="R157" s="67"/>
      <c r="S157" s="65" t="s">
        <v>6</v>
      </c>
      <c r="T157" s="70" t="s">
        <v>4</v>
      </c>
      <c r="U157" s="65" t="s">
        <v>29</v>
      </c>
      <c r="V157" s="65" t="s">
        <v>1924</v>
      </c>
      <c r="W157" s="65" t="s">
        <v>1918</v>
      </c>
      <c r="X157" s="65" t="s">
        <v>2044</v>
      </c>
      <c r="Y157" s="65" t="s">
        <v>3156</v>
      </c>
      <c r="Z157" s="65" t="s">
        <v>530</v>
      </c>
      <c r="AA157" s="65" t="s">
        <v>2044</v>
      </c>
    </row>
    <row r="158" spans="1:27" ht="17.45" hidden="1" customHeight="1">
      <c r="A158" s="100" t="str">
        <f>IF(priority(Main[[#This Row],[Comments]])&lt;&gt;0, priority(Main[[#This Row],[Comments]]),"")</f>
        <v/>
      </c>
      <c r="B158" s="77" t="s">
        <v>1125</v>
      </c>
      <c r="C158" s="65" t="s">
        <v>4</v>
      </c>
      <c r="D158" s="66" t="s">
        <v>176</v>
      </c>
      <c r="E158" s="67">
        <v>40655.521435185183</v>
      </c>
      <c r="F158" s="67"/>
      <c r="G158" s="64" t="str">
        <f>IF(stdProdLT(Main[[#This Row],[Comments]])=0.1,"N/A",IF(stdProdLT(Main[[#This Row],[Comments]])=0,"",stdProdLT(Main[[#This Row],[Comments]])))</f>
        <v/>
      </c>
      <c r="H158" s="68" t="str">
        <f>IF(AND(Main[[#This Row],[In Stock Date]]&lt;&gt;"",Main[[#This Row],[Revised Due Date]]&lt;&gt;""),Main[[#This Row],[In Stock Date]]-Main[[#This Row],[Revised Due Date]],"")</f>
        <v/>
      </c>
      <c r="I158" s="65" t="s">
        <v>4</v>
      </c>
      <c r="J158" s="65" t="s">
        <v>4</v>
      </c>
      <c r="K158" s="65" t="s">
        <v>4</v>
      </c>
      <c r="L158" s="67"/>
      <c r="M158" s="69" t="str">
        <f>IF(Main[[#This Row],[Tech Start Date]]&lt;1/1/1990,"",IF(Main[[#This Row],[Class]]="C",WORKDAY(Main[[#This Row],[Tech Start Date]],9),IF(Main[[#This Row],[Class]]="B", WORKDAY(Main[[#This Row],[Tech Start Date]],6),IF(Main[[#This Row],[Class]]="A",WORKDAY(Main[[#This Row],[Tech Start Date]],2),""))))</f>
        <v/>
      </c>
      <c r="N158" s="69" t="str">
        <f>IF(Main[[#This Row],[Tech Start Date]]&lt;1/1/1990,"",IF(Main[[#This Row],[Class]]="C",WORKDAY(Main[[#This Row],[Tech Start Date]],19),IF(Main[[#This Row],[Class]]="B", WORKDAY(Main[[#This Row],[Tech Start Date]],12),IF(Main[[#This Row],[Class]]="A",WORKDAY(Main[[#This Row],[Tech Start Date]],4),""))))</f>
        <v/>
      </c>
      <c r="O158" s="69" t="str">
        <f>IF(Main[[#This Row],[Tech Start Date]]&lt;1/1/1990,"",IF(Main[[#This Row],[Class]]="C",WORKDAY(Main[[#This Row],[Tech Start Date]],23),IF(Main[[#This Row],[Class]]="B", WORKDAY(Main[[#This Row],[Tech Start Date]],15),IF(Main[[#This Row],[Class]]="A",WORKDAY(Main[[#This Row],[Tech Start Date]],5),""))))</f>
        <v/>
      </c>
      <c r="P158" s="69" t="str">
        <f>IF(Main[[#This Row],[Tech Start Date]]&lt;1/1/1990,"",IF(Main[[#This Row],[Class]]="C",WORKDAY(Main[[#This Row],[Tech Start Date]],28),IF(Main[[#This Row],[Class]]="B", WORKDAY(Main[[#This Row],[Tech Start Date]],19),IF(Main[[#This Row],[Class]]="A",WORKDAY(Main[[#This Row],[Tech Start Date]],9),""))))</f>
        <v/>
      </c>
      <c r="Q158" s="67">
        <v>40655</v>
      </c>
      <c r="R158" s="67"/>
      <c r="S158" s="65" t="s">
        <v>6</v>
      </c>
      <c r="T158" s="70" t="s">
        <v>4</v>
      </c>
      <c r="U158" s="65" t="s">
        <v>7</v>
      </c>
      <c r="V158" s="65" t="s">
        <v>1914</v>
      </c>
      <c r="W158" s="65" t="s">
        <v>1916</v>
      </c>
      <c r="X158" s="65" t="s">
        <v>126</v>
      </c>
      <c r="Y158" s="65" t="s">
        <v>3033</v>
      </c>
      <c r="Z158" s="65" t="s">
        <v>4</v>
      </c>
      <c r="AA158" s="65" t="s">
        <v>126</v>
      </c>
    </row>
    <row r="159" spans="1:27" ht="17.45" hidden="1" customHeight="1">
      <c r="A159" s="100" t="str">
        <f>IF(priority(Main[[#This Row],[Comments]])&lt;&gt;0, priority(Main[[#This Row],[Comments]]),"")</f>
        <v/>
      </c>
      <c r="B159" s="77" t="s">
        <v>1126</v>
      </c>
      <c r="C159" s="65" t="s">
        <v>4</v>
      </c>
      <c r="D159" s="66" t="s">
        <v>177</v>
      </c>
      <c r="E159" s="67"/>
      <c r="F159" s="67">
        <v>40598</v>
      </c>
      <c r="G159" s="64" t="str">
        <f>IF(stdProdLT(Main[[#This Row],[Comments]])=0.1,"N/A",IF(stdProdLT(Main[[#This Row],[Comments]])=0,"",stdProdLT(Main[[#This Row],[Comments]])))</f>
        <v/>
      </c>
      <c r="H159" s="68" t="str">
        <f>IF(AND(Main[[#This Row],[In Stock Date]]&lt;&gt;"",Main[[#This Row],[Revised Due Date]]&lt;&gt;""),Main[[#This Row],[In Stock Date]]-Main[[#This Row],[Revised Due Date]],"")</f>
        <v/>
      </c>
      <c r="I159" s="65" t="s">
        <v>4</v>
      </c>
      <c r="J159" s="65" t="s">
        <v>4</v>
      </c>
      <c r="K159" s="65" t="s">
        <v>4</v>
      </c>
      <c r="L159" s="67"/>
      <c r="M159" s="69" t="str">
        <f>IF(Main[[#This Row],[Tech Start Date]]&lt;1/1/1990,"",IF(Main[[#This Row],[Class]]="C",WORKDAY(Main[[#This Row],[Tech Start Date]],9),IF(Main[[#This Row],[Class]]="B", WORKDAY(Main[[#This Row],[Tech Start Date]],6),IF(Main[[#This Row],[Class]]="A",WORKDAY(Main[[#This Row],[Tech Start Date]],2),""))))</f>
        <v/>
      </c>
      <c r="N159" s="69" t="str">
        <f>IF(Main[[#This Row],[Tech Start Date]]&lt;1/1/1990,"",IF(Main[[#This Row],[Class]]="C",WORKDAY(Main[[#This Row],[Tech Start Date]],19),IF(Main[[#This Row],[Class]]="B", WORKDAY(Main[[#This Row],[Tech Start Date]],12),IF(Main[[#This Row],[Class]]="A",WORKDAY(Main[[#This Row],[Tech Start Date]],4),""))))</f>
        <v/>
      </c>
      <c r="O159" s="69" t="str">
        <f>IF(Main[[#This Row],[Tech Start Date]]&lt;1/1/1990,"",IF(Main[[#This Row],[Class]]="C",WORKDAY(Main[[#This Row],[Tech Start Date]],23),IF(Main[[#This Row],[Class]]="B", WORKDAY(Main[[#This Row],[Tech Start Date]],15),IF(Main[[#This Row],[Class]]="A",WORKDAY(Main[[#This Row],[Tech Start Date]],5),""))))</f>
        <v/>
      </c>
      <c r="P159" s="69" t="str">
        <f>IF(Main[[#This Row],[Tech Start Date]]&lt;1/1/1990,"",IF(Main[[#This Row],[Class]]="C",WORKDAY(Main[[#This Row],[Tech Start Date]],28),IF(Main[[#This Row],[Class]]="B", WORKDAY(Main[[#This Row],[Tech Start Date]],19),IF(Main[[#This Row],[Class]]="A",WORKDAY(Main[[#This Row],[Tech Start Date]],9),""))))</f>
        <v/>
      </c>
      <c r="Q159" s="67">
        <v>40598</v>
      </c>
      <c r="R159" s="67"/>
      <c r="S159" s="65" t="s">
        <v>11</v>
      </c>
      <c r="T159" s="70" t="s">
        <v>4</v>
      </c>
      <c r="U159" s="65" t="s">
        <v>14</v>
      </c>
      <c r="V159" s="65" t="s">
        <v>1924</v>
      </c>
      <c r="W159" s="65" t="s">
        <v>1920</v>
      </c>
      <c r="X159" s="65" t="s">
        <v>2848</v>
      </c>
      <c r="Y159" s="65" t="s">
        <v>2979</v>
      </c>
      <c r="Z159" s="65" t="s">
        <v>4</v>
      </c>
      <c r="AA159" s="65" t="s">
        <v>2848</v>
      </c>
    </row>
    <row r="160" spans="1:27" ht="17.45" hidden="1" customHeight="1">
      <c r="A160" s="100" t="str">
        <f>IF(priority(Main[[#This Row],[Comments]])&lt;&gt;0, priority(Main[[#This Row],[Comments]]),"")</f>
        <v/>
      </c>
      <c r="B160" s="77" t="s">
        <v>2704</v>
      </c>
      <c r="C160" s="65" t="s">
        <v>4</v>
      </c>
      <c r="D160" s="66" t="s">
        <v>2705</v>
      </c>
      <c r="E160" s="67">
        <v>40896.649571759262</v>
      </c>
      <c r="F160" s="67"/>
      <c r="G160" s="64" t="str">
        <f>IF(stdProdLT(Main[[#This Row],[Comments]])=0.1,"N/A",IF(stdProdLT(Main[[#This Row],[Comments]])=0,"",stdProdLT(Main[[#This Row],[Comments]])))</f>
        <v/>
      </c>
      <c r="H160" s="68" t="str">
        <f>IF(AND(Main[[#This Row],[In Stock Date]]&lt;&gt;"",Main[[#This Row],[Revised Due Date]]&lt;&gt;""),Main[[#This Row],[In Stock Date]]-Main[[#This Row],[Revised Due Date]],"")</f>
        <v/>
      </c>
      <c r="I160" s="65" t="s">
        <v>530</v>
      </c>
      <c r="J160" s="65" t="s">
        <v>28</v>
      </c>
      <c r="K160" s="65" t="s">
        <v>1923</v>
      </c>
      <c r="L160" s="67"/>
      <c r="M160" s="69" t="str">
        <f>IF(Main[[#This Row],[Tech Start Date]]&lt;1/1/1990,"",IF(Main[[#This Row],[Class]]="C",WORKDAY(Main[[#This Row],[Tech Start Date]],9),IF(Main[[#This Row],[Class]]="B", WORKDAY(Main[[#This Row],[Tech Start Date]],6),IF(Main[[#This Row],[Class]]="A",WORKDAY(Main[[#This Row],[Tech Start Date]],2),""))))</f>
        <v/>
      </c>
      <c r="N160" s="69" t="str">
        <f>IF(Main[[#This Row],[Tech Start Date]]&lt;1/1/1990,"",IF(Main[[#This Row],[Class]]="C",WORKDAY(Main[[#This Row],[Tech Start Date]],19),IF(Main[[#This Row],[Class]]="B", WORKDAY(Main[[#This Row],[Tech Start Date]],12),IF(Main[[#This Row],[Class]]="A",WORKDAY(Main[[#This Row],[Tech Start Date]],4),""))))</f>
        <v/>
      </c>
      <c r="O160" s="69" t="str">
        <f>IF(Main[[#This Row],[Tech Start Date]]&lt;1/1/1990,"",IF(Main[[#This Row],[Class]]="C",WORKDAY(Main[[#This Row],[Tech Start Date]],23),IF(Main[[#This Row],[Class]]="B", WORKDAY(Main[[#This Row],[Tech Start Date]],15),IF(Main[[#This Row],[Class]]="A",WORKDAY(Main[[#This Row],[Tech Start Date]],5),""))))</f>
        <v/>
      </c>
      <c r="P160" s="69" t="str">
        <f>IF(Main[[#This Row],[Tech Start Date]]&lt;1/1/1990,"",IF(Main[[#This Row],[Class]]="C",WORKDAY(Main[[#This Row],[Tech Start Date]],28),IF(Main[[#This Row],[Class]]="B", WORKDAY(Main[[#This Row],[Tech Start Date]],19),IF(Main[[#This Row],[Class]]="A",WORKDAY(Main[[#This Row],[Tech Start Date]],9),""))))</f>
        <v/>
      </c>
      <c r="Q160" s="67">
        <v>40939</v>
      </c>
      <c r="R160" s="67"/>
      <c r="S160" s="65" t="s">
        <v>6</v>
      </c>
      <c r="T160" s="70" t="s">
        <v>4</v>
      </c>
      <c r="U160" s="65" t="s">
        <v>29</v>
      </c>
      <c r="V160" s="65" t="s">
        <v>1917</v>
      </c>
      <c r="W160" s="65" t="s">
        <v>1922</v>
      </c>
      <c r="X160" s="65" t="s">
        <v>883</v>
      </c>
      <c r="Y160" s="65" t="s">
        <v>2963</v>
      </c>
      <c r="Z160" s="65" t="s">
        <v>30</v>
      </c>
      <c r="AA160" s="65" t="s">
        <v>883</v>
      </c>
    </row>
    <row r="161" spans="1:27" ht="17.45" hidden="1" customHeight="1">
      <c r="A161" s="100" t="str">
        <f>IF(priority(Main[[#This Row],[Comments]])&lt;&gt;0, priority(Main[[#This Row],[Comments]]),"")</f>
        <v/>
      </c>
      <c r="B161" s="77" t="s">
        <v>2344</v>
      </c>
      <c r="C161" s="65" t="s">
        <v>2345</v>
      </c>
      <c r="D161" s="66" t="s">
        <v>2346</v>
      </c>
      <c r="E161" s="67"/>
      <c r="F161" s="67"/>
      <c r="G161" s="64" t="str">
        <f>IF(stdProdLT(Main[[#This Row],[Comments]])=0.1,"N/A",IF(stdProdLT(Main[[#This Row],[Comments]])=0,"",stdProdLT(Main[[#This Row],[Comments]])))</f>
        <v/>
      </c>
      <c r="H161" s="68" t="str">
        <f>IF(AND(Main[[#This Row],[In Stock Date]]&lt;&gt;"",Main[[#This Row],[Revised Due Date]]&lt;&gt;""),Main[[#This Row],[In Stock Date]]-Main[[#This Row],[Revised Due Date]],"")</f>
        <v/>
      </c>
      <c r="I161" s="65" t="s">
        <v>4</v>
      </c>
      <c r="J161" s="65" t="s">
        <v>4</v>
      </c>
      <c r="K161" s="65" t="s">
        <v>4</v>
      </c>
      <c r="L161" s="67"/>
      <c r="M161" s="69" t="str">
        <f>IF(Main[[#This Row],[Tech Start Date]]&lt;1/1/1990,"",IF(Main[[#This Row],[Class]]="C",WORKDAY(Main[[#This Row],[Tech Start Date]],9),IF(Main[[#This Row],[Class]]="B", WORKDAY(Main[[#This Row],[Tech Start Date]],6),IF(Main[[#This Row],[Class]]="A",WORKDAY(Main[[#This Row],[Tech Start Date]],2),""))))</f>
        <v/>
      </c>
      <c r="N161" s="69" t="str">
        <f>IF(Main[[#This Row],[Tech Start Date]]&lt;1/1/1990,"",IF(Main[[#This Row],[Class]]="C",WORKDAY(Main[[#This Row],[Tech Start Date]],19),IF(Main[[#This Row],[Class]]="B", WORKDAY(Main[[#This Row],[Tech Start Date]],12),IF(Main[[#This Row],[Class]]="A",WORKDAY(Main[[#This Row],[Tech Start Date]],4),""))))</f>
        <v/>
      </c>
      <c r="O161" s="69" t="str">
        <f>IF(Main[[#This Row],[Tech Start Date]]&lt;1/1/1990,"",IF(Main[[#This Row],[Class]]="C",WORKDAY(Main[[#This Row],[Tech Start Date]],23),IF(Main[[#This Row],[Class]]="B", WORKDAY(Main[[#This Row],[Tech Start Date]],15),IF(Main[[#This Row],[Class]]="A",WORKDAY(Main[[#This Row],[Tech Start Date]],5),""))))</f>
        <v/>
      </c>
      <c r="P161" s="69" t="str">
        <f>IF(Main[[#This Row],[Tech Start Date]]&lt;1/1/1990,"",IF(Main[[#This Row],[Class]]="C",WORKDAY(Main[[#This Row],[Tech Start Date]],28),IF(Main[[#This Row],[Class]]="B", WORKDAY(Main[[#This Row],[Tech Start Date]],19),IF(Main[[#This Row],[Class]]="A",WORKDAY(Main[[#This Row],[Tech Start Date]],9),""))))</f>
        <v/>
      </c>
      <c r="Q161" s="67">
        <v>40840</v>
      </c>
      <c r="R161" s="67"/>
      <c r="S161" s="65" t="s">
        <v>11</v>
      </c>
      <c r="T161" s="70" t="s">
        <v>4</v>
      </c>
      <c r="U161" s="65" t="s">
        <v>12</v>
      </c>
      <c r="V161" s="65" t="s">
        <v>1914</v>
      </c>
      <c r="W161" s="65" t="s">
        <v>1916</v>
      </c>
      <c r="X161" s="65" t="s">
        <v>2855</v>
      </c>
      <c r="Y161" s="65" t="s">
        <v>4</v>
      </c>
      <c r="Z161" s="65" t="s">
        <v>4</v>
      </c>
      <c r="AA161" s="65" t="s">
        <v>2855</v>
      </c>
    </row>
    <row r="162" spans="1:27" ht="17.45" hidden="1" customHeight="1">
      <c r="A162" s="100" t="str">
        <f>IF(priority(Main[[#This Row],[Comments]])&lt;&gt;0, priority(Main[[#This Row],[Comments]]),"")</f>
        <v/>
      </c>
      <c r="B162" s="77" t="s">
        <v>1127</v>
      </c>
      <c r="C162" s="65" t="s">
        <v>4</v>
      </c>
      <c r="D162" s="66" t="s">
        <v>178</v>
      </c>
      <c r="E162" s="67">
        <v>40688.403611111113</v>
      </c>
      <c r="F162" s="67"/>
      <c r="G162" s="64" t="str">
        <f>IF(stdProdLT(Main[[#This Row],[Comments]])=0.1,"N/A",IF(stdProdLT(Main[[#This Row],[Comments]])=0,"",stdProdLT(Main[[#This Row],[Comments]])))</f>
        <v/>
      </c>
      <c r="H162" s="68" t="str">
        <f>IF(AND(Main[[#This Row],[In Stock Date]]&lt;&gt;"",Main[[#This Row],[Revised Due Date]]&lt;&gt;""),Main[[#This Row],[In Stock Date]]-Main[[#This Row],[Revised Due Date]],"")</f>
        <v/>
      </c>
      <c r="I162" s="65" t="s">
        <v>4</v>
      </c>
      <c r="J162" s="65" t="s">
        <v>4</v>
      </c>
      <c r="K162" s="71" t="s">
        <v>4</v>
      </c>
      <c r="L162" s="67"/>
      <c r="M162" s="69" t="str">
        <f>IF(Main[[#This Row],[Tech Start Date]]&lt;1/1/1990,"",IF(Main[[#This Row],[Class]]="C",WORKDAY(Main[[#This Row],[Tech Start Date]],9),IF(Main[[#This Row],[Class]]="B", WORKDAY(Main[[#This Row],[Tech Start Date]],6),IF(Main[[#This Row],[Class]]="A",WORKDAY(Main[[#This Row],[Tech Start Date]],2),""))))</f>
        <v/>
      </c>
      <c r="N162" s="69" t="str">
        <f>IF(Main[[#This Row],[Tech Start Date]]&lt;1/1/1990,"",IF(Main[[#This Row],[Class]]="C",WORKDAY(Main[[#This Row],[Tech Start Date]],19),IF(Main[[#This Row],[Class]]="B", WORKDAY(Main[[#This Row],[Tech Start Date]],12),IF(Main[[#This Row],[Class]]="A",WORKDAY(Main[[#This Row],[Tech Start Date]],4),""))))</f>
        <v/>
      </c>
      <c r="O162" s="69" t="str">
        <f>IF(Main[[#This Row],[Tech Start Date]]&lt;1/1/1990,"",IF(Main[[#This Row],[Class]]="C",WORKDAY(Main[[#This Row],[Tech Start Date]],23),IF(Main[[#This Row],[Class]]="B", WORKDAY(Main[[#This Row],[Tech Start Date]],15),IF(Main[[#This Row],[Class]]="A",WORKDAY(Main[[#This Row],[Tech Start Date]],5),""))))</f>
        <v/>
      </c>
      <c r="P162" s="69" t="str">
        <f>IF(Main[[#This Row],[Tech Start Date]]&lt;1/1/1990,"",IF(Main[[#This Row],[Class]]="C",WORKDAY(Main[[#This Row],[Tech Start Date]],28),IF(Main[[#This Row],[Class]]="B", WORKDAY(Main[[#This Row],[Tech Start Date]],19),IF(Main[[#This Row],[Class]]="A",WORKDAY(Main[[#This Row],[Tech Start Date]],9),""))))</f>
        <v/>
      </c>
      <c r="Q162" s="67">
        <v>40725</v>
      </c>
      <c r="R162" s="67"/>
      <c r="S162" s="65" t="s">
        <v>6</v>
      </c>
      <c r="T162" s="70" t="s">
        <v>4</v>
      </c>
      <c r="U162" s="65" t="s">
        <v>7</v>
      </c>
      <c r="V162" s="65" t="s">
        <v>1914</v>
      </c>
      <c r="W162" s="65" t="s">
        <v>4</v>
      </c>
      <c r="X162" s="65" t="s">
        <v>2818</v>
      </c>
      <c r="Y162" s="65" t="s">
        <v>2929</v>
      </c>
      <c r="Z162" s="65" t="s">
        <v>4</v>
      </c>
      <c r="AA162" s="65" t="s">
        <v>2818</v>
      </c>
    </row>
    <row r="163" spans="1:27" ht="17.45" hidden="1" customHeight="1">
      <c r="A163" s="100" t="str">
        <f>IF(priority(Main[[#This Row],[Comments]])&lt;&gt;0, priority(Main[[#This Row],[Comments]]),"")</f>
        <v/>
      </c>
      <c r="B163" s="77" t="s">
        <v>1128</v>
      </c>
      <c r="C163" s="65" t="s">
        <v>4</v>
      </c>
      <c r="D163" s="66" t="s">
        <v>179</v>
      </c>
      <c r="E163" s="67">
        <v>40644.277719907404</v>
      </c>
      <c r="F163" s="67"/>
      <c r="G163" s="64" t="str">
        <f>IF(stdProdLT(Main[[#This Row],[Comments]])=0.1,"N/A",IF(stdProdLT(Main[[#This Row],[Comments]])=0,"",stdProdLT(Main[[#This Row],[Comments]])))</f>
        <v/>
      </c>
      <c r="H163" s="68" t="str">
        <f>IF(AND(Main[[#This Row],[In Stock Date]]&lt;&gt;"",Main[[#This Row],[Revised Due Date]]&lt;&gt;""),Main[[#This Row],[In Stock Date]]-Main[[#This Row],[Revised Due Date]],"")</f>
        <v/>
      </c>
      <c r="I163" s="65" t="s">
        <v>4</v>
      </c>
      <c r="J163" s="65" t="s">
        <v>4</v>
      </c>
      <c r="K163" s="65" t="s">
        <v>4</v>
      </c>
      <c r="L163" s="67"/>
      <c r="M163" s="69" t="str">
        <f>IF(Main[[#This Row],[Tech Start Date]]&lt;1/1/1990,"",IF(Main[[#This Row],[Class]]="C",WORKDAY(Main[[#This Row],[Tech Start Date]],9),IF(Main[[#This Row],[Class]]="B", WORKDAY(Main[[#This Row],[Tech Start Date]],6),IF(Main[[#This Row],[Class]]="A",WORKDAY(Main[[#This Row],[Tech Start Date]],2),""))))</f>
        <v/>
      </c>
      <c r="N163" s="69" t="str">
        <f>IF(Main[[#This Row],[Tech Start Date]]&lt;1/1/1990,"",IF(Main[[#This Row],[Class]]="C",WORKDAY(Main[[#This Row],[Tech Start Date]],19),IF(Main[[#This Row],[Class]]="B", WORKDAY(Main[[#This Row],[Tech Start Date]],12),IF(Main[[#This Row],[Class]]="A",WORKDAY(Main[[#This Row],[Tech Start Date]],4),""))))</f>
        <v/>
      </c>
      <c r="O163" s="69" t="str">
        <f>IF(Main[[#This Row],[Tech Start Date]]&lt;1/1/1990,"",IF(Main[[#This Row],[Class]]="C",WORKDAY(Main[[#This Row],[Tech Start Date]],23),IF(Main[[#This Row],[Class]]="B", WORKDAY(Main[[#This Row],[Tech Start Date]],15),IF(Main[[#This Row],[Class]]="A",WORKDAY(Main[[#This Row],[Tech Start Date]],5),""))))</f>
        <v/>
      </c>
      <c r="P163" s="69" t="str">
        <f>IF(Main[[#This Row],[Tech Start Date]]&lt;1/1/1990,"",IF(Main[[#This Row],[Class]]="C",WORKDAY(Main[[#This Row],[Tech Start Date]],28),IF(Main[[#This Row],[Class]]="B", WORKDAY(Main[[#This Row],[Tech Start Date]],19),IF(Main[[#This Row],[Class]]="A",WORKDAY(Main[[#This Row],[Tech Start Date]],9),""))))</f>
        <v/>
      </c>
      <c r="Q163" s="67">
        <v>40673</v>
      </c>
      <c r="R163" s="67"/>
      <c r="S163" s="65" t="s">
        <v>6</v>
      </c>
      <c r="T163" s="70" t="s">
        <v>4</v>
      </c>
      <c r="U163" s="65" t="s">
        <v>7</v>
      </c>
      <c r="V163" s="65" t="s">
        <v>1914</v>
      </c>
      <c r="W163" s="65" t="s">
        <v>1922</v>
      </c>
      <c r="X163" s="65" t="s">
        <v>2821</v>
      </c>
      <c r="Y163" s="65" t="s">
        <v>2936</v>
      </c>
      <c r="Z163" s="65" t="s">
        <v>4</v>
      </c>
      <c r="AA163" s="65" t="s">
        <v>2821</v>
      </c>
    </row>
    <row r="164" spans="1:27" ht="17.45" hidden="1" customHeight="1">
      <c r="A164" s="100" t="str">
        <f>IF(priority(Main[[#This Row],[Comments]])&lt;&gt;0, priority(Main[[#This Row],[Comments]]),"")</f>
        <v/>
      </c>
      <c r="B164" s="77" t="s">
        <v>1130</v>
      </c>
      <c r="C164" s="65" t="s">
        <v>180</v>
      </c>
      <c r="D164" s="66" t="s">
        <v>181</v>
      </c>
      <c r="E164" s="67"/>
      <c r="F164" s="67">
        <v>40536</v>
      </c>
      <c r="G164" s="64" t="str">
        <f>IF(stdProdLT(Main[[#This Row],[Comments]])=0.1,"N/A",IF(stdProdLT(Main[[#This Row],[Comments]])=0,"",stdProdLT(Main[[#This Row],[Comments]])))</f>
        <v/>
      </c>
      <c r="H164" s="68" t="str">
        <f>IF(AND(Main[[#This Row],[In Stock Date]]&lt;&gt;"",Main[[#This Row],[Revised Due Date]]&lt;&gt;""),Main[[#This Row],[In Stock Date]]-Main[[#This Row],[Revised Due Date]],"")</f>
        <v/>
      </c>
      <c r="I164" s="65" t="s">
        <v>4</v>
      </c>
      <c r="J164" s="65" t="s">
        <v>28</v>
      </c>
      <c r="K164" s="65" t="s">
        <v>1923</v>
      </c>
      <c r="L164" s="67"/>
      <c r="M164" s="69" t="str">
        <f>IF(Main[[#This Row],[Tech Start Date]]&lt;1/1/1990,"",IF(Main[[#This Row],[Class]]="C",WORKDAY(Main[[#This Row],[Tech Start Date]],9),IF(Main[[#This Row],[Class]]="B", WORKDAY(Main[[#This Row],[Tech Start Date]],6),IF(Main[[#This Row],[Class]]="A",WORKDAY(Main[[#This Row],[Tech Start Date]],2),""))))</f>
        <v/>
      </c>
      <c r="N164" s="69" t="str">
        <f>IF(Main[[#This Row],[Tech Start Date]]&lt;1/1/1990,"",IF(Main[[#This Row],[Class]]="C",WORKDAY(Main[[#This Row],[Tech Start Date]],19),IF(Main[[#This Row],[Class]]="B", WORKDAY(Main[[#This Row],[Tech Start Date]],12),IF(Main[[#This Row],[Class]]="A",WORKDAY(Main[[#This Row],[Tech Start Date]],4),""))))</f>
        <v/>
      </c>
      <c r="O164" s="69" t="str">
        <f>IF(Main[[#This Row],[Tech Start Date]]&lt;1/1/1990,"",IF(Main[[#This Row],[Class]]="C",WORKDAY(Main[[#This Row],[Tech Start Date]],23),IF(Main[[#This Row],[Class]]="B", WORKDAY(Main[[#This Row],[Tech Start Date]],15),IF(Main[[#This Row],[Class]]="A",WORKDAY(Main[[#This Row],[Tech Start Date]],5),""))))</f>
        <v/>
      </c>
      <c r="P164" s="69" t="str">
        <f>IF(Main[[#This Row],[Tech Start Date]]&lt;1/1/1990,"",IF(Main[[#This Row],[Class]]="C",WORKDAY(Main[[#This Row],[Tech Start Date]],28),IF(Main[[#This Row],[Class]]="B", WORKDAY(Main[[#This Row],[Tech Start Date]],19),IF(Main[[#This Row],[Class]]="A",WORKDAY(Main[[#This Row],[Tech Start Date]],9),""))))</f>
        <v/>
      </c>
      <c r="Q164" s="67">
        <v>40466</v>
      </c>
      <c r="R164" s="67"/>
      <c r="S164" s="65" t="s">
        <v>11</v>
      </c>
      <c r="T164" s="70" t="s">
        <v>4</v>
      </c>
      <c r="U164" s="65" t="s">
        <v>14</v>
      </c>
      <c r="V164" s="65" t="s">
        <v>1917</v>
      </c>
      <c r="W164" s="65" t="s">
        <v>1920</v>
      </c>
      <c r="X164" s="65" t="s">
        <v>2824</v>
      </c>
      <c r="Y164" s="65" t="s">
        <v>2943</v>
      </c>
      <c r="Z164" s="65" t="s">
        <v>530</v>
      </c>
      <c r="AA164" s="65" t="s">
        <v>2824</v>
      </c>
    </row>
    <row r="165" spans="1:27" ht="17.45" hidden="1" customHeight="1">
      <c r="A165" s="100" t="str">
        <f>IF(priority(Main[[#This Row],[Comments]])&lt;&gt;0, priority(Main[[#This Row],[Comments]]),"")</f>
        <v/>
      </c>
      <c r="B165" s="77" t="s">
        <v>1131</v>
      </c>
      <c r="C165" s="65" t="s">
        <v>182</v>
      </c>
      <c r="D165" s="66" t="s">
        <v>183</v>
      </c>
      <c r="E165" s="67"/>
      <c r="F165" s="67">
        <v>40571</v>
      </c>
      <c r="G165" s="64" t="str">
        <f>IF(stdProdLT(Main[[#This Row],[Comments]])=0.1,"N/A",IF(stdProdLT(Main[[#This Row],[Comments]])=0,"",stdProdLT(Main[[#This Row],[Comments]])))</f>
        <v/>
      </c>
      <c r="H165" s="68" t="str">
        <f>IF(AND(Main[[#This Row],[In Stock Date]]&lt;&gt;"",Main[[#This Row],[Revised Due Date]]&lt;&gt;""),Main[[#This Row],[In Stock Date]]-Main[[#This Row],[Revised Due Date]],"")</f>
        <v/>
      </c>
      <c r="I165" s="65" t="s">
        <v>4</v>
      </c>
      <c r="J165" s="65" t="s">
        <v>28</v>
      </c>
      <c r="K165" s="65" t="s">
        <v>4</v>
      </c>
      <c r="L165" s="67"/>
      <c r="M165" s="69" t="str">
        <f>IF(Main[[#This Row],[Tech Start Date]]&lt;1/1/1990,"",IF(Main[[#This Row],[Class]]="C",WORKDAY(Main[[#This Row],[Tech Start Date]],9),IF(Main[[#This Row],[Class]]="B", WORKDAY(Main[[#This Row],[Tech Start Date]],6),IF(Main[[#This Row],[Class]]="A",WORKDAY(Main[[#This Row],[Tech Start Date]],2),""))))</f>
        <v/>
      </c>
      <c r="N165" s="69" t="str">
        <f>IF(Main[[#This Row],[Tech Start Date]]&lt;1/1/1990,"",IF(Main[[#This Row],[Class]]="C",WORKDAY(Main[[#This Row],[Tech Start Date]],19),IF(Main[[#This Row],[Class]]="B", WORKDAY(Main[[#This Row],[Tech Start Date]],12),IF(Main[[#This Row],[Class]]="A",WORKDAY(Main[[#This Row],[Tech Start Date]],4),""))))</f>
        <v/>
      </c>
      <c r="O165" s="69" t="str">
        <f>IF(Main[[#This Row],[Tech Start Date]]&lt;1/1/1990,"",IF(Main[[#This Row],[Class]]="C",WORKDAY(Main[[#This Row],[Tech Start Date]],23),IF(Main[[#This Row],[Class]]="B", WORKDAY(Main[[#This Row],[Tech Start Date]],15),IF(Main[[#This Row],[Class]]="A",WORKDAY(Main[[#This Row],[Tech Start Date]],5),""))))</f>
        <v/>
      </c>
      <c r="P165" s="69" t="str">
        <f>IF(Main[[#This Row],[Tech Start Date]]&lt;1/1/1990,"",IF(Main[[#This Row],[Class]]="C",WORKDAY(Main[[#This Row],[Tech Start Date]],28),IF(Main[[#This Row],[Class]]="B", WORKDAY(Main[[#This Row],[Tech Start Date]],19),IF(Main[[#This Row],[Class]]="A",WORKDAY(Main[[#This Row],[Tech Start Date]],9),""))))</f>
        <v/>
      </c>
      <c r="Q165" s="67"/>
      <c r="R165" s="67"/>
      <c r="S165" s="65" t="s">
        <v>11</v>
      </c>
      <c r="T165" s="70" t="s">
        <v>4</v>
      </c>
      <c r="U165" s="65" t="s">
        <v>14</v>
      </c>
      <c r="V165" s="65" t="s">
        <v>1914</v>
      </c>
      <c r="W165" s="65" t="s">
        <v>1920</v>
      </c>
      <c r="X165" s="65" t="s">
        <v>50</v>
      </c>
      <c r="Y165" s="65" t="s">
        <v>2999</v>
      </c>
      <c r="Z165" s="65" t="s">
        <v>129</v>
      </c>
      <c r="AA165" s="65" t="s">
        <v>3396</v>
      </c>
    </row>
    <row r="166" spans="1:27" ht="17.45" hidden="1" customHeight="1">
      <c r="A166" s="100" t="str">
        <f>IF(priority(Main[[#This Row],[Comments]])&lt;&gt;0, priority(Main[[#This Row],[Comments]]),"")</f>
        <v/>
      </c>
      <c r="B166" s="77" t="s">
        <v>1132</v>
      </c>
      <c r="C166" s="65" t="s">
        <v>184</v>
      </c>
      <c r="D166" s="66" t="s">
        <v>185</v>
      </c>
      <c r="E166" s="67"/>
      <c r="F166" s="67"/>
      <c r="G166" s="64" t="str">
        <f>IF(stdProdLT(Main[[#This Row],[Comments]])=0.1,"N/A",IF(stdProdLT(Main[[#This Row],[Comments]])=0,"",stdProdLT(Main[[#This Row],[Comments]])))</f>
        <v/>
      </c>
      <c r="H166" s="68" t="str">
        <f>IF(AND(Main[[#This Row],[In Stock Date]]&lt;&gt;"",Main[[#This Row],[Revised Due Date]]&lt;&gt;""),Main[[#This Row],[In Stock Date]]-Main[[#This Row],[Revised Due Date]],"")</f>
        <v/>
      </c>
      <c r="I166" s="65" t="s">
        <v>4</v>
      </c>
      <c r="J166" s="65" t="s">
        <v>4</v>
      </c>
      <c r="K166" s="65" t="s">
        <v>4</v>
      </c>
      <c r="L166" s="67"/>
      <c r="M166" s="69" t="str">
        <f>IF(Main[[#This Row],[Tech Start Date]]&lt;1/1/1990,"",IF(Main[[#This Row],[Class]]="C",WORKDAY(Main[[#This Row],[Tech Start Date]],9),IF(Main[[#This Row],[Class]]="B", WORKDAY(Main[[#This Row],[Tech Start Date]],6),IF(Main[[#This Row],[Class]]="A",WORKDAY(Main[[#This Row],[Tech Start Date]],2),""))))</f>
        <v/>
      </c>
      <c r="N166" s="69" t="str">
        <f>IF(Main[[#This Row],[Tech Start Date]]&lt;1/1/1990,"",IF(Main[[#This Row],[Class]]="C",WORKDAY(Main[[#This Row],[Tech Start Date]],19),IF(Main[[#This Row],[Class]]="B", WORKDAY(Main[[#This Row],[Tech Start Date]],12),IF(Main[[#This Row],[Class]]="A",WORKDAY(Main[[#This Row],[Tech Start Date]],4),""))))</f>
        <v/>
      </c>
      <c r="O166" s="69" t="str">
        <f>IF(Main[[#This Row],[Tech Start Date]]&lt;1/1/1990,"",IF(Main[[#This Row],[Class]]="C",WORKDAY(Main[[#This Row],[Tech Start Date]],23),IF(Main[[#This Row],[Class]]="B", WORKDAY(Main[[#This Row],[Tech Start Date]],15),IF(Main[[#This Row],[Class]]="A",WORKDAY(Main[[#This Row],[Tech Start Date]],5),""))))</f>
        <v/>
      </c>
      <c r="P166" s="69" t="str">
        <f>IF(Main[[#This Row],[Tech Start Date]]&lt;1/1/1990,"",IF(Main[[#This Row],[Class]]="C",WORKDAY(Main[[#This Row],[Tech Start Date]],28),IF(Main[[#This Row],[Class]]="B", WORKDAY(Main[[#This Row],[Tech Start Date]],19),IF(Main[[#This Row],[Class]]="A",WORKDAY(Main[[#This Row],[Tech Start Date]],9),""))))</f>
        <v/>
      </c>
      <c r="Q166" s="67">
        <v>40116</v>
      </c>
      <c r="R166" s="67"/>
      <c r="S166" s="65" t="s">
        <v>11</v>
      </c>
      <c r="T166" s="70" t="s">
        <v>4</v>
      </c>
      <c r="U166" s="65" t="s">
        <v>14</v>
      </c>
      <c r="V166" s="65" t="s">
        <v>1917</v>
      </c>
      <c r="W166" s="65" t="s">
        <v>1916</v>
      </c>
      <c r="X166" s="65" t="s">
        <v>2863</v>
      </c>
      <c r="Y166" s="65" t="s">
        <v>4</v>
      </c>
      <c r="Z166" s="65" t="s">
        <v>4</v>
      </c>
      <c r="AA166" s="65" t="s">
        <v>2863</v>
      </c>
    </row>
    <row r="167" spans="1:27" ht="17.45" hidden="1" customHeight="1">
      <c r="A167" s="100" t="str">
        <f>IF(priority(Main[[#This Row],[Comments]])&lt;&gt;0, priority(Main[[#This Row],[Comments]]),"")</f>
        <v/>
      </c>
      <c r="B167" s="77" t="s">
        <v>1134</v>
      </c>
      <c r="C167" s="65" t="s">
        <v>187</v>
      </c>
      <c r="D167" s="66" t="s">
        <v>188</v>
      </c>
      <c r="E167" s="67"/>
      <c r="F167" s="67">
        <v>40263</v>
      </c>
      <c r="G167" s="64" t="str">
        <f>IF(stdProdLT(Main[[#This Row],[Comments]])=0.1,"N/A",IF(stdProdLT(Main[[#This Row],[Comments]])=0,"",stdProdLT(Main[[#This Row],[Comments]])))</f>
        <v/>
      </c>
      <c r="H167" s="68" t="str">
        <f>IF(AND(Main[[#This Row],[In Stock Date]]&lt;&gt;"",Main[[#This Row],[Revised Due Date]]&lt;&gt;""),Main[[#This Row],[In Stock Date]]-Main[[#This Row],[Revised Due Date]],"")</f>
        <v/>
      </c>
      <c r="I167" s="65" t="s">
        <v>4</v>
      </c>
      <c r="J167" s="65" t="s">
        <v>4</v>
      </c>
      <c r="K167" s="65" t="s">
        <v>4</v>
      </c>
      <c r="L167" s="67"/>
      <c r="M167" s="69" t="str">
        <f>IF(Main[[#This Row],[Tech Start Date]]&lt;1/1/1990,"",IF(Main[[#This Row],[Class]]="C",WORKDAY(Main[[#This Row],[Tech Start Date]],9),IF(Main[[#This Row],[Class]]="B", WORKDAY(Main[[#This Row],[Tech Start Date]],6),IF(Main[[#This Row],[Class]]="A",WORKDAY(Main[[#This Row],[Tech Start Date]],2),""))))</f>
        <v/>
      </c>
      <c r="N167" s="69" t="str">
        <f>IF(Main[[#This Row],[Tech Start Date]]&lt;1/1/1990,"",IF(Main[[#This Row],[Class]]="C",WORKDAY(Main[[#This Row],[Tech Start Date]],19),IF(Main[[#This Row],[Class]]="B", WORKDAY(Main[[#This Row],[Tech Start Date]],12),IF(Main[[#This Row],[Class]]="A",WORKDAY(Main[[#This Row],[Tech Start Date]],4),""))))</f>
        <v/>
      </c>
      <c r="O167" s="69" t="str">
        <f>IF(Main[[#This Row],[Tech Start Date]]&lt;1/1/1990,"",IF(Main[[#This Row],[Class]]="C",WORKDAY(Main[[#This Row],[Tech Start Date]],23),IF(Main[[#This Row],[Class]]="B", WORKDAY(Main[[#This Row],[Tech Start Date]],15),IF(Main[[#This Row],[Class]]="A",WORKDAY(Main[[#This Row],[Tech Start Date]],5),""))))</f>
        <v/>
      </c>
      <c r="P167" s="69" t="str">
        <f>IF(Main[[#This Row],[Tech Start Date]]&lt;1/1/1990,"",IF(Main[[#This Row],[Class]]="C",WORKDAY(Main[[#This Row],[Tech Start Date]],28),IF(Main[[#This Row],[Class]]="B", WORKDAY(Main[[#This Row],[Tech Start Date]],19),IF(Main[[#This Row],[Class]]="A",WORKDAY(Main[[#This Row],[Tech Start Date]],9),""))))</f>
        <v/>
      </c>
      <c r="Q167" s="67">
        <v>40295</v>
      </c>
      <c r="R167" s="67"/>
      <c r="S167" s="65" t="s">
        <v>11</v>
      </c>
      <c r="T167" s="70" t="s">
        <v>4</v>
      </c>
      <c r="U167" s="65" t="s">
        <v>14</v>
      </c>
      <c r="V167" s="65" t="s">
        <v>1917</v>
      </c>
      <c r="W167" s="65" t="s">
        <v>1920</v>
      </c>
      <c r="X167" s="65" t="s">
        <v>306</v>
      </c>
      <c r="Y167" s="65" t="s">
        <v>4</v>
      </c>
      <c r="Z167" s="65" t="s">
        <v>4</v>
      </c>
      <c r="AA167" s="65" t="s">
        <v>306</v>
      </c>
    </row>
    <row r="168" spans="1:27" ht="17.45" hidden="1" customHeight="1">
      <c r="A168" s="100" t="str">
        <f>IF(priority(Main[[#This Row],[Comments]])&lt;&gt;0, priority(Main[[#This Row],[Comments]]),"")</f>
        <v/>
      </c>
      <c r="B168" s="77" t="s">
        <v>1135</v>
      </c>
      <c r="C168" s="65" t="s">
        <v>4</v>
      </c>
      <c r="D168" s="66" t="s">
        <v>189</v>
      </c>
      <c r="E168" s="67"/>
      <c r="F168" s="67"/>
      <c r="G168" s="64" t="str">
        <f>IF(stdProdLT(Main[[#This Row],[Comments]])=0.1,"N/A",IF(stdProdLT(Main[[#This Row],[Comments]])=0,"",stdProdLT(Main[[#This Row],[Comments]])))</f>
        <v/>
      </c>
      <c r="H168" s="68" t="str">
        <f>IF(AND(Main[[#This Row],[In Stock Date]]&lt;&gt;"",Main[[#This Row],[Revised Due Date]]&lt;&gt;""),Main[[#This Row],[In Stock Date]]-Main[[#This Row],[Revised Due Date]],"")</f>
        <v/>
      </c>
      <c r="I168" s="65" t="s">
        <v>4</v>
      </c>
      <c r="J168" s="65" t="s">
        <v>4</v>
      </c>
      <c r="K168" s="65" t="s">
        <v>4</v>
      </c>
      <c r="L168" s="67"/>
      <c r="M168" s="69" t="str">
        <f>IF(Main[[#This Row],[Tech Start Date]]&lt;1/1/1990,"",IF(Main[[#This Row],[Class]]="C",WORKDAY(Main[[#This Row],[Tech Start Date]],9),IF(Main[[#This Row],[Class]]="B", WORKDAY(Main[[#This Row],[Tech Start Date]],6),IF(Main[[#This Row],[Class]]="A",WORKDAY(Main[[#This Row],[Tech Start Date]],2),""))))</f>
        <v/>
      </c>
      <c r="N168" s="69" t="str">
        <f>IF(Main[[#This Row],[Tech Start Date]]&lt;1/1/1990,"",IF(Main[[#This Row],[Class]]="C",WORKDAY(Main[[#This Row],[Tech Start Date]],19),IF(Main[[#This Row],[Class]]="B", WORKDAY(Main[[#This Row],[Tech Start Date]],12),IF(Main[[#This Row],[Class]]="A",WORKDAY(Main[[#This Row],[Tech Start Date]],4),""))))</f>
        <v/>
      </c>
      <c r="O168" s="69" t="str">
        <f>IF(Main[[#This Row],[Tech Start Date]]&lt;1/1/1990,"",IF(Main[[#This Row],[Class]]="C",WORKDAY(Main[[#This Row],[Tech Start Date]],23),IF(Main[[#This Row],[Class]]="B", WORKDAY(Main[[#This Row],[Tech Start Date]],15),IF(Main[[#This Row],[Class]]="A",WORKDAY(Main[[#This Row],[Tech Start Date]],5),""))))</f>
        <v/>
      </c>
      <c r="P168" s="69" t="str">
        <f>IF(Main[[#This Row],[Tech Start Date]]&lt;1/1/1990,"",IF(Main[[#This Row],[Class]]="C",WORKDAY(Main[[#This Row],[Tech Start Date]],28),IF(Main[[#This Row],[Class]]="B", WORKDAY(Main[[#This Row],[Tech Start Date]],19),IF(Main[[#This Row],[Class]]="A",WORKDAY(Main[[#This Row],[Tech Start Date]],9),""))))</f>
        <v/>
      </c>
      <c r="Q168" s="67"/>
      <c r="R168" s="67"/>
      <c r="S168" s="65" t="s">
        <v>4</v>
      </c>
      <c r="T168" s="70" t="s">
        <v>4</v>
      </c>
      <c r="U168" s="65" t="s">
        <v>14</v>
      </c>
      <c r="V168" s="65" t="s">
        <v>1917</v>
      </c>
      <c r="W168" s="65" t="s">
        <v>4</v>
      </c>
      <c r="X168" s="65" t="s">
        <v>968</v>
      </c>
      <c r="Y168" s="65" t="s">
        <v>4</v>
      </c>
      <c r="Z168" s="65" t="s">
        <v>4</v>
      </c>
      <c r="AA168" s="65" t="s">
        <v>4</v>
      </c>
    </row>
    <row r="169" spans="1:27" ht="17.45" hidden="1" customHeight="1">
      <c r="A169" s="100" t="str">
        <f>IF(priority(Main[[#This Row],[Comments]])&lt;&gt;0, priority(Main[[#This Row],[Comments]]),"")</f>
        <v/>
      </c>
      <c r="B169" s="77" t="s">
        <v>1136</v>
      </c>
      <c r="C169" s="65" t="s">
        <v>93</v>
      </c>
      <c r="D169" s="66" t="s">
        <v>190</v>
      </c>
      <c r="E169" s="67"/>
      <c r="F169" s="67">
        <v>40132</v>
      </c>
      <c r="G169" s="64" t="str">
        <f>IF(stdProdLT(Main[[#This Row],[Comments]])=0.1,"N/A",IF(stdProdLT(Main[[#This Row],[Comments]])=0,"",stdProdLT(Main[[#This Row],[Comments]])))</f>
        <v/>
      </c>
      <c r="H169" s="68" t="str">
        <f>IF(AND(Main[[#This Row],[In Stock Date]]&lt;&gt;"",Main[[#This Row],[Revised Due Date]]&lt;&gt;""),Main[[#This Row],[In Stock Date]]-Main[[#This Row],[Revised Due Date]],"")</f>
        <v/>
      </c>
      <c r="I169" s="65" t="s">
        <v>4</v>
      </c>
      <c r="J169" s="65" t="s">
        <v>4</v>
      </c>
      <c r="K169" s="65" t="s">
        <v>4</v>
      </c>
      <c r="L169" s="67"/>
      <c r="M169" s="69" t="str">
        <f>IF(Main[[#This Row],[Tech Start Date]]&lt;1/1/1990,"",IF(Main[[#This Row],[Class]]="C",WORKDAY(Main[[#This Row],[Tech Start Date]],9),IF(Main[[#This Row],[Class]]="B", WORKDAY(Main[[#This Row],[Tech Start Date]],6),IF(Main[[#This Row],[Class]]="A",WORKDAY(Main[[#This Row],[Tech Start Date]],2),""))))</f>
        <v/>
      </c>
      <c r="N169" s="69" t="str">
        <f>IF(Main[[#This Row],[Tech Start Date]]&lt;1/1/1990,"",IF(Main[[#This Row],[Class]]="C",WORKDAY(Main[[#This Row],[Tech Start Date]],19),IF(Main[[#This Row],[Class]]="B", WORKDAY(Main[[#This Row],[Tech Start Date]],12),IF(Main[[#This Row],[Class]]="A",WORKDAY(Main[[#This Row],[Tech Start Date]],4),""))))</f>
        <v/>
      </c>
      <c r="O169" s="69" t="str">
        <f>IF(Main[[#This Row],[Tech Start Date]]&lt;1/1/1990,"",IF(Main[[#This Row],[Class]]="C",WORKDAY(Main[[#This Row],[Tech Start Date]],23),IF(Main[[#This Row],[Class]]="B", WORKDAY(Main[[#This Row],[Tech Start Date]],15),IF(Main[[#This Row],[Class]]="A",WORKDAY(Main[[#This Row],[Tech Start Date]],5),""))))</f>
        <v/>
      </c>
      <c r="P169" s="69" t="str">
        <f>IF(Main[[#This Row],[Tech Start Date]]&lt;1/1/1990,"",IF(Main[[#This Row],[Class]]="C",WORKDAY(Main[[#This Row],[Tech Start Date]],28),IF(Main[[#This Row],[Class]]="B", WORKDAY(Main[[#This Row],[Tech Start Date]],19),IF(Main[[#This Row],[Class]]="A",WORKDAY(Main[[#This Row],[Tech Start Date]],9),""))))</f>
        <v/>
      </c>
      <c r="Q169" s="67">
        <v>40132</v>
      </c>
      <c r="R169" s="67"/>
      <c r="S169" s="65" t="s">
        <v>11</v>
      </c>
      <c r="T169" s="70" t="s">
        <v>4</v>
      </c>
      <c r="U169" s="65" t="s">
        <v>14</v>
      </c>
      <c r="V169" s="65" t="s">
        <v>1917</v>
      </c>
      <c r="W169" s="65" t="s">
        <v>1925</v>
      </c>
      <c r="X169" s="65" t="s">
        <v>2856</v>
      </c>
      <c r="Y169" s="65" t="s">
        <v>4</v>
      </c>
      <c r="Z169" s="65" t="s">
        <v>4</v>
      </c>
      <c r="AA169" s="65" t="s">
        <v>2856</v>
      </c>
    </row>
    <row r="170" spans="1:27" ht="17.45" hidden="1" customHeight="1">
      <c r="A170" s="100" t="str">
        <f>IF(priority(Main[[#This Row],[Comments]])&lt;&gt;0, priority(Main[[#This Row],[Comments]]),"")</f>
        <v/>
      </c>
      <c r="B170" s="77" t="s">
        <v>1137</v>
      </c>
      <c r="C170" s="65" t="s">
        <v>93</v>
      </c>
      <c r="D170" s="66" t="s">
        <v>191</v>
      </c>
      <c r="E170" s="67"/>
      <c r="F170" s="67">
        <v>40132</v>
      </c>
      <c r="G170" s="64" t="str">
        <f>IF(stdProdLT(Main[[#This Row],[Comments]])=0.1,"N/A",IF(stdProdLT(Main[[#This Row],[Comments]])=0,"",stdProdLT(Main[[#This Row],[Comments]])))</f>
        <v/>
      </c>
      <c r="H170" s="68" t="str">
        <f>IF(AND(Main[[#This Row],[In Stock Date]]&lt;&gt;"",Main[[#This Row],[Revised Due Date]]&lt;&gt;""),Main[[#This Row],[In Stock Date]]-Main[[#This Row],[Revised Due Date]],"")</f>
        <v/>
      </c>
      <c r="I170" s="65" t="s">
        <v>4</v>
      </c>
      <c r="J170" s="65" t="s">
        <v>4</v>
      </c>
      <c r="K170" s="71" t="s">
        <v>4</v>
      </c>
      <c r="L170" s="67"/>
      <c r="M170" s="69" t="str">
        <f>IF(Main[[#This Row],[Tech Start Date]]&lt;1/1/1990,"",IF(Main[[#This Row],[Class]]="C",WORKDAY(Main[[#This Row],[Tech Start Date]],9),IF(Main[[#This Row],[Class]]="B", WORKDAY(Main[[#This Row],[Tech Start Date]],6),IF(Main[[#This Row],[Class]]="A",WORKDAY(Main[[#This Row],[Tech Start Date]],2),""))))</f>
        <v/>
      </c>
      <c r="N170" s="69" t="str">
        <f>IF(Main[[#This Row],[Tech Start Date]]&lt;1/1/1990,"",IF(Main[[#This Row],[Class]]="C",WORKDAY(Main[[#This Row],[Tech Start Date]],19),IF(Main[[#This Row],[Class]]="B", WORKDAY(Main[[#This Row],[Tech Start Date]],12),IF(Main[[#This Row],[Class]]="A",WORKDAY(Main[[#This Row],[Tech Start Date]],4),""))))</f>
        <v/>
      </c>
      <c r="O170" s="69" t="str">
        <f>IF(Main[[#This Row],[Tech Start Date]]&lt;1/1/1990,"",IF(Main[[#This Row],[Class]]="C",WORKDAY(Main[[#This Row],[Tech Start Date]],23),IF(Main[[#This Row],[Class]]="B", WORKDAY(Main[[#This Row],[Tech Start Date]],15),IF(Main[[#This Row],[Class]]="A",WORKDAY(Main[[#This Row],[Tech Start Date]],5),""))))</f>
        <v/>
      </c>
      <c r="P170" s="69" t="str">
        <f>IF(Main[[#This Row],[Tech Start Date]]&lt;1/1/1990,"",IF(Main[[#This Row],[Class]]="C",WORKDAY(Main[[#This Row],[Tech Start Date]],28),IF(Main[[#This Row],[Class]]="B", WORKDAY(Main[[#This Row],[Tech Start Date]],19),IF(Main[[#This Row],[Class]]="A",WORKDAY(Main[[#This Row],[Tech Start Date]],9),""))))</f>
        <v/>
      </c>
      <c r="Q170" s="67">
        <v>40132</v>
      </c>
      <c r="R170" s="67"/>
      <c r="S170" s="65" t="s">
        <v>11</v>
      </c>
      <c r="T170" s="70" t="s">
        <v>4</v>
      </c>
      <c r="U170" s="65" t="s">
        <v>14</v>
      </c>
      <c r="V170" s="65" t="s">
        <v>1917</v>
      </c>
      <c r="W170" s="65" t="s">
        <v>1925</v>
      </c>
      <c r="X170" s="65" t="s">
        <v>2856</v>
      </c>
      <c r="Y170" s="65" t="s">
        <v>4</v>
      </c>
      <c r="Z170" s="65" t="s">
        <v>4</v>
      </c>
      <c r="AA170" s="65" t="s">
        <v>2856</v>
      </c>
    </row>
    <row r="171" spans="1:27" ht="17.45" hidden="1" customHeight="1">
      <c r="A171" s="100">
        <f>IF(priority(Main[[#This Row],[Comments]])&lt;&gt;0, priority(Main[[#This Row],[Comments]]),"")</f>
        <v>38</v>
      </c>
      <c r="B171" s="77" t="s">
        <v>1226</v>
      </c>
      <c r="C171" s="65" t="s">
        <v>4</v>
      </c>
      <c r="D171" s="66" t="s">
        <v>2364</v>
      </c>
      <c r="E171" s="67">
        <v>40337.30976851852</v>
      </c>
      <c r="F171" s="67"/>
      <c r="G171" s="64" t="str">
        <f>IF(stdProdLT(Main[[#This Row],[Comments]])=0.1,"N/A",IF(stdProdLT(Main[[#This Row],[Comments]])=0,"",stdProdLT(Main[[#This Row],[Comments]])))</f>
        <v/>
      </c>
      <c r="H171" s="68" t="str">
        <f>IF(AND(Main[[#This Row],[In Stock Date]]&lt;&gt;"",Main[[#This Row],[Revised Due Date]]&lt;&gt;""),Main[[#This Row],[In Stock Date]]-Main[[#This Row],[Revised Due Date]],"")</f>
        <v/>
      </c>
      <c r="I171" s="65" t="s">
        <v>912</v>
      </c>
      <c r="J171" s="65" t="s">
        <v>52</v>
      </c>
      <c r="K171" s="65" t="s">
        <v>4</v>
      </c>
      <c r="L171" s="67"/>
      <c r="M171" s="69" t="str">
        <f>IF(Main[[#This Row],[Tech Start Date]]&lt;1/1/1990,"",IF(Main[[#This Row],[Class]]="C",WORKDAY(Main[[#This Row],[Tech Start Date]],9),IF(Main[[#This Row],[Class]]="B", WORKDAY(Main[[#This Row],[Tech Start Date]],6),IF(Main[[#This Row],[Class]]="A",WORKDAY(Main[[#This Row],[Tech Start Date]],2),""))))</f>
        <v/>
      </c>
      <c r="N171" s="69" t="str">
        <f>IF(Main[[#This Row],[Tech Start Date]]&lt;1/1/1990,"",IF(Main[[#This Row],[Class]]="C",WORKDAY(Main[[#This Row],[Tech Start Date]],19),IF(Main[[#This Row],[Class]]="B", WORKDAY(Main[[#This Row],[Tech Start Date]],12),IF(Main[[#This Row],[Class]]="A",WORKDAY(Main[[#This Row],[Tech Start Date]],4),""))))</f>
        <v/>
      </c>
      <c r="O171" s="69" t="str">
        <f>IF(Main[[#This Row],[Tech Start Date]]&lt;1/1/1990,"",IF(Main[[#This Row],[Class]]="C",WORKDAY(Main[[#This Row],[Tech Start Date]],23),IF(Main[[#This Row],[Class]]="B", WORKDAY(Main[[#This Row],[Tech Start Date]],15),IF(Main[[#This Row],[Class]]="A",WORKDAY(Main[[#This Row],[Tech Start Date]],5),""))))</f>
        <v/>
      </c>
      <c r="P171" s="69" t="str">
        <f>IF(Main[[#This Row],[Tech Start Date]]&lt;1/1/1990,"",IF(Main[[#This Row],[Class]]="C",WORKDAY(Main[[#This Row],[Tech Start Date]],28),IF(Main[[#This Row],[Class]]="B", WORKDAY(Main[[#This Row],[Tech Start Date]],19),IF(Main[[#This Row],[Class]]="A",WORKDAY(Main[[#This Row],[Tech Start Date]],9),""))))</f>
        <v/>
      </c>
      <c r="Q171" s="67">
        <v>40344</v>
      </c>
      <c r="R171" s="67"/>
      <c r="S171" s="65" t="s">
        <v>6</v>
      </c>
      <c r="T171" s="70" t="s">
        <v>2031</v>
      </c>
      <c r="U171" s="65" t="s">
        <v>29</v>
      </c>
      <c r="V171" s="65" t="s">
        <v>1914</v>
      </c>
      <c r="W171" s="65" t="s">
        <v>1918</v>
      </c>
      <c r="X171" s="65" t="s">
        <v>2866</v>
      </c>
      <c r="Y171" s="65" t="s">
        <v>3000</v>
      </c>
      <c r="Z171" s="65" t="s">
        <v>129</v>
      </c>
      <c r="AA171" s="65" t="s">
        <v>2866</v>
      </c>
    </row>
    <row r="172" spans="1:27" ht="17.45" hidden="1" customHeight="1">
      <c r="A172" s="100" t="str">
        <f>IF(priority(Main[[#This Row],[Comments]])&lt;&gt;0, priority(Main[[#This Row],[Comments]]),"")</f>
        <v/>
      </c>
      <c r="B172" s="77" t="s">
        <v>1138</v>
      </c>
      <c r="C172" s="65" t="s">
        <v>4</v>
      </c>
      <c r="D172" s="66" t="s">
        <v>192</v>
      </c>
      <c r="E172" s="67">
        <v>40371.395115740743</v>
      </c>
      <c r="F172" s="67"/>
      <c r="G172" s="64" t="str">
        <f>IF(stdProdLT(Main[[#This Row],[Comments]])=0.1,"N/A",IF(stdProdLT(Main[[#This Row],[Comments]])=0,"",stdProdLT(Main[[#This Row],[Comments]])))</f>
        <v/>
      </c>
      <c r="H172" s="68" t="str">
        <f>IF(AND(Main[[#This Row],[In Stock Date]]&lt;&gt;"",Main[[#This Row],[Revised Due Date]]&lt;&gt;""),Main[[#This Row],[In Stock Date]]-Main[[#This Row],[Revised Due Date]],"")</f>
        <v/>
      </c>
      <c r="I172" s="65" t="s">
        <v>4</v>
      </c>
      <c r="J172" s="65" t="s">
        <v>4</v>
      </c>
      <c r="K172" s="65" t="s">
        <v>4</v>
      </c>
      <c r="L172" s="67"/>
      <c r="M172" s="69" t="str">
        <f>IF(Main[[#This Row],[Tech Start Date]]&lt;1/1/1990,"",IF(Main[[#This Row],[Class]]="C",WORKDAY(Main[[#This Row],[Tech Start Date]],9),IF(Main[[#This Row],[Class]]="B", WORKDAY(Main[[#This Row],[Tech Start Date]],6),IF(Main[[#This Row],[Class]]="A",WORKDAY(Main[[#This Row],[Tech Start Date]],2),""))))</f>
        <v/>
      </c>
      <c r="N172" s="69" t="str">
        <f>IF(Main[[#This Row],[Tech Start Date]]&lt;1/1/1990,"",IF(Main[[#This Row],[Class]]="C",WORKDAY(Main[[#This Row],[Tech Start Date]],19),IF(Main[[#This Row],[Class]]="B", WORKDAY(Main[[#This Row],[Tech Start Date]],12),IF(Main[[#This Row],[Class]]="A",WORKDAY(Main[[#This Row],[Tech Start Date]],4),""))))</f>
        <v/>
      </c>
      <c r="O172" s="69" t="str">
        <f>IF(Main[[#This Row],[Tech Start Date]]&lt;1/1/1990,"",IF(Main[[#This Row],[Class]]="C",WORKDAY(Main[[#This Row],[Tech Start Date]],23),IF(Main[[#This Row],[Class]]="B", WORKDAY(Main[[#This Row],[Tech Start Date]],15),IF(Main[[#This Row],[Class]]="A",WORKDAY(Main[[#This Row],[Tech Start Date]],5),""))))</f>
        <v/>
      </c>
      <c r="P172" s="69" t="str">
        <f>IF(Main[[#This Row],[Tech Start Date]]&lt;1/1/1990,"",IF(Main[[#This Row],[Class]]="C",WORKDAY(Main[[#This Row],[Tech Start Date]],28),IF(Main[[#This Row],[Class]]="B", WORKDAY(Main[[#This Row],[Tech Start Date]],19),IF(Main[[#This Row],[Class]]="A",WORKDAY(Main[[#This Row],[Tech Start Date]],9),""))))</f>
        <v/>
      </c>
      <c r="Q172" s="67">
        <v>40385</v>
      </c>
      <c r="R172" s="67"/>
      <c r="S172" s="65" t="s">
        <v>6</v>
      </c>
      <c r="T172" s="70" t="s">
        <v>4</v>
      </c>
      <c r="U172" s="65" t="s">
        <v>7</v>
      </c>
      <c r="V172" s="65" t="s">
        <v>1914</v>
      </c>
      <c r="W172" s="65" t="s">
        <v>1916</v>
      </c>
      <c r="X172" s="65" t="s">
        <v>102</v>
      </c>
      <c r="Y172" s="65" t="s">
        <v>3001</v>
      </c>
      <c r="Z172" s="65" t="s">
        <v>4</v>
      </c>
      <c r="AA172" s="65" t="s">
        <v>3397</v>
      </c>
    </row>
    <row r="173" spans="1:27" ht="17.45" hidden="1" customHeight="1">
      <c r="A173" s="100" t="str">
        <f>IF(priority(Main[[#This Row],[Comments]])&lt;&gt;0, priority(Main[[#This Row],[Comments]]),"")</f>
        <v/>
      </c>
      <c r="B173" s="77" t="s">
        <v>1139</v>
      </c>
      <c r="C173" s="65" t="s">
        <v>53</v>
      </c>
      <c r="D173" s="66" t="s">
        <v>193</v>
      </c>
      <c r="E173" s="67"/>
      <c r="F173" s="67"/>
      <c r="G173" s="64" t="str">
        <f>IF(stdProdLT(Main[[#This Row],[Comments]])=0.1,"N/A",IF(stdProdLT(Main[[#This Row],[Comments]])=0,"",stdProdLT(Main[[#This Row],[Comments]])))</f>
        <v/>
      </c>
      <c r="H173" s="68" t="str">
        <f>IF(AND(Main[[#This Row],[In Stock Date]]&lt;&gt;"",Main[[#This Row],[Revised Due Date]]&lt;&gt;""),Main[[#This Row],[In Stock Date]]-Main[[#This Row],[Revised Due Date]],"")</f>
        <v/>
      </c>
      <c r="I173" s="65" t="s">
        <v>4</v>
      </c>
      <c r="J173" s="65" t="s">
        <v>28</v>
      </c>
      <c r="K173" s="65" t="s">
        <v>1921</v>
      </c>
      <c r="L173" s="67"/>
      <c r="M173" s="69" t="str">
        <f>IF(Main[[#This Row],[Tech Start Date]]&lt;1/1/1990,"",IF(Main[[#This Row],[Class]]="C",WORKDAY(Main[[#This Row],[Tech Start Date]],9),IF(Main[[#This Row],[Class]]="B", WORKDAY(Main[[#This Row],[Tech Start Date]],6),IF(Main[[#This Row],[Class]]="A",WORKDAY(Main[[#This Row],[Tech Start Date]],2),""))))</f>
        <v/>
      </c>
      <c r="N173" s="69" t="str">
        <f>IF(Main[[#This Row],[Tech Start Date]]&lt;1/1/1990,"",IF(Main[[#This Row],[Class]]="C",WORKDAY(Main[[#This Row],[Tech Start Date]],19),IF(Main[[#This Row],[Class]]="B", WORKDAY(Main[[#This Row],[Tech Start Date]],12),IF(Main[[#This Row],[Class]]="A",WORKDAY(Main[[#This Row],[Tech Start Date]],4),""))))</f>
        <v/>
      </c>
      <c r="O173" s="69" t="str">
        <f>IF(Main[[#This Row],[Tech Start Date]]&lt;1/1/1990,"",IF(Main[[#This Row],[Class]]="C",WORKDAY(Main[[#This Row],[Tech Start Date]],23),IF(Main[[#This Row],[Class]]="B", WORKDAY(Main[[#This Row],[Tech Start Date]],15),IF(Main[[#This Row],[Class]]="A",WORKDAY(Main[[#This Row],[Tech Start Date]],5),""))))</f>
        <v/>
      </c>
      <c r="P173" s="69" t="str">
        <f>IF(Main[[#This Row],[Tech Start Date]]&lt;1/1/1990,"",IF(Main[[#This Row],[Class]]="C",WORKDAY(Main[[#This Row],[Tech Start Date]],28),IF(Main[[#This Row],[Class]]="B", WORKDAY(Main[[#This Row],[Tech Start Date]],19),IF(Main[[#This Row],[Class]]="A",WORKDAY(Main[[#This Row],[Tech Start Date]],9),""))))</f>
        <v/>
      </c>
      <c r="Q173" s="67">
        <v>40581</v>
      </c>
      <c r="R173" s="67"/>
      <c r="S173" s="65" t="s">
        <v>11</v>
      </c>
      <c r="T173" s="70" t="s">
        <v>4</v>
      </c>
      <c r="U173" s="65" t="s">
        <v>14</v>
      </c>
      <c r="V173" s="65" t="s">
        <v>1915</v>
      </c>
      <c r="W173" s="65" t="s">
        <v>1916</v>
      </c>
      <c r="X173" s="65" t="s">
        <v>2816</v>
      </c>
      <c r="Y173" s="65" t="s">
        <v>2928</v>
      </c>
      <c r="Z173" s="65" t="s">
        <v>3159</v>
      </c>
      <c r="AA173" s="65" t="s">
        <v>2816</v>
      </c>
    </row>
    <row r="174" spans="1:27" ht="17.45" hidden="1" customHeight="1">
      <c r="A174" s="100" t="str">
        <f>IF(priority(Main[[#This Row],[Comments]])&lt;&gt;0, priority(Main[[#This Row],[Comments]]),"")</f>
        <v/>
      </c>
      <c r="B174" s="77" t="s">
        <v>1842</v>
      </c>
      <c r="C174" s="65" t="s">
        <v>4</v>
      </c>
      <c r="D174" s="66" t="s">
        <v>899</v>
      </c>
      <c r="E174" s="67"/>
      <c r="F174" s="67"/>
      <c r="G174" s="64" t="str">
        <f>IF(stdProdLT(Main[[#This Row],[Comments]])=0.1,"N/A",IF(stdProdLT(Main[[#This Row],[Comments]])=0,"",stdProdLT(Main[[#This Row],[Comments]])))</f>
        <v/>
      </c>
      <c r="H174" s="68" t="str">
        <f>IF(AND(Main[[#This Row],[In Stock Date]]&lt;&gt;"",Main[[#This Row],[Revised Due Date]]&lt;&gt;""),Main[[#This Row],[In Stock Date]]-Main[[#This Row],[Revised Due Date]],"")</f>
        <v/>
      </c>
      <c r="I174" s="65" t="s">
        <v>102</v>
      </c>
      <c r="J174" s="65" t="s">
        <v>52</v>
      </c>
      <c r="K174" s="65" t="s">
        <v>1923</v>
      </c>
      <c r="L174" s="67"/>
      <c r="M174" s="69" t="str">
        <f>IF(Main[[#This Row],[Tech Start Date]]&lt;1/1/1990,"",IF(Main[[#This Row],[Class]]="C",WORKDAY(Main[[#This Row],[Tech Start Date]],9),IF(Main[[#This Row],[Class]]="B", WORKDAY(Main[[#This Row],[Tech Start Date]],6),IF(Main[[#This Row],[Class]]="A",WORKDAY(Main[[#This Row],[Tech Start Date]],2),""))))</f>
        <v/>
      </c>
      <c r="N174" s="69" t="str">
        <f>IF(Main[[#This Row],[Tech Start Date]]&lt;1/1/1990,"",IF(Main[[#This Row],[Class]]="C",WORKDAY(Main[[#This Row],[Tech Start Date]],19),IF(Main[[#This Row],[Class]]="B", WORKDAY(Main[[#This Row],[Tech Start Date]],12),IF(Main[[#This Row],[Class]]="A",WORKDAY(Main[[#This Row],[Tech Start Date]],4),""))))</f>
        <v/>
      </c>
      <c r="O174" s="69" t="str">
        <f>IF(Main[[#This Row],[Tech Start Date]]&lt;1/1/1990,"",IF(Main[[#This Row],[Class]]="C",WORKDAY(Main[[#This Row],[Tech Start Date]],23),IF(Main[[#This Row],[Class]]="B", WORKDAY(Main[[#This Row],[Tech Start Date]],15),IF(Main[[#This Row],[Class]]="A",WORKDAY(Main[[#This Row],[Tech Start Date]],5),""))))</f>
        <v/>
      </c>
      <c r="P174" s="69" t="str">
        <f>IF(Main[[#This Row],[Tech Start Date]]&lt;1/1/1990,"",IF(Main[[#This Row],[Class]]="C",WORKDAY(Main[[#This Row],[Tech Start Date]],28),IF(Main[[#This Row],[Class]]="B", WORKDAY(Main[[#This Row],[Tech Start Date]],19),IF(Main[[#This Row],[Class]]="A",WORKDAY(Main[[#This Row],[Tech Start Date]],9),""))))</f>
        <v/>
      </c>
      <c r="Q174" s="67"/>
      <c r="R174" s="67">
        <v>40494</v>
      </c>
      <c r="S174" s="65" t="s">
        <v>6</v>
      </c>
      <c r="T174" s="70" t="s">
        <v>4</v>
      </c>
      <c r="U174" s="65" t="s">
        <v>14</v>
      </c>
      <c r="V174" s="65" t="s">
        <v>1914</v>
      </c>
      <c r="W174" s="65" t="s">
        <v>1928</v>
      </c>
      <c r="X174" s="65" t="s">
        <v>2052</v>
      </c>
      <c r="Y174" s="65" t="s">
        <v>3002</v>
      </c>
      <c r="Z174" s="65" t="s">
        <v>3160</v>
      </c>
      <c r="AA174" s="65" t="s">
        <v>2052</v>
      </c>
    </row>
    <row r="175" spans="1:27" ht="17.45" hidden="1" customHeight="1">
      <c r="A175" s="100" t="str">
        <f>IF(priority(Main[[#This Row],[Comments]])&lt;&gt;0, priority(Main[[#This Row],[Comments]]),"")</f>
        <v/>
      </c>
      <c r="B175" s="77" t="s">
        <v>1158</v>
      </c>
      <c r="C175" s="65" t="s">
        <v>4</v>
      </c>
      <c r="D175" s="66" t="s">
        <v>2347</v>
      </c>
      <c r="E175" s="67">
        <v>40436.507916666669</v>
      </c>
      <c r="F175" s="67"/>
      <c r="G175" s="64" t="str">
        <f>IF(stdProdLT(Main[[#This Row],[Comments]])=0.1,"N/A",IF(stdProdLT(Main[[#This Row],[Comments]])=0,"",stdProdLT(Main[[#This Row],[Comments]])))</f>
        <v/>
      </c>
      <c r="H175" s="68" t="str">
        <f>IF(AND(Main[[#This Row],[In Stock Date]]&lt;&gt;"",Main[[#This Row],[Revised Due Date]]&lt;&gt;""),Main[[#This Row],[In Stock Date]]-Main[[#This Row],[Revised Due Date]],"")</f>
        <v/>
      </c>
      <c r="I175" s="65" t="s">
        <v>912</v>
      </c>
      <c r="J175" s="65" t="s">
        <v>52</v>
      </c>
      <c r="K175" s="65" t="s">
        <v>4</v>
      </c>
      <c r="L175" s="67"/>
      <c r="M175" s="69" t="str">
        <f>IF(Main[[#This Row],[Tech Start Date]]&lt;1/1/1990,"",IF(Main[[#This Row],[Class]]="C",WORKDAY(Main[[#This Row],[Tech Start Date]],9),IF(Main[[#This Row],[Class]]="B", WORKDAY(Main[[#This Row],[Tech Start Date]],6),IF(Main[[#This Row],[Class]]="A",WORKDAY(Main[[#This Row],[Tech Start Date]],2),""))))</f>
        <v/>
      </c>
      <c r="N175" s="69" t="str">
        <f>IF(Main[[#This Row],[Tech Start Date]]&lt;1/1/1990,"",IF(Main[[#This Row],[Class]]="C",WORKDAY(Main[[#This Row],[Tech Start Date]],19),IF(Main[[#This Row],[Class]]="B", WORKDAY(Main[[#This Row],[Tech Start Date]],12),IF(Main[[#This Row],[Class]]="A",WORKDAY(Main[[#This Row],[Tech Start Date]],4),""))))</f>
        <v/>
      </c>
      <c r="O175" s="69" t="str">
        <f>IF(Main[[#This Row],[Tech Start Date]]&lt;1/1/1990,"",IF(Main[[#This Row],[Class]]="C",WORKDAY(Main[[#This Row],[Tech Start Date]],23),IF(Main[[#This Row],[Class]]="B", WORKDAY(Main[[#This Row],[Tech Start Date]],15),IF(Main[[#This Row],[Class]]="A",WORKDAY(Main[[#This Row],[Tech Start Date]],5),""))))</f>
        <v/>
      </c>
      <c r="P175" s="69" t="str">
        <f>IF(Main[[#This Row],[Tech Start Date]]&lt;1/1/1990,"",IF(Main[[#This Row],[Class]]="C",WORKDAY(Main[[#This Row],[Tech Start Date]],28),IF(Main[[#This Row],[Class]]="B", WORKDAY(Main[[#This Row],[Tech Start Date]],19),IF(Main[[#This Row],[Class]]="A",WORKDAY(Main[[#This Row],[Tech Start Date]],9),""))))</f>
        <v/>
      </c>
      <c r="Q175" s="67">
        <v>40451</v>
      </c>
      <c r="R175" s="67"/>
      <c r="S175" s="65" t="s">
        <v>6</v>
      </c>
      <c r="T175" s="70" t="s">
        <v>4</v>
      </c>
      <c r="U175" s="65" t="s">
        <v>29</v>
      </c>
      <c r="V175" s="65" t="s">
        <v>1914</v>
      </c>
      <c r="W175" s="65" t="s">
        <v>1916</v>
      </c>
      <c r="X175" s="65" t="s">
        <v>2867</v>
      </c>
      <c r="Y175" s="65" t="s">
        <v>3003</v>
      </c>
      <c r="Z175" s="65" t="s">
        <v>530</v>
      </c>
      <c r="AA175" s="65" t="s">
        <v>2867</v>
      </c>
    </row>
    <row r="176" spans="1:27" ht="17.45" hidden="1" customHeight="1">
      <c r="A176" s="100" t="str">
        <f>IF(priority(Main[[#This Row],[Comments]])&lt;&gt;0, priority(Main[[#This Row],[Comments]]),"")</f>
        <v/>
      </c>
      <c r="B176" s="77" t="s">
        <v>1305</v>
      </c>
      <c r="C176" s="65" t="s">
        <v>47</v>
      </c>
      <c r="D176" s="66" t="s">
        <v>2012</v>
      </c>
      <c r="E176" s="67">
        <v>39952.315729166665</v>
      </c>
      <c r="F176" s="67"/>
      <c r="G176" s="64" t="str">
        <f>IF(stdProdLT(Main[[#This Row],[Comments]])=0.1,"N/A",IF(stdProdLT(Main[[#This Row],[Comments]])=0,"",stdProdLT(Main[[#This Row],[Comments]])))</f>
        <v/>
      </c>
      <c r="H176" s="68" t="str">
        <f>IF(AND(Main[[#This Row],[In Stock Date]]&lt;&gt;"",Main[[#This Row],[Revised Due Date]]&lt;&gt;""),Main[[#This Row],[In Stock Date]]-Main[[#This Row],[Revised Due Date]],"")</f>
        <v/>
      </c>
      <c r="I176" s="65" t="s">
        <v>2013</v>
      </c>
      <c r="J176" s="65" t="s">
        <v>28</v>
      </c>
      <c r="K176" s="71" t="s">
        <v>4</v>
      </c>
      <c r="L176" s="67"/>
      <c r="M176" s="69" t="str">
        <f>IF(Main[[#This Row],[Tech Start Date]]&lt;1/1/1990,"",IF(Main[[#This Row],[Class]]="C",WORKDAY(Main[[#This Row],[Tech Start Date]],9),IF(Main[[#This Row],[Class]]="B", WORKDAY(Main[[#This Row],[Tech Start Date]],6),IF(Main[[#This Row],[Class]]="A",WORKDAY(Main[[#This Row],[Tech Start Date]],2),""))))</f>
        <v/>
      </c>
      <c r="N176" s="69" t="str">
        <f>IF(Main[[#This Row],[Tech Start Date]]&lt;1/1/1990,"",IF(Main[[#This Row],[Class]]="C",WORKDAY(Main[[#This Row],[Tech Start Date]],19),IF(Main[[#This Row],[Class]]="B", WORKDAY(Main[[#This Row],[Tech Start Date]],12),IF(Main[[#This Row],[Class]]="A",WORKDAY(Main[[#This Row],[Tech Start Date]],4),""))))</f>
        <v/>
      </c>
      <c r="O176" s="69" t="str">
        <f>IF(Main[[#This Row],[Tech Start Date]]&lt;1/1/1990,"",IF(Main[[#This Row],[Class]]="C",WORKDAY(Main[[#This Row],[Tech Start Date]],23),IF(Main[[#This Row],[Class]]="B", WORKDAY(Main[[#This Row],[Tech Start Date]],15),IF(Main[[#This Row],[Class]]="A",WORKDAY(Main[[#This Row],[Tech Start Date]],5),""))))</f>
        <v/>
      </c>
      <c r="P176" s="69" t="str">
        <f>IF(Main[[#This Row],[Tech Start Date]]&lt;1/1/1990,"",IF(Main[[#This Row],[Class]]="C",WORKDAY(Main[[#This Row],[Tech Start Date]],28),IF(Main[[#This Row],[Class]]="B", WORKDAY(Main[[#This Row],[Tech Start Date]],19),IF(Main[[#This Row],[Class]]="A",WORKDAY(Main[[#This Row],[Tech Start Date]],9),""))))</f>
        <v/>
      </c>
      <c r="Q176" s="67"/>
      <c r="R176" s="67"/>
      <c r="S176" s="65" t="s">
        <v>17</v>
      </c>
      <c r="T176" s="70" t="s">
        <v>4</v>
      </c>
      <c r="U176" s="65" t="s">
        <v>7</v>
      </c>
      <c r="V176" s="65" t="s">
        <v>1929</v>
      </c>
      <c r="W176" s="65" t="s">
        <v>1919</v>
      </c>
      <c r="X176" s="65" t="s">
        <v>2859</v>
      </c>
      <c r="Y176" s="65" t="s">
        <v>2948</v>
      </c>
      <c r="Z176" s="65" t="s">
        <v>2211</v>
      </c>
      <c r="AA176" s="65" t="s">
        <v>2859</v>
      </c>
    </row>
    <row r="177" spans="1:27" ht="17.45" hidden="1" customHeight="1">
      <c r="A177" s="100" t="str">
        <f>IF(priority(Main[[#This Row],[Comments]])&lt;&gt;0, priority(Main[[#This Row],[Comments]]),"")</f>
        <v/>
      </c>
      <c r="B177" s="77" t="s">
        <v>1153</v>
      </c>
      <c r="C177" s="65" t="s">
        <v>4</v>
      </c>
      <c r="D177" s="66" t="s">
        <v>209</v>
      </c>
      <c r="E177" s="67"/>
      <c r="F177" s="67"/>
      <c r="G177" s="64" t="str">
        <f>IF(stdProdLT(Main[[#This Row],[Comments]])=0.1,"N/A",IF(stdProdLT(Main[[#This Row],[Comments]])=0,"",stdProdLT(Main[[#This Row],[Comments]])))</f>
        <v/>
      </c>
      <c r="H177" s="68" t="str">
        <f>IF(AND(Main[[#This Row],[In Stock Date]]&lt;&gt;"",Main[[#This Row],[Revised Due Date]]&lt;&gt;""),Main[[#This Row],[In Stock Date]]-Main[[#This Row],[Revised Due Date]],"")</f>
        <v/>
      </c>
      <c r="I177" s="65" t="s">
        <v>4</v>
      </c>
      <c r="J177" s="65" t="s">
        <v>4</v>
      </c>
      <c r="K177" s="65" t="s">
        <v>4</v>
      </c>
      <c r="L177" s="67"/>
      <c r="M177" s="69" t="str">
        <f>IF(Main[[#This Row],[Tech Start Date]]&lt;1/1/1990,"",IF(Main[[#This Row],[Class]]="C",WORKDAY(Main[[#This Row],[Tech Start Date]],9),IF(Main[[#This Row],[Class]]="B", WORKDAY(Main[[#This Row],[Tech Start Date]],6),IF(Main[[#This Row],[Class]]="A",WORKDAY(Main[[#This Row],[Tech Start Date]],2),""))))</f>
        <v/>
      </c>
      <c r="N177" s="69" t="str">
        <f>IF(Main[[#This Row],[Tech Start Date]]&lt;1/1/1990,"",IF(Main[[#This Row],[Class]]="C",WORKDAY(Main[[#This Row],[Tech Start Date]],19),IF(Main[[#This Row],[Class]]="B", WORKDAY(Main[[#This Row],[Tech Start Date]],12),IF(Main[[#This Row],[Class]]="A",WORKDAY(Main[[#This Row],[Tech Start Date]],4),""))))</f>
        <v/>
      </c>
      <c r="O177" s="69" t="str">
        <f>IF(Main[[#This Row],[Tech Start Date]]&lt;1/1/1990,"",IF(Main[[#This Row],[Class]]="C",WORKDAY(Main[[#This Row],[Tech Start Date]],23),IF(Main[[#This Row],[Class]]="B", WORKDAY(Main[[#This Row],[Tech Start Date]],15),IF(Main[[#This Row],[Class]]="A",WORKDAY(Main[[#This Row],[Tech Start Date]],5),""))))</f>
        <v/>
      </c>
      <c r="P177" s="69" t="str">
        <f>IF(Main[[#This Row],[Tech Start Date]]&lt;1/1/1990,"",IF(Main[[#This Row],[Class]]="C",WORKDAY(Main[[#This Row],[Tech Start Date]],28),IF(Main[[#This Row],[Class]]="B", WORKDAY(Main[[#This Row],[Tech Start Date]],19),IF(Main[[#This Row],[Class]]="A",WORKDAY(Main[[#This Row],[Tech Start Date]],9),""))))</f>
        <v/>
      </c>
      <c r="Q177" s="67"/>
      <c r="R177" s="67"/>
      <c r="S177" s="65" t="s">
        <v>23</v>
      </c>
      <c r="T177" s="70" t="s">
        <v>4</v>
      </c>
      <c r="U177" s="65" t="s">
        <v>14</v>
      </c>
      <c r="V177" s="65" t="s">
        <v>1917</v>
      </c>
      <c r="W177" s="65" t="s">
        <v>1918</v>
      </c>
      <c r="X177" s="65" t="s">
        <v>306</v>
      </c>
      <c r="Y177" s="65" t="s">
        <v>4</v>
      </c>
      <c r="Z177" s="65" t="s">
        <v>4</v>
      </c>
      <c r="AA177" s="65" t="s">
        <v>3384</v>
      </c>
    </row>
    <row r="178" spans="1:27" ht="17.45" hidden="1" customHeight="1">
      <c r="A178" s="100" t="str">
        <f>IF(priority(Main[[#This Row],[Comments]])&lt;&gt;0, priority(Main[[#This Row],[Comments]]),"")</f>
        <v/>
      </c>
      <c r="B178" s="77" t="s">
        <v>1154</v>
      </c>
      <c r="C178" s="65" t="s">
        <v>4</v>
      </c>
      <c r="D178" s="66" t="s">
        <v>210</v>
      </c>
      <c r="E178" s="67"/>
      <c r="F178" s="67"/>
      <c r="G178" s="64" t="str">
        <f>IF(stdProdLT(Main[[#This Row],[Comments]])=0.1,"N/A",IF(stdProdLT(Main[[#This Row],[Comments]])=0,"",stdProdLT(Main[[#This Row],[Comments]])))</f>
        <v/>
      </c>
      <c r="H178" s="68" t="str">
        <f>IF(AND(Main[[#This Row],[In Stock Date]]&lt;&gt;"",Main[[#This Row],[Revised Due Date]]&lt;&gt;""),Main[[#This Row],[In Stock Date]]-Main[[#This Row],[Revised Due Date]],"")</f>
        <v/>
      </c>
      <c r="I178" s="65" t="s">
        <v>4</v>
      </c>
      <c r="J178" s="65" t="s">
        <v>4</v>
      </c>
      <c r="K178" s="65" t="s">
        <v>4</v>
      </c>
      <c r="L178" s="67"/>
      <c r="M178" s="69" t="str">
        <f>IF(Main[[#This Row],[Tech Start Date]]&lt;1/1/1990,"",IF(Main[[#This Row],[Class]]="C",WORKDAY(Main[[#This Row],[Tech Start Date]],9),IF(Main[[#This Row],[Class]]="B", WORKDAY(Main[[#This Row],[Tech Start Date]],6),IF(Main[[#This Row],[Class]]="A",WORKDAY(Main[[#This Row],[Tech Start Date]],2),""))))</f>
        <v/>
      </c>
      <c r="N178" s="69" t="str">
        <f>IF(Main[[#This Row],[Tech Start Date]]&lt;1/1/1990,"",IF(Main[[#This Row],[Class]]="C",WORKDAY(Main[[#This Row],[Tech Start Date]],19),IF(Main[[#This Row],[Class]]="B", WORKDAY(Main[[#This Row],[Tech Start Date]],12),IF(Main[[#This Row],[Class]]="A",WORKDAY(Main[[#This Row],[Tech Start Date]],4),""))))</f>
        <v/>
      </c>
      <c r="O178" s="69" t="str">
        <f>IF(Main[[#This Row],[Tech Start Date]]&lt;1/1/1990,"",IF(Main[[#This Row],[Class]]="C",WORKDAY(Main[[#This Row],[Tech Start Date]],23),IF(Main[[#This Row],[Class]]="B", WORKDAY(Main[[#This Row],[Tech Start Date]],15),IF(Main[[#This Row],[Class]]="A",WORKDAY(Main[[#This Row],[Tech Start Date]],5),""))))</f>
        <v/>
      </c>
      <c r="P178" s="69" t="str">
        <f>IF(Main[[#This Row],[Tech Start Date]]&lt;1/1/1990,"",IF(Main[[#This Row],[Class]]="C",WORKDAY(Main[[#This Row],[Tech Start Date]],28),IF(Main[[#This Row],[Class]]="B", WORKDAY(Main[[#This Row],[Tech Start Date]],19),IF(Main[[#This Row],[Class]]="A",WORKDAY(Main[[#This Row],[Tech Start Date]],9),""))))</f>
        <v/>
      </c>
      <c r="Q178" s="67"/>
      <c r="R178" s="67"/>
      <c r="S178" s="65" t="s">
        <v>23</v>
      </c>
      <c r="T178" s="70" t="s">
        <v>4</v>
      </c>
      <c r="U178" s="65" t="s">
        <v>14</v>
      </c>
      <c r="V178" s="65" t="s">
        <v>1917</v>
      </c>
      <c r="W178" s="65" t="s">
        <v>1918</v>
      </c>
      <c r="X178" s="65" t="s">
        <v>399</v>
      </c>
      <c r="Y178" s="65" t="s">
        <v>4</v>
      </c>
      <c r="Z178" s="65" t="s">
        <v>4</v>
      </c>
      <c r="AA178" s="65" t="s">
        <v>3398</v>
      </c>
    </row>
    <row r="179" spans="1:27" ht="17.45" hidden="1" customHeight="1">
      <c r="A179" s="100" t="str">
        <f>IF(priority(Main[[#This Row],[Comments]])&lt;&gt;0, priority(Main[[#This Row],[Comments]]),"")</f>
        <v/>
      </c>
      <c r="B179" s="77" t="s">
        <v>1218</v>
      </c>
      <c r="C179" s="65" t="s">
        <v>277</v>
      </c>
      <c r="D179" s="66" t="s">
        <v>278</v>
      </c>
      <c r="E179" s="67"/>
      <c r="F179" s="67">
        <v>40680</v>
      </c>
      <c r="G179" s="64" t="str">
        <f>IF(stdProdLT(Main[[#This Row],[Comments]])=0.1,"N/A",IF(stdProdLT(Main[[#This Row],[Comments]])=0,"",stdProdLT(Main[[#This Row],[Comments]])))</f>
        <v/>
      </c>
      <c r="H179" s="68" t="str">
        <f>IF(AND(Main[[#This Row],[In Stock Date]]&lt;&gt;"",Main[[#This Row],[Revised Due Date]]&lt;&gt;""),Main[[#This Row],[In Stock Date]]-Main[[#This Row],[Revised Due Date]],"")</f>
        <v/>
      </c>
      <c r="I179" s="65" t="s">
        <v>4</v>
      </c>
      <c r="J179" s="65" t="s">
        <v>28</v>
      </c>
      <c r="K179" s="65" t="s">
        <v>4</v>
      </c>
      <c r="L179" s="67"/>
      <c r="M179" s="69" t="str">
        <f>IF(Main[[#This Row],[Tech Start Date]]&lt;1/1/1990,"",IF(Main[[#This Row],[Class]]="C",WORKDAY(Main[[#This Row],[Tech Start Date]],9),IF(Main[[#This Row],[Class]]="B", WORKDAY(Main[[#This Row],[Tech Start Date]],6),IF(Main[[#This Row],[Class]]="A",WORKDAY(Main[[#This Row],[Tech Start Date]],2),""))))</f>
        <v/>
      </c>
      <c r="N179" s="69" t="str">
        <f>IF(Main[[#This Row],[Tech Start Date]]&lt;1/1/1990,"",IF(Main[[#This Row],[Class]]="C",WORKDAY(Main[[#This Row],[Tech Start Date]],19),IF(Main[[#This Row],[Class]]="B", WORKDAY(Main[[#This Row],[Tech Start Date]],12),IF(Main[[#This Row],[Class]]="A",WORKDAY(Main[[#This Row],[Tech Start Date]],4),""))))</f>
        <v/>
      </c>
      <c r="O179" s="69" t="str">
        <f>IF(Main[[#This Row],[Tech Start Date]]&lt;1/1/1990,"",IF(Main[[#This Row],[Class]]="C",WORKDAY(Main[[#This Row],[Tech Start Date]],23),IF(Main[[#This Row],[Class]]="B", WORKDAY(Main[[#This Row],[Tech Start Date]],15),IF(Main[[#This Row],[Class]]="A",WORKDAY(Main[[#This Row],[Tech Start Date]],5),""))))</f>
        <v/>
      </c>
      <c r="P179" s="69" t="str">
        <f>IF(Main[[#This Row],[Tech Start Date]]&lt;1/1/1990,"",IF(Main[[#This Row],[Class]]="C",WORKDAY(Main[[#This Row],[Tech Start Date]],28),IF(Main[[#This Row],[Class]]="B", WORKDAY(Main[[#This Row],[Tech Start Date]],19),IF(Main[[#This Row],[Class]]="A",WORKDAY(Main[[#This Row],[Tech Start Date]],9),""))))</f>
        <v/>
      </c>
      <c r="Q179" s="67">
        <v>40540</v>
      </c>
      <c r="R179" s="67"/>
      <c r="S179" s="65" t="s">
        <v>11</v>
      </c>
      <c r="T179" s="70" t="s">
        <v>4</v>
      </c>
      <c r="U179" s="65" t="s">
        <v>14</v>
      </c>
      <c r="V179" s="65" t="s">
        <v>1915</v>
      </c>
      <c r="W179" s="65" t="s">
        <v>1919</v>
      </c>
      <c r="X179" s="65" t="s">
        <v>2860</v>
      </c>
      <c r="Y179" s="65" t="s">
        <v>3004</v>
      </c>
      <c r="Z179" s="65" t="s">
        <v>4</v>
      </c>
      <c r="AA179" s="65" t="s">
        <v>2860</v>
      </c>
    </row>
    <row r="180" spans="1:27" ht="17.45" hidden="1" customHeight="1">
      <c r="A180" s="100" t="str">
        <f>IF(priority(Main[[#This Row],[Comments]])&lt;&gt;0, priority(Main[[#This Row],[Comments]]),"")</f>
        <v/>
      </c>
      <c r="B180" s="77" t="s">
        <v>2180</v>
      </c>
      <c r="C180" s="65" t="s">
        <v>4</v>
      </c>
      <c r="D180" s="66" t="s">
        <v>2181</v>
      </c>
      <c r="E180" s="67"/>
      <c r="F180" s="67"/>
      <c r="G180" s="64" t="str">
        <f>IF(stdProdLT(Main[[#This Row],[Comments]])=0.1,"N/A",IF(stdProdLT(Main[[#This Row],[Comments]])=0,"",stdProdLT(Main[[#This Row],[Comments]])))</f>
        <v/>
      </c>
      <c r="H180" s="68" t="str">
        <f>IF(AND(Main[[#This Row],[In Stock Date]]&lt;&gt;"",Main[[#This Row],[Revised Due Date]]&lt;&gt;""),Main[[#This Row],[In Stock Date]]-Main[[#This Row],[Revised Due Date]],"")</f>
        <v/>
      </c>
      <c r="I180" s="65" t="s">
        <v>4</v>
      </c>
      <c r="J180" s="65" t="s">
        <v>4</v>
      </c>
      <c r="K180" s="71" t="s">
        <v>4</v>
      </c>
      <c r="L180" s="67"/>
      <c r="M180" s="69" t="str">
        <f>IF(Main[[#This Row],[Tech Start Date]]&lt;1/1/1990,"",IF(Main[[#This Row],[Class]]="C",WORKDAY(Main[[#This Row],[Tech Start Date]],9),IF(Main[[#This Row],[Class]]="B", WORKDAY(Main[[#This Row],[Tech Start Date]],6),IF(Main[[#This Row],[Class]]="A",WORKDAY(Main[[#This Row],[Tech Start Date]],2),""))))</f>
        <v/>
      </c>
      <c r="N180" s="69" t="str">
        <f>IF(Main[[#This Row],[Tech Start Date]]&lt;1/1/1990,"",IF(Main[[#This Row],[Class]]="C",WORKDAY(Main[[#This Row],[Tech Start Date]],19),IF(Main[[#This Row],[Class]]="B", WORKDAY(Main[[#This Row],[Tech Start Date]],12),IF(Main[[#This Row],[Class]]="A",WORKDAY(Main[[#This Row],[Tech Start Date]],4),""))))</f>
        <v/>
      </c>
      <c r="O180" s="69" t="str">
        <f>IF(Main[[#This Row],[Tech Start Date]]&lt;1/1/1990,"",IF(Main[[#This Row],[Class]]="C",WORKDAY(Main[[#This Row],[Tech Start Date]],23),IF(Main[[#This Row],[Class]]="B", WORKDAY(Main[[#This Row],[Tech Start Date]],15),IF(Main[[#This Row],[Class]]="A",WORKDAY(Main[[#This Row],[Tech Start Date]],5),""))))</f>
        <v/>
      </c>
      <c r="P180" s="69" t="str">
        <f>IF(Main[[#This Row],[Tech Start Date]]&lt;1/1/1990,"",IF(Main[[#This Row],[Class]]="C",WORKDAY(Main[[#This Row],[Tech Start Date]],28),IF(Main[[#This Row],[Class]]="B", WORKDAY(Main[[#This Row],[Tech Start Date]],19),IF(Main[[#This Row],[Class]]="A",WORKDAY(Main[[#This Row],[Tech Start Date]],9),""))))</f>
        <v/>
      </c>
      <c r="Q180" s="67"/>
      <c r="R180" s="67"/>
      <c r="S180" s="65" t="s">
        <v>6</v>
      </c>
      <c r="T180" s="70" t="s">
        <v>4</v>
      </c>
      <c r="U180" s="65" t="s">
        <v>14</v>
      </c>
      <c r="V180" s="65" t="s">
        <v>1914</v>
      </c>
      <c r="W180" s="65" t="s">
        <v>1916</v>
      </c>
      <c r="X180" s="65" t="s">
        <v>306</v>
      </c>
      <c r="Y180" s="65" t="s">
        <v>4</v>
      </c>
      <c r="Z180" s="65" t="s">
        <v>4</v>
      </c>
      <c r="AA180" s="65" t="s">
        <v>4</v>
      </c>
    </row>
    <row r="181" spans="1:27" ht="17.45" hidden="1" customHeight="1">
      <c r="A181" s="101" t="str">
        <f>IF(priority(Main[[#This Row],[Comments]])&lt;&gt;0, priority(Main[[#This Row],[Comments]]),"")</f>
        <v/>
      </c>
      <c r="B181" s="102" t="s">
        <v>1140</v>
      </c>
      <c r="C181" s="103" t="s">
        <v>93</v>
      </c>
      <c r="D181" s="104" t="s">
        <v>194</v>
      </c>
      <c r="E181" s="105"/>
      <c r="F181" s="105">
        <v>40203</v>
      </c>
      <c r="G181" s="106" t="str">
        <f>IF(stdProdLT(Main[[#This Row],[Comments]])=0.1,"N/A",IF(stdProdLT(Main[[#This Row],[Comments]])=0,"",stdProdLT(Main[[#This Row],[Comments]])))</f>
        <v/>
      </c>
      <c r="H181" s="107" t="str">
        <f>IF(AND(Main[[#This Row],[In Stock Date]]&lt;&gt;"",Main[[#This Row],[Revised Due Date]]&lt;&gt;""),Main[[#This Row],[In Stock Date]]-Main[[#This Row],[Revised Due Date]],"")</f>
        <v/>
      </c>
      <c r="I181" s="103" t="s">
        <v>4</v>
      </c>
      <c r="J181" s="103" t="s">
        <v>4</v>
      </c>
      <c r="K181" s="103" t="s">
        <v>4</v>
      </c>
      <c r="L181" s="105"/>
      <c r="M181" s="108" t="str">
        <f>IF(Main[[#This Row],[Tech Start Date]]&lt;1/1/1990,"",IF(Main[[#This Row],[Class]]="C",WORKDAY(Main[[#This Row],[Tech Start Date]],9),IF(Main[[#This Row],[Class]]="B", WORKDAY(Main[[#This Row],[Tech Start Date]],6),IF(Main[[#This Row],[Class]]="A",WORKDAY(Main[[#This Row],[Tech Start Date]],2),""))))</f>
        <v/>
      </c>
      <c r="N181" s="108" t="str">
        <f>IF(Main[[#This Row],[Tech Start Date]]&lt;1/1/1990,"",IF(Main[[#This Row],[Class]]="C",WORKDAY(Main[[#This Row],[Tech Start Date]],19),IF(Main[[#This Row],[Class]]="B", WORKDAY(Main[[#This Row],[Tech Start Date]],12),IF(Main[[#This Row],[Class]]="A",WORKDAY(Main[[#This Row],[Tech Start Date]],4),""))))</f>
        <v/>
      </c>
      <c r="O181" s="108" t="str">
        <f>IF(Main[[#This Row],[Tech Start Date]]&lt;1/1/1990,"",IF(Main[[#This Row],[Class]]="C",WORKDAY(Main[[#This Row],[Tech Start Date]],23),IF(Main[[#This Row],[Class]]="B", WORKDAY(Main[[#This Row],[Tech Start Date]],15),IF(Main[[#This Row],[Class]]="A",WORKDAY(Main[[#This Row],[Tech Start Date]],5),""))))</f>
        <v/>
      </c>
      <c r="P181" s="108" t="str">
        <f>IF(Main[[#This Row],[Tech Start Date]]&lt;1/1/1990,"",IF(Main[[#This Row],[Class]]="C",WORKDAY(Main[[#This Row],[Tech Start Date]],28),IF(Main[[#This Row],[Class]]="B", WORKDAY(Main[[#This Row],[Tech Start Date]],19),IF(Main[[#This Row],[Class]]="A",WORKDAY(Main[[#This Row],[Tech Start Date]],9),""))))</f>
        <v/>
      </c>
      <c r="Q181" s="105">
        <v>40046</v>
      </c>
      <c r="R181" s="105"/>
      <c r="S181" s="103" t="s">
        <v>11</v>
      </c>
      <c r="T181" s="109" t="s">
        <v>4</v>
      </c>
      <c r="U181" s="103" t="s">
        <v>14</v>
      </c>
      <c r="V181" s="103" t="s">
        <v>1914</v>
      </c>
      <c r="W181" s="103" t="s">
        <v>1920</v>
      </c>
      <c r="X181" s="103" t="s">
        <v>2853</v>
      </c>
      <c r="Y181" s="103" t="s">
        <v>2991</v>
      </c>
      <c r="Z181" s="103" t="s">
        <v>4</v>
      </c>
      <c r="AA181" s="103" t="s">
        <v>2853</v>
      </c>
    </row>
    <row r="182" spans="1:27" ht="17.45" hidden="1" customHeight="1">
      <c r="A182" s="100" t="str">
        <f>IF(priority(Main[[#This Row],[Comments]])&lt;&gt;0, priority(Main[[#This Row],[Comments]]),"")</f>
        <v/>
      </c>
      <c r="B182" s="77" t="s">
        <v>1141</v>
      </c>
      <c r="C182" s="65" t="s">
        <v>4</v>
      </c>
      <c r="D182" s="66" t="s">
        <v>195</v>
      </c>
      <c r="E182" s="67"/>
      <c r="F182" s="67"/>
      <c r="G182" s="64" t="str">
        <f>IF(stdProdLT(Main[[#This Row],[Comments]])=0.1,"N/A",IF(stdProdLT(Main[[#This Row],[Comments]])=0,"",stdProdLT(Main[[#This Row],[Comments]])))</f>
        <v/>
      </c>
      <c r="H182" s="68" t="str">
        <f>IF(AND(Main[[#This Row],[In Stock Date]]&lt;&gt;"",Main[[#This Row],[Revised Due Date]]&lt;&gt;""),Main[[#This Row],[In Stock Date]]-Main[[#This Row],[Revised Due Date]],"")</f>
        <v/>
      </c>
      <c r="I182" s="65" t="s">
        <v>4</v>
      </c>
      <c r="J182" s="65" t="s">
        <v>4</v>
      </c>
      <c r="K182" s="65" t="s">
        <v>4</v>
      </c>
      <c r="L182" s="67"/>
      <c r="M182" s="69" t="str">
        <f>IF(Main[[#This Row],[Tech Start Date]]&lt;1/1/1990,"",IF(Main[[#This Row],[Class]]="C",WORKDAY(Main[[#This Row],[Tech Start Date]],9),IF(Main[[#This Row],[Class]]="B", WORKDAY(Main[[#This Row],[Tech Start Date]],6),IF(Main[[#This Row],[Class]]="A",WORKDAY(Main[[#This Row],[Tech Start Date]],2),""))))</f>
        <v/>
      </c>
      <c r="N182" s="69" t="str">
        <f>IF(Main[[#This Row],[Tech Start Date]]&lt;1/1/1990,"",IF(Main[[#This Row],[Class]]="C",WORKDAY(Main[[#This Row],[Tech Start Date]],19),IF(Main[[#This Row],[Class]]="B", WORKDAY(Main[[#This Row],[Tech Start Date]],12),IF(Main[[#This Row],[Class]]="A",WORKDAY(Main[[#This Row],[Tech Start Date]],4),""))))</f>
        <v/>
      </c>
      <c r="O182" s="69" t="str">
        <f>IF(Main[[#This Row],[Tech Start Date]]&lt;1/1/1990,"",IF(Main[[#This Row],[Class]]="C",WORKDAY(Main[[#This Row],[Tech Start Date]],23),IF(Main[[#This Row],[Class]]="B", WORKDAY(Main[[#This Row],[Tech Start Date]],15),IF(Main[[#This Row],[Class]]="A",WORKDAY(Main[[#This Row],[Tech Start Date]],5),""))))</f>
        <v/>
      </c>
      <c r="P182" s="69" t="str">
        <f>IF(Main[[#This Row],[Tech Start Date]]&lt;1/1/1990,"",IF(Main[[#This Row],[Class]]="C",WORKDAY(Main[[#This Row],[Tech Start Date]],28),IF(Main[[#This Row],[Class]]="B", WORKDAY(Main[[#This Row],[Tech Start Date]],19),IF(Main[[#This Row],[Class]]="A",WORKDAY(Main[[#This Row],[Tech Start Date]],9),""))))</f>
        <v/>
      </c>
      <c r="Q182" s="67">
        <v>40543</v>
      </c>
      <c r="R182" s="67"/>
      <c r="S182" s="65" t="s">
        <v>11</v>
      </c>
      <c r="T182" s="70" t="s">
        <v>4</v>
      </c>
      <c r="U182" s="65" t="s">
        <v>14</v>
      </c>
      <c r="V182" s="65" t="s">
        <v>1914</v>
      </c>
      <c r="W182" s="65" t="s">
        <v>1925</v>
      </c>
      <c r="X182" s="65" t="s">
        <v>2861</v>
      </c>
      <c r="Y182" s="65" t="s">
        <v>3005</v>
      </c>
      <c r="Z182" s="65" t="s">
        <v>4</v>
      </c>
      <c r="AA182" s="65" t="s">
        <v>2861</v>
      </c>
    </row>
    <row r="183" spans="1:27" ht="17.45" hidden="1" customHeight="1">
      <c r="A183" s="100" t="str">
        <f>IF(priority(Main[[#This Row],[Comments]])&lt;&gt;0, priority(Main[[#This Row],[Comments]]),"")</f>
        <v/>
      </c>
      <c r="B183" s="77" t="s">
        <v>2568</v>
      </c>
      <c r="C183" s="65" t="s">
        <v>4</v>
      </c>
      <c r="D183" s="66" t="s">
        <v>2569</v>
      </c>
      <c r="E183" s="67">
        <v>40876.146770833337</v>
      </c>
      <c r="F183" s="67"/>
      <c r="G183" s="64" t="str">
        <f>IF(stdProdLT(Main[[#This Row],[Comments]])=0.1,"N/A",IF(stdProdLT(Main[[#This Row],[Comments]])=0,"",stdProdLT(Main[[#This Row],[Comments]])))</f>
        <v/>
      </c>
      <c r="H183" s="68" t="str">
        <f>IF(AND(Main[[#This Row],[In Stock Date]]&lt;&gt;"",Main[[#This Row],[Revised Due Date]]&lt;&gt;""),Main[[#This Row],[In Stock Date]]-Main[[#This Row],[Revised Due Date]],"")</f>
        <v/>
      </c>
      <c r="I183" s="65" t="s">
        <v>4</v>
      </c>
      <c r="J183" s="65" t="s">
        <v>4</v>
      </c>
      <c r="K183" s="65" t="s">
        <v>4</v>
      </c>
      <c r="L183" s="67"/>
      <c r="M183" s="69" t="str">
        <f>IF(Main[[#This Row],[Tech Start Date]]&lt;1/1/1990,"",IF(Main[[#This Row],[Class]]="C",WORKDAY(Main[[#This Row],[Tech Start Date]],9),IF(Main[[#This Row],[Class]]="B", WORKDAY(Main[[#This Row],[Tech Start Date]],6),IF(Main[[#This Row],[Class]]="A",WORKDAY(Main[[#This Row],[Tech Start Date]],2),""))))</f>
        <v/>
      </c>
      <c r="N183" s="69" t="str">
        <f>IF(Main[[#This Row],[Tech Start Date]]&lt;1/1/1990,"",IF(Main[[#This Row],[Class]]="C",WORKDAY(Main[[#This Row],[Tech Start Date]],19),IF(Main[[#This Row],[Class]]="B", WORKDAY(Main[[#This Row],[Tech Start Date]],12),IF(Main[[#This Row],[Class]]="A",WORKDAY(Main[[#This Row],[Tech Start Date]],4),""))))</f>
        <v/>
      </c>
      <c r="O183" s="69" t="str">
        <f>IF(Main[[#This Row],[Tech Start Date]]&lt;1/1/1990,"",IF(Main[[#This Row],[Class]]="C",WORKDAY(Main[[#This Row],[Tech Start Date]],23),IF(Main[[#This Row],[Class]]="B", WORKDAY(Main[[#This Row],[Tech Start Date]],15),IF(Main[[#This Row],[Class]]="A",WORKDAY(Main[[#This Row],[Tech Start Date]],5),""))))</f>
        <v/>
      </c>
      <c r="P183" s="69" t="str">
        <f>IF(Main[[#This Row],[Tech Start Date]]&lt;1/1/1990,"",IF(Main[[#This Row],[Class]]="C",WORKDAY(Main[[#This Row],[Tech Start Date]],28),IF(Main[[#This Row],[Class]]="B", WORKDAY(Main[[#This Row],[Tech Start Date]],19),IF(Main[[#This Row],[Class]]="A",WORKDAY(Main[[#This Row],[Tech Start Date]],9),""))))</f>
        <v/>
      </c>
      <c r="Q183" s="67">
        <v>40882</v>
      </c>
      <c r="R183" s="67"/>
      <c r="S183" s="65" t="s">
        <v>6</v>
      </c>
      <c r="T183" s="70" t="s">
        <v>4</v>
      </c>
      <c r="U183" s="65" t="s">
        <v>7</v>
      </c>
      <c r="V183" s="65" t="s">
        <v>1914</v>
      </c>
      <c r="W183" s="65" t="s">
        <v>4</v>
      </c>
      <c r="X183" s="65" t="s">
        <v>2822</v>
      </c>
      <c r="Y183" s="65" t="s">
        <v>2938</v>
      </c>
      <c r="Z183" s="65" t="s">
        <v>4</v>
      </c>
      <c r="AA183" s="65" t="s">
        <v>2822</v>
      </c>
    </row>
    <row r="184" spans="1:27" ht="17.45" hidden="1" customHeight="1">
      <c r="A184" s="100" t="str">
        <f>IF(priority(Main[[#This Row],[Comments]])&lt;&gt;0, priority(Main[[#This Row],[Comments]]),"")</f>
        <v/>
      </c>
      <c r="B184" s="77" t="s">
        <v>1142</v>
      </c>
      <c r="C184" s="65" t="s">
        <v>4</v>
      </c>
      <c r="D184" s="66" t="s">
        <v>196</v>
      </c>
      <c r="E184" s="67"/>
      <c r="F184" s="67"/>
      <c r="G184" s="64" t="str">
        <f>IF(stdProdLT(Main[[#This Row],[Comments]])=0.1,"N/A",IF(stdProdLT(Main[[#This Row],[Comments]])=0,"",stdProdLT(Main[[#This Row],[Comments]])))</f>
        <v/>
      </c>
      <c r="H184" s="68" t="str">
        <f>IF(AND(Main[[#This Row],[In Stock Date]]&lt;&gt;"",Main[[#This Row],[Revised Due Date]]&lt;&gt;""),Main[[#This Row],[In Stock Date]]-Main[[#This Row],[Revised Due Date]],"")</f>
        <v/>
      </c>
      <c r="I184" s="65" t="s">
        <v>4</v>
      </c>
      <c r="J184" s="65" t="s">
        <v>4</v>
      </c>
      <c r="K184" s="65" t="s">
        <v>4</v>
      </c>
      <c r="L184" s="67"/>
      <c r="M184" s="69" t="str">
        <f>IF(Main[[#This Row],[Tech Start Date]]&lt;1/1/1990,"",IF(Main[[#This Row],[Class]]="C",WORKDAY(Main[[#This Row],[Tech Start Date]],9),IF(Main[[#This Row],[Class]]="B", WORKDAY(Main[[#This Row],[Tech Start Date]],6),IF(Main[[#This Row],[Class]]="A",WORKDAY(Main[[#This Row],[Tech Start Date]],2),""))))</f>
        <v/>
      </c>
      <c r="N184" s="69" t="str">
        <f>IF(Main[[#This Row],[Tech Start Date]]&lt;1/1/1990,"",IF(Main[[#This Row],[Class]]="C",WORKDAY(Main[[#This Row],[Tech Start Date]],19),IF(Main[[#This Row],[Class]]="B", WORKDAY(Main[[#This Row],[Tech Start Date]],12),IF(Main[[#This Row],[Class]]="A",WORKDAY(Main[[#This Row],[Tech Start Date]],4),""))))</f>
        <v/>
      </c>
      <c r="O184" s="69" t="str">
        <f>IF(Main[[#This Row],[Tech Start Date]]&lt;1/1/1990,"",IF(Main[[#This Row],[Class]]="C",WORKDAY(Main[[#This Row],[Tech Start Date]],23),IF(Main[[#This Row],[Class]]="B", WORKDAY(Main[[#This Row],[Tech Start Date]],15),IF(Main[[#This Row],[Class]]="A",WORKDAY(Main[[#This Row],[Tech Start Date]],5),""))))</f>
        <v/>
      </c>
      <c r="P184" s="69" t="str">
        <f>IF(Main[[#This Row],[Tech Start Date]]&lt;1/1/1990,"",IF(Main[[#This Row],[Class]]="C",WORKDAY(Main[[#This Row],[Tech Start Date]],28),IF(Main[[#This Row],[Class]]="B", WORKDAY(Main[[#This Row],[Tech Start Date]],19),IF(Main[[#This Row],[Class]]="A",WORKDAY(Main[[#This Row],[Tech Start Date]],9),""))))</f>
        <v/>
      </c>
      <c r="Q184" s="67"/>
      <c r="R184" s="67"/>
      <c r="S184" s="65" t="s">
        <v>17</v>
      </c>
      <c r="T184" s="70" t="s">
        <v>4</v>
      </c>
      <c r="U184" s="65" t="s">
        <v>14</v>
      </c>
      <c r="V184" s="65" t="s">
        <v>1917</v>
      </c>
      <c r="W184" s="65" t="s">
        <v>1919</v>
      </c>
      <c r="X184" s="65" t="s">
        <v>553</v>
      </c>
      <c r="Y184" s="65" t="s">
        <v>2952</v>
      </c>
      <c r="Z184" s="65" t="s">
        <v>4</v>
      </c>
      <c r="AA184" s="65" t="s">
        <v>553</v>
      </c>
    </row>
    <row r="185" spans="1:27" ht="17.45" hidden="1" customHeight="1">
      <c r="A185" s="100" t="str">
        <f>IF(priority(Main[[#This Row],[Comments]])&lt;&gt;0, priority(Main[[#This Row],[Comments]]),"")</f>
        <v/>
      </c>
      <c r="B185" s="77" t="s">
        <v>1143</v>
      </c>
      <c r="C185" s="65" t="s">
        <v>197</v>
      </c>
      <c r="D185" s="66" t="s">
        <v>198</v>
      </c>
      <c r="E185" s="67"/>
      <c r="F185" s="67"/>
      <c r="G185" s="64" t="str">
        <f>IF(stdProdLT(Main[[#This Row],[Comments]])=0.1,"N/A",IF(stdProdLT(Main[[#This Row],[Comments]])=0,"",stdProdLT(Main[[#This Row],[Comments]])))</f>
        <v/>
      </c>
      <c r="H185" s="68" t="str">
        <f>IF(AND(Main[[#This Row],[In Stock Date]]&lt;&gt;"",Main[[#This Row],[Revised Due Date]]&lt;&gt;""),Main[[#This Row],[In Stock Date]]-Main[[#This Row],[Revised Due Date]],"")</f>
        <v/>
      </c>
      <c r="I185" s="65" t="s">
        <v>4</v>
      </c>
      <c r="J185" s="65" t="s">
        <v>4</v>
      </c>
      <c r="K185" s="65" t="s">
        <v>4</v>
      </c>
      <c r="L185" s="67"/>
      <c r="M185" s="69" t="str">
        <f>IF(Main[[#This Row],[Tech Start Date]]&lt;1/1/1990,"",IF(Main[[#This Row],[Class]]="C",WORKDAY(Main[[#This Row],[Tech Start Date]],9),IF(Main[[#This Row],[Class]]="B", WORKDAY(Main[[#This Row],[Tech Start Date]],6),IF(Main[[#This Row],[Class]]="A",WORKDAY(Main[[#This Row],[Tech Start Date]],2),""))))</f>
        <v/>
      </c>
      <c r="N185" s="69" t="str">
        <f>IF(Main[[#This Row],[Tech Start Date]]&lt;1/1/1990,"",IF(Main[[#This Row],[Class]]="C",WORKDAY(Main[[#This Row],[Tech Start Date]],19),IF(Main[[#This Row],[Class]]="B", WORKDAY(Main[[#This Row],[Tech Start Date]],12),IF(Main[[#This Row],[Class]]="A",WORKDAY(Main[[#This Row],[Tech Start Date]],4),""))))</f>
        <v/>
      </c>
      <c r="O185" s="69" t="str">
        <f>IF(Main[[#This Row],[Tech Start Date]]&lt;1/1/1990,"",IF(Main[[#This Row],[Class]]="C",WORKDAY(Main[[#This Row],[Tech Start Date]],23),IF(Main[[#This Row],[Class]]="B", WORKDAY(Main[[#This Row],[Tech Start Date]],15),IF(Main[[#This Row],[Class]]="A",WORKDAY(Main[[#This Row],[Tech Start Date]],5),""))))</f>
        <v/>
      </c>
      <c r="P185" s="69" t="str">
        <f>IF(Main[[#This Row],[Tech Start Date]]&lt;1/1/1990,"",IF(Main[[#This Row],[Class]]="C",WORKDAY(Main[[#This Row],[Tech Start Date]],28),IF(Main[[#This Row],[Class]]="B", WORKDAY(Main[[#This Row],[Tech Start Date]],19),IF(Main[[#This Row],[Class]]="A",WORKDAY(Main[[#This Row],[Tech Start Date]],9),""))))</f>
        <v/>
      </c>
      <c r="Q185" s="67">
        <v>40165</v>
      </c>
      <c r="R185" s="67"/>
      <c r="S185" s="65" t="s">
        <v>11</v>
      </c>
      <c r="T185" s="70" t="s">
        <v>4</v>
      </c>
      <c r="U185" s="65" t="s">
        <v>14</v>
      </c>
      <c r="V185" s="65" t="s">
        <v>1924</v>
      </c>
      <c r="W185" s="65" t="s">
        <v>1920</v>
      </c>
      <c r="X185" s="65" t="s">
        <v>883</v>
      </c>
      <c r="Y185" s="65" t="s">
        <v>2963</v>
      </c>
      <c r="Z185" s="65" t="s">
        <v>4</v>
      </c>
      <c r="AA185" s="65" t="s">
        <v>883</v>
      </c>
    </row>
    <row r="186" spans="1:27" ht="17.45" hidden="1" customHeight="1">
      <c r="A186" s="100" t="str">
        <f>IF(priority(Main[[#This Row],[Comments]])&lt;&gt;0, priority(Main[[#This Row],[Comments]]),"")</f>
        <v/>
      </c>
      <c r="B186" s="77" t="s">
        <v>1718</v>
      </c>
      <c r="C186" s="65" t="s">
        <v>4</v>
      </c>
      <c r="D186" s="66" t="s">
        <v>772</v>
      </c>
      <c r="E186" s="67"/>
      <c r="F186" s="67"/>
      <c r="G186" s="64" t="str">
        <f>IF(stdProdLT(Main[[#This Row],[Comments]])=0.1,"N/A",IF(stdProdLT(Main[[#This Row],[Comments]])=0,"",stdProdLT(Main[[#This Row],[Comments]])))</f>
        <v/>
      </c>
      <c r="H186" s="68" t="str">
        <f>IF(AND(Main[[#This Row],[In Stock Date]]&lt;&gt;"",Main[[#This Row],[Revised Due Date]]&lt;&gt;""),Main[[#This Row],[In Stock Date]]-Main[[#This Row],[Revised Due Date]],"")</f>
        <v/>
      </c>
      <c r="I186" s="65" t="s">
        <v>4</v>
      </c>
      <c r="J186" s="65" t="s">
        <v>28</v>
      </c>
      <c r="K186" s="71" t="s">
        <v>1926</v>
      </c>
      <c r="L186" s="67"/>
      <c r="M186" s="69" t="str">
        <f>IF(Main[[#This Row],[Tech Start Date]]&lt;1/1/1990,"",IF(Main[[#This Row],[Class]]="C",WORKDAY(Main[[#This Row],[Tech Start Date]],9),IF(Main[[#This Row],[Class]]="B", WORKDAY(Main[[#This Row],[Tech Start Date]],6),IF(Main[[#This Row],[Class]]="A",WORKDAY(Main[[#This Row],[Tech Start Date]],2),""))))</f>
        <v/>
      </c>
      <c r="N186" s="69" t="str">
        <f>IF(Main[[#This Row],[Tech Start Date]]&lt;1/1/1990,"",IF(Main[[#This Row],[Class]]="C",WORKDAY(Main[[#This Row],[Tech Start Date]],19),IF(Main[[#This Row],[Class]]="B", WORKDAY(Main[[#This Row],[Tech Start Date]],12),IF(Main[[#This Row],[Class]]="A",WORKDAY(Main[[#This Row],[Tech Start Date]],4),""))))</f>
        <v/>
      </c>
      <c r="O186" s="69" t="str">
        <f>IF(Main[[#This Row],[Tech Start Date]]&lt;1/1/1990,"",IF(Main[[#This Row],[Class]]="C",WORKDAY(Main[[#This Row],[Tech Start Date]],23),IF(Main[[#This Row],[Class]]="B", WORKDAY(Main[[#This Row],[Tech Start Date]],15),IF(Main[[#This Row],[Class]]="A",WORKDAY(Main[[#This Row],[Tech Start Date]],5),""))))</f>
        <v/>
      </c>
      <c r="P186" s="69" t="str">
        <f>IF(Main[[#This Row],[Tech Start Date]]&lt;1/1/1990,"",IF(Main[[#This Row],[Class]]="C",WORKDAY(Main[[#This Row],[Tech Start Date]],28),IF(Main[[#This Row],[Class]]="B", WORKDAY(Main[[#This Row],[Tech Start Date]],19),IF(Main[[#This Row],[Class]]="A",WORKDAY(Main[[#This Row],[Tech Start Date]],9),""))))</f>
        <v/>
      </c>
      <c r="Q186" s="67">
        <v>40633</v>
      </c>
      <c r="R186" s="67"/>
      <c r="S186" s="65" t="s">
        <v>17</v>
      </c>
      <c r="T186" s="70" t="s">
        <v>4</v>
      </c>
      <c r="U186" s="65" t="s">
        <v>14</v>
      </c>
      <c r="V186" s="65" t="s">
        <v>1914</v>
      </c>
      <c r="W186" s="65" t="s">
        <v>1919</v>
      </c>
      <c r="X186" s="65" t="s">
        <v>129</v>
      </c>
      <c r="Y186" s="65" t="s">
        <v>2933</v>
      </c>
      <c r="Z186" s="65" t="s">
        <v>129</v>
      </c>
      <c r="AA186" s="65" t="s">
        <v>129</v>
      </c>
    </row>
    <row r="187" spans="1:27" ht="17.45" hidden="1" customHeight="1">
      <c r="A187" s="100" t="str">
        <f>IF(priority(Main[[#This Row],[Comments]])&lt;&gt;0, priority(Main[[#This Row],[Comments]]),"")</f>
        <v/>
      </c>
      <c r="B187" s="77" t="s">
        <v>1145</v>
      </c>
      <c r="C187" s="65" t="s">
        <v>93</v>
      </c>
      <c r="D187" s="66" t="s">
        <v>200</v>
      </c>
      <c r="E187" s="67"/>
      <c r="F187" s="67"/>
      <c r="G187" s="64" t="str">
        <f>IF(stdProdLT(Main[[#This Row],[Comments]])=0.1,"N/A",IF(stdProdLT(Main[[#This Row],[Comments]])=0,"",stdProdLT(Main[[#This Row],[Comments]])))</f>
        <v/>
      </c>
      <c r="H187" s="68" t="str">
        <f>IF(AND(Main[[#This Row],[In Stock Date]]&lt;&gt;"",Main[[#This Row],[Revised Due Date]]&lt;&gt;""),Main[[#This Row],[In Stock Date]]-Main[[#This Row],[Revised Due Date]],"")</f>
        <v/>
      </c>
      <c r="I187" s="65" t="s">
        <v>4</v>
      </c>
      <c r="J187" s="65" t="s">
        <v>4</v>
      </c>
      <c r="K187" s="65" t="s">
        <v>4</v>
      </c>
      <c r="L187" s="67"/>
      <c r="M187" s="69" t="str">
        <f>IF(Main[[#This Row],[Tech Start Date]]&lt;1/1/1990,"",IF(Main[[#This Row],[Class]]="C",WORKDAY(Main[[#This Row],[Tech Start Date]],9),IF(Main[[#This Row],[Class]]="B", WORKDAY(Main[[#This Row],[Tech Start Date]],6),IF(Main[[#This Row],[Class]]="A",WORKDAY(Main[[#This Row],[Tech Start Date]],2),""))))</f>
        <v/>
      </c>
      <c r="N187" s="69" t="str">
        <f>IF(Main[[#This Row],[Tech Start Date]]&lt;1/1/1990,"",IF(Main[[#This Row],[Class]]="C",WORKDAY(Main[[#This Row],[Tech Start Date]],19),IF(Main[[#This Row],[Class]]="B", WORKDAY(Main[[#This Row],[Tech Start Date]],12),IF(Main[[#This Row],[Class]]="A",WORKDAY(Main[[#This Row],[Tech Start Date]],4),""))))</f>
        <v/>
      </c>
      <c r="O187" s="69" t="str">
        <f>IF(Main[[#This Row],[Tech Start Date]]&lt;1/1/1990,"",IF(Main[[#This Row],[Class]]="C",WORKDAY(Main[[#This Row],[Tech Start Date]],23),IF(Main[[#This Row],[Class]]="B", WORKDAY(Main[[#This Row],[Tech Start Date]],15),IF(Main[[#This Row],[Class]]="A",WORKDAY(Main[[#This Row],[Tech Start Date]],5),""))))</f>
        <v/>
      </c>
      <c r="P187" s="69" t="str">
        <f>IF(Main[[#This Row],[Tech Start Date]]&lt;1/1/1990,"",IF(Main[[#This Row],[Class]]="C",WORKDAY(Main[[#This Row],[Tech Start Date]],28),IF(Main[[#This Row],[Class]]="B", WORKDAY(Main[[#This Row],[Tech Start Date]],19),IF(Main[[#This Row],[Class]]="A",WORKDAY(Main[[#This Row],[Tech Start Date]],9),""))))</f>
        <v/>
      </c>
      <c r="Q187" s="67"/>
      <c r="R187" s="67"/>
      <c r="S187" s="65" t="s">
        <v>11</v>
      </c>
      <c r="T187" s="70" t="s">
        <v>4</v>
      </c>
      <c r="U187" s="65" t="s">
        <v>14</v>
      </c>
      <c r="V187" s="65" t="s">
        <v>1924</v>
      </c>
      <c r="W187" s="65" t="s">
        <v>1920</v>
      </c>
      <c r="X187" s="65" t="s">
        <v>306</v>
      </c>
      <c r="Y187" s="65" t="s">
        <v>2941</v>
      </c>
      <c r="Z187" s="65" t="s">
        <v>4</v>
      </c>
      <c r="AA187" s="65" t="s">
        <v>3377</v>
      </c>
    </row>
    <row r="188" spans="1:27" ht="17.45" hidden="1" customHeight="1">
      <c r="A188" s="100" t="str">
        <f>IF(priority(Main[[#This Row],[Comments]])&lt;&gt;0, priority(Main[[#This Row],[Comments]]),"")</f>
        <v/>
      </c>
      <c r="B188" s="77" t="s">
        <v>1146</v>
      </c>
      <c r="C188" s="65" t="s">
        <v>42</v>
      </c>
      <c r="D188" s="66" t="s">
        <v>201</v>
      </c>
      <c r="E188" s="67">
        <v>39952.329340277778</v>
      </c>
      <c r="F188" s="67"/>
      <c r="G188" s="64" t="str">
        <f>IF(stdProdLT(Main[[#This Row],[Comments]])=0.1,"N/A",IF(stdProdLT(Main[[#This Row],[Comments]])=0,"",stdProdLT(Main[[#This Row],[Comments]])))</f>
        <v/>
      </c>
      <c r="H188" s="68" t="str">
        <f>IF(AND(Main[[#This Row],[In Stock Date]]&lt;&gt;"",Main[[#This Row],[Revised Due Date]]&lt;&gt;""),Main[[#This Row],[In Stock Date]]-Main[[#This Row],[Revised Due Date]],"")</f>
        <v/>
      </c>
      <c r="I188" s="65" t="s">
        <v>4</v>
      </c>
      <c r="J188" s="65" t="s">
        <v>4</v>
      </c>
      <c r="K188" s="71" t="s">
        <v>4</v>
      </c>
      <c r="L188" s="67"/>
      <c r="M188" s="69" t="str">
        <f>IF(Main[[#This Row],[Tech Start Date]]&lt;1/1/1990,"",IF(Main[[#This Row],[Class]]="C",WORKDAY(Main[[#This Row],[Tech Start Date]],9),IF(Main[[#This Row],[Class]]="B", WORKDAY(Main[[#This Row],[Tech Start Date]],6),IF(Main[[#This Row],[Class]]="A",WORKDAY(Main[[#This Row],[Tech Start Date]],2),""))))</f>
        <v/>
      </c>
      <c r="N188" s="69" t="str">
        <f>IF(Main[[#This Row],[Tech Start Date]]&lt;1/1/1990,"",IF(Main[[#This Row],[Class]]="C",WORKDAY(Main[[#This Row],[Tech Start Date]],19),IF(Main[[#This Row],[Class]]="B", WORKDAY(Main[[#This Row],[Tech Start Date]],12),IF(Main[[#This Row],[Class]]="A",WORKDAY(Main[[#This Row],[Tech Start Date]],4),""))))</f>
        <v/>
      </c>
      <c r="O188" s="69" t="str">
        <f>IF(Main[[#This Row],[Tech Start Date]]&lt;1/1/1990,"",IF(Main[[#This Row],[Class]]="C",WORKDAY(Main[[#This Row],[Tech Start Date]],23),IF(Main[[#This Row],[Class]]="B", WORKDAY(Main[[#This Row],[Tech Start Date]],15),IF(Main[[#This Row],[Class]]="A",WORKDAY(Main[[#This Row],[Tech Start Date]],5),""))))</f>
        <v/>
      </c>
      <c r="P188" s="69" t="str">
        <f>IF(Main[[#This Row],[Tech Start Date]]&lt;1/1/1990,"",IF(Main[[#This Row],[Class]]="C",WORKDAY(Main[[#This Row],[Tech Start Date]],28),IF(Main[[#This Row],[Class]]="B", WORKDAY(Main[[#This Row],[Tech Start Date]],19),IF(Main[[#This Row],[Class]]="A",WORKDAY(Main[[#This Row],[Tech Start Date]],9),""))))</f>
        <v/>
      </c>
      <c r="Q188" s="67"/>
      <c r="R188" s="67"/>
      <c r="S188" s="65" t="s">
        <v>17</v>
      </c>
      <c r="T188" s="70" t="s">
        <v>4</v>
      </c>
      <c r="U188" s="65" t="s">
        <v>7</v>
      </c>
      <c r="V188" s="65" t="s">
        <v>1917</v>
      </c>
      <c r="W188" s="65" t="s">
        <v>4</v>
      </c>
      <c r="X188" s="65" t="s">
        <v>399</v>
      </c>
      <c r="Y188" s="65" t="s">
        <v>4</v>
      </c>
      <c r="Z188" s="65" t="s">
        <v>4</v>
      </c>
      <c r="AA188" s="65" t="s">
        <v>3399</v>
      </c>
    </row>
    <row r="189" spans="1:27" ht="17.45" hidden="1" customHeight="1">
      <c r="A189" s="100" t="str">
        <f>IF(priority(Main[[#This Row],[Comments]])&lt;&gt;0, priority(Main[[#This Row],[Comments]]),"")</f>
        <v/>
      </c>
      <c r="B189" s="77" t="s">
        <v>1147</v>
      </c>
      <c r="C189" s="65" t="s">
        <v>58</v>
      </c>
      <c r="D189" s="66" t="s">
        <v>202</v>
      </c>
      <c r="E189" s="67"/>
      <c r="F189" s="67">
        <v>40697</v>
      </c>
      <c r="G189" s="64" t="str">
        <f>IF(stdProdLT(Main[[#This Row],[Comments]])=0.1,"N/A",IF(stdProdLT(Main[[#This Row],[Comments]])=0,"",stdProdLT(Main[[#This Row],[Comments]])))</f>
        <v/>
      </c>
      <c r="H189" s="68" t="str">
        <f>IF(AND(Main[[#This Row],[In Stock Date]]&lt;&gt;"",Main[[#This Row],[Revised Due Date]]&lt;&gt;""),Main[[#This Row],[In Stock Date]]-Main[[#This Row],[Revised Due Date]],"")</f>
        <v/>
      </c>
      <c r="I189" s="65" t="s">
        <v>4</v>
      </c>
      <c r="J189" s="65" t="s">
        <v>4</v>
      </c>
      <c r="K189" s="65" t="s">
        <v>4</v>
      </c>
      <c r="L189" s="67"/>
      <c r="M189" s="69" t="str">
        <f>IF(Main[[#This Row],[Tech Start Date]]&lt;1/1/1990,"",IF(Main[[#This Row],[Class]]="C",WORKDAY(Main[[#This Row],[Tech Start Date]],9),IF(Main[[#This Row],[Class]]="B", WORKDAY(Main[[#This Row],[Tech Start Date]],6),IF(Main[[#This Row],[Class]]="A",WORKDAY(Main[[#This Row],[Tech Start Date]],2),""))))</f>
        <v/>
      </c>
      <c r="N189" s="69" t="str">
        <f>IF(Main[[#This Row],[Tech Start Date]]&lt;1/1/1990,"",IF(Main[[#This Row],[Class]]="C",WORKDAY(Main[[#This Row],[Tech Start Date]],19),IF(Main[[#This Row],[Class]]="B", WORKDAY(Main[[#This Row],[Tech Start Date]],12),IF(Main[[#This Row],[Class]]="A",WORKDAY(Main[[#This Row],[Tech Start Date]],4),""))))</f>
        <v/>
      </c>
      <c r="O189" s="69" t="str">
        <f>IF(Main[[#This Row],[Tech Start Date]]&lt;1/1/1990,"",IF(Main[[#This Row],[Class]]="C",WORKDAY(Main[[#This Row],[Tech Start Date]],23),IF(Main[[#This Row],[Class]]="B", WORKDAY(Main[[#This Row],[Tech Start Date]],15),IF(Main[[#This Row],[Class]]="A",WORKDAY(Main[[#This Row],[Tech Start Date]],5),""))))</f>
        <v/>
      </c>
      <c r="P189" s="69" t="str">
        <f>IF(Main[[#This Row],[Tech Start Date]]&lt;1/1/1990,"",IF(Main[[#This Row],[Class]]="C",WORKDAY(Main[[#This Row],[Tech Start Date]],28),IF(Main[[#This Row],[Class]]="B", WORKDAY(Main[[#This Row],[Tech Start Date]],19),IF(Main[[#This Row],[Class]]="A",WORKDAY(Main[[#This Row],[Tech Start Date]],9),""))))</f>
        <v/>
      </c>
      <c r="Q189" s="67">
        <v>40539</v>
      </c>
      <c r="R189" s="67"/>
      <c r="S189" s="65" t="s">
        <v>11</v>
      </c>
      <c r="T189" s="70" t="s">
        <v>4</v>
      </c>
      <c r="U189" s="65" t="s">
        <v>14</v>
      </c>
      <c r="V189" s="65" t="s">
        <v>1914</v>
      </c>
      <c r="W189" s="65" t="s">
        <v>1920</v>
      </c>
      <c r="X189" s="65" t="s">
        <v>2829</v>
      </c>
      <c r="Y189" s="65" t="s">
        <v>2951</v>
      </c>
      <c r="Z189" s="65" t="s">
        <v>4</v>
      </c>
      <c r="AA189" s="65" t="s">
        <v>2829</v>
      </c>
    </row>
    <row r="190" spans="1:27" ht="17.45" hidden="1" customHeight="1">
      <c r="A190" s="100" t="str">
        <f>IF(priority(Main[[#This Row],[Comments]])&lt;&gt;0, priority(Main[[#This Row],[Comments]]),"")</f>
        <v/>
      </c>
      <c r="B190" s="77" t="s">
        <v>1148</v>
      </c>
      <c r="C190" s="65" t="s">
        <v>203</v>
      </c>
      <c r="D190" s="66" t="s">
        <v>204</v>
      </c>
      <c r="E190" s="67"/>
      <c r="F190" s="67"/>
      <c r="G190" s="64" t="str">
        <f>IF(stdProdLT(Main[[#This Row],[Comments]])=0.1,"N/A",IF(stdProdLT(Main[[#This Row],[Comments]])=0,"",stdProdLT(Main[[#This Row],[Comments]])))</f>
        <v/>
      </c>
      <c r="H190" s="68" t="str">
        <f>IF(AND(Main[[#This Row],[In Stock Date]]&lt;&gt;"",Main[[#This Row],[Revised Due Date]]&lt;&gt;""),Main[[#This Row],[In Stock Date]]-Main[[#This Row],[Revised Due Date]],"")</f>
        <v/>
      </c>
      <c r="I190" s="65" t="s">
        <v>4</v>
      </c>
      <c r="J190" s="65" t="s">
        <v>4</v>
      </c>
      <c r="K190" s="65" t="s">
        <v>4</v>
      </c>
      <c r="L190" s="67"/>
      <c r="M190" s="69" t="str">
        <f>IF(Main[[#This Row],[Tech Start Date]]&lt;1/1/1990,"",IF(Main[[#This Row],[Class]]="C",WORKDAY(Main[[#This Row],[Tech Start Date]],9),IF(Main[[#This Row],[Class]]="B", WORKDAY(Main[[#This Row],[Tech Start Date]],6),IF(Main[[#This Row],[Class]]="A",WORKDAY(Main[[#This Row],[Tech Start Date]],2),""))))</f>
        <v/>
      </c>
      <c r="N190" s="69" t="str">
        <f>IF(Main[[#This Row],[Tech Start Date]]&lt;1/1/1990,"",IF(Main[[#This Row],[Class]]="C",WORKDAY(Main[[#This Row],[Tech Start Date]],19),IF(Main[[#This Row],[Class]]="B", WORKDAY(Main[[#This Row],[Tech Start Date]],12),IF(Main[[#This Row],[Class]]="A",WORKDAY(Main[[#This Row],[Tech Start Date]],4),""))))</f>
        <v/>
      </c>
      <c r="O190" s="69" t="str">
        <f>IF(Main[[#This Row],[Tech Start Date]]&lt;1/1/1990,"",IF(Main[[#This Row],[Class]]="C",WORKDAY(Main[[#This Row],[Tech Start Date]],23),IF(Main[[#This Row],[Class]]="B", WORKDAY(Main[[#This Row],[Tech Start Date]],15),IF(Main[[#This Row],[Class]]="A",WORKDAY(Main[[#This Row],[Tech Start Date]],5),""))))</f>
        <v/>
      </c>
      <c r="P190" s="69" t="str">
        <f>IF(Main[[#This Row],[Tech Start Date]]&lt;1/1/1990,"",IF(Main[[#This Row],[Class]]="C",WORKDAY(Main[[#This Row],[Tech Start Date]],28),IF(Main[[#This Row],[Class]]="B", WORKDAY(Main[[#This Row],[Tech Start Date]],19),IF(Main[[#This Row],[Class]]="A",WORKDAY(Main[[#This Row],[Tech Start Date]],9),""))))</f>
        <v/>
      </c>
      <c r="Q190" s="67">
        <v>40302</v>
      </c>
      <c r="R190" s="67"/>
      <c r="S190" s="65" t="s">
        <v>11</v>
      </c>
      <c r="T190" s="70" t="s">
        <v>4</v>
      </c>
      <c r="U190" s="65" t="s">
        <v>14</v>
      </c>
      <c r="V190" s="65" t="s">
        <v>1914</v>
      </c>
      <c r="W190" s="65" t="s">
        <v>1916</v>
      </c>
      <c r="X190" s="65" t="s">
        <v>2854</v>
      </c>
      <c r="Y190" s="65" t="s">
        <v>4</v>
      </c>
      <c r="Z190" s="65" t="s">
        <v>4</v>
      </c>
      <c r="AA190" s="65" t="s">
        <v>2854</v>
      </c>
    </row>
    <row r="191" spans="1:27" ht="17.45" hidden="1" customHeight="1">
      <c r="A191" s="100" t="str">
        <f>IF(priority(Main[[#This Row],[Comments]])&lt;&gt;0, priority(Main[[#This Row],[Comments]]),"")</f>
        <v/>
      </c>
      <c r="B191" s="77" t="s">
        <v>2420</v>
      </c>
      <c r="C191" s="65" t="s">
        <v>4</v>
      </c>
      <c r="D191" s="66" t="s">
        <v>2659</v>
      </c>
      <c r="E191" s="67">
        <v>40842.390289351853</v>
      </c>
      <c r="F191" s="67"/>
      <c r="G191" s="64" t="str">
        <f>IF(stdProdLT(Main[[#This Row],[Comments]])=0.1,"N/A",IF(stdProdLT(Main[[#This Row],[Comments]])=0,"",stdProdLT(Main[[#This Row],[Comments]])))</f>
        <v/>
      </c>
      <c r="H191" s="68" t="str">
        <f>IF(AND(Main[[#This Row],[In Stock Date]]&lt;&gt;"",Main[[#This Row],[Revised Due Date]]&lt;&gt;""),Main[[#This Row],[In Stock Date]]-Main[[#This Row],[Revised Due Date]],"")</f>
        <v/>
      </c>
      <c r="I191" s="65" t="s">
        <v>4</v>
      </c>
      <c r="J191" s="65" t="s">
        <v>4</v>
      </c>
      <c r="K191" s="65" t="s">
        <v>4</v>
      </c>
      <c r="L191" s="67"/>
      <c r="M191" s="69" t="str">
        <f>IF(Main[[#This Row],[Tech Start Date]]&lt;1/1/1990,"",IF(Main[[#This Row],[Class]]="C",WORKDAY(Main[[#This Row],[Tech Start Date]],9),IF(Main[[#This Row],[Class]]="B", WORKDAY(Main[[#This Row],[Tech Start Date]],6),IF(Main[[#This Row],[Class]]="A",WORKDAY(Main[[#This Row],[Tech Start Date]],2),""))))</f>
        <v/>
      </c>
      <c r="N191" s="69" t="str">
        <f>IF(Main[[#This Row],[Tech Start Date]]&lt;1/1/1990,"",IF(Main[[#This Row],[Class]]="C",WORKDAY(Main[[#This Row],[Tech Start Date]],19),IF(Main[[#This Row],[Class]]="B", WORKDAY(Main[[#This Row],[Tech Start Date]],12),IF(Main[[#This Row],[Class]]="A",WORKDAY(Main[[#This Row],[Tech Start Date]],4),""))))</f>
        <v/>
      </c>
      <c r="O191" s="69" t="str">
        <f>IF(Main[[#This Row],[Tech Start Date]]&lt;1/1/1990,"",IF(Main[[#This Row],[Class]]="C",WORKDAY(Main[[#This Row],[Tech Start Date]],23),IF(Main[[#This Row],[Class]]="B", WORKDAY(Main[[#This Row],[Tech Start Date]],15),IF(Main[[#This Row],[Class]]="A",WORKDAY(Main[[#This Row],[Tech Start Date]],5),""))))</f>
        <v/>
      </c>
      <c r="P191" s="69" t="str">
        <f>IF(Main[[#This Row],[Tech Start Date]]&lt;1/1/1990,"",IF(Main[[#This Row],[Class]]="C",WORKDAY(Main[[#This Row],[Tech Start Date]],28),IF(Main[[#This Row],[Class]]="B", WORKDAY(Main[[#This Row],[Tech Start Date]],19),IF(Main[[#This Row],[Class]]="A",WORKDAY(Main[[#This Row],[Tech Start Date]],9),""))))</f>
        <v/>
      </c>
      <c r="Q191" s="67"/>
      <c r="R191" s="67"/>
      <c r="S191" s="65" t="s">
        <v>17</v>
      </c>
      <c r="T191" s="70" t="s">
        <v>4</v>
      </c>
      <c r="U191" s="65" t="s">
        <v>29</v>
      </c>
      <c r="V191" s="65" t="s">
        <v>1915</v>
      </c>
      <c r="W191" s="65" t="s">
        <v>1922</v>
      </c>
      <c r="X191" s="65" t="s">
        <v>2862</v>
      </c>
      <c r="Y191" s="65" t="s">
        <v>3006</v>
      </c>
      <c r="Z191" s="65" t="s">
        <v>4</v>
      </c>
      <c r="AA191" s="65" t="s">
        <v>2862</v>
      </c>
    </row>
    <row r="192" spans="1:27" ht="17.45" hidden="1" customHeight="1">
      <c r="A192" s="100" t="str">
        <f>IF(priority(Main[[#This Row],[Comments]])&lt;&gt;0, priority(Main[[#This Row],[Comments]]),"")</f>
        <v/>
      </c>
      <c r="B192" s="77" t="s">
        <v>1149</v>
      </c>
      <c r="C192" s="65" t="s">
        <v>205</v>
      </c>
      <c r="D192" s="66" t="s">
        <v>206</v>
      </c>
      <c r="E192" s="67"/>
      <c r="F192" s="67"/>
      <c r="G192" s="64" t="str">
        <f>IF(stdProdLT(Main[[#This Row],[Comments]])=0.1,"N/A",IF(stdProdLT(Main[[#This Row],[Comments]])=0,"",stdProdLT(Main[[#This Row],[Comments]])))</f>
        <v/>
      </c>
      <c r="H192" s="68" t="str">
        <f>IF(AND(Main[[#This Row],[In Stock Date]]&lt;&gt;"",Main[[#This Row],[Revised Due Date]]&lt;&gt;""),Main[[#This Row],[In Stock Date]]-Main[[#This Row],[Revised Due Date]],"")</f>
        <v/>
      </c>
      <c r="I192" s="65" t="s">
        <v>4</v>
      </c>
      <c r="J192" s="65" t="s">
        <v>4</v>
      </c>
      <c r="K192" s="65" t="s">
        <v>4</v>
      </c>
      <c r="L192" s="67"/>
      <c r="M192" s="69" t="str">
        <f>IF(Main[[#This Row],[Tech Start Date]]&lt;1/1/1990,"",IF(Main[[#This Row],[Class]]="C",WORKDAY(Main[[#This Row],[Tech Start Date]],9),IF(Main[[#This Row],[Class]]="B", WORKDAY(Main[[#This Row],[Tech Start Date]],6),IF(Main[[#This Row],[Class]]="A",WORKDAY(Main[[#This Row],[Tech Start Date]],2),""))))</f>
        <v/>
      </c>
      <c r="N192" s="69" t="str">
        <f>IF(Main[[#This Row],[Tech Start Date]]&lt;1/1/1990,"",IF(Main[[#This Row],[Class]]="C",WORKDAY(Main[[#This Row],[Tech Start Date]],19),IF(Main[[#This Row],[Class]]="B", WORKDAY(Main[[#This Row],[Tech Start Date]],12),IF(Main[[#This Row],[Class]]="A",WORKDAY(Main[[#This Row],[Tech Start Date]],4),""))))</f>
        <v/>
      </c>
      <c r="O192" s="69" t="str">
        <f>IF(Main[[#This Row],[Tech Start Date]]&lt;1/1/1990,"",IF(Main[[#This Row],[Class]]="C",WORKDAY(Main[[#This Row],[Tech Start Date]],23),IF(Main[[#This Row],[Class]]="B", WORKDAY(Main[[#This Row],[Tech Start Date]],15),IF(Main[[#This Row],[Class]]="A",WORKDAY(Main[[#This Row],[Tech Start Date]],5),""))))</f>
        <v/>
      </c>
      <c r="P192" s="69" t="str">
        <f>IF(Main[[#This Row],[Tech Start Date]]&lt;1/1/1990,"",IF(Main[[#This Row],[Class]]="C",WORKDAY(Main[[#This Row],[Tech Start Date]],28),IF(Main[[#This Row],[Class]]="B", WORKDAY(Main[[#This Row],[Tech Start Date]],19),IF(Main[[#This Row],[Class]]="A",WORKDAY(Main[[#This Row],[Tech Start Date]],9),""))))</f>
        <v/>
      </c>
      <c r="Q192" s="67">
        <v>40116</v>
      </c>
      <c r="R192" s="67"/>
      <c r="S192" s="65" t="s">
        <v>11</v>
      </c>
      <c r="T192" s="70" t="s">
        <v>4</v>
      </c>
      <c r="U192" s="65" t="s">
        <v>14</v>
      </c>
      <c r="V192" s="65" t="s">
        <v>1917</v>
      </c>
      <c r="W192" s="65" t="s">
        <v>1916</v>
      </c>
      <c r="X192" s="65" t="s">
        <v>2863</v>
      </c>
      <c r="Y192" s="65" t="s">
        <v>4</v>
      </c>
      <c r="Z192" s="65" t="s">
        <v>4</v>
      </c>
      <c r="AA192" s="65" t="s">
        <v>2863</v>
      </c>
    </row>
    <row r="193" spans="1:27" ht="17.45" hidden="1" customHeight="1">
      <c r="A193" s="100" t="str">
        <f>IF(priority(Main[[#This Row],[Comments]])&lt;&gt;0, priority(Main[[#This Row],[Comments]]),"")</f>
        <v/>
      </c>
      <c r="B193" s="77" t="s">
        <v>1150</v>
      </c>
      <c r="C193" s="65" t="s">
        <v>205</v>
      </c>
      <c r="D193" s="66" t="s">
        <v>207</v>
      </c>
      <c r="E193" s="67"/>
      <c r="F193" s="67"/>
      <c r="G193" s="64" t="str">
        <f>IF(stdProdLT(Main[[#This Row],[Comments]])=0.1,"N/A",IF(stdProdLT(Main[[#This Row],[Comments]])=0,"",stdProdLT(Main[[#This Row],[Comments]])))</f>
        <v/>
      </c>
      <c r="H193" s="68" t="str">
        <f>IF(AND(Main[[#This Row],[In Stock Date]]&lt;&gt;"",Main[[#This Row],[Revised Due Date]]&lt;&gt;""),Main[[#This Row],[In Stock Date]]-Main[[#This Row],[Revised Due Date]],"")</f>
        <v/>
      </c>
      <c r="I193" s="65" t="s">
        <v>4</v>
      </c>
      <c r="J193" s="65" t="s">
        <v>4</v>
      </c>
      <c r="K193" s="65" t="s">
        <v>4</v>
      </c>
      <c r="L193" s="67"/>
      <c r="M193" s="69" t="str">
        <f>IF(Main[[#This Row],[Tech Start Date]]&lt;1/1/1990,"",IF(Main[[#This Row],[Class]]="C",WORKDAY(Main[[#This Row],[Tech Start Date]],9),IF(Main[[#This Row],[Class]]="B", WORKDAY(Main[[#This Row],[Tech Start Date]],6),IF(Main[[#This Row],[Class]]="A",WORKDAY(Main[[#This Row],[Tech Start Date]],2),""))))</f>
        <v/>
      </c>
      <c r="N193" s="69" t="str">
        <f>IF(Main[[#This Row],[Tech Start Date]]&lt;1/1/1990,"",IF(Main[[#This Row],[Class]]="C",WORKDAY(Main[[#This Row],[Tech Start Date]],19),IF(Main[[#This Row],[Class]]="B", WORKDAY(Main[[#This Row],[Tech Start Date]],12),IF(Main[[#This Row],[Class]]="A",WORKDAY(Main[[#This Row],[Tech Start Date]],4),""))))</f>
        <v/>
      </c>
      <c r="O193" s="69" t="str">
        <f>IF(Main[[#This Row],[Tech Start Date]]&lt;1/1/1990,"",IF(Main[[#This Row],[Class]]="C",WORKDAY(Main[[#This Row],[Tech Start Date]],23),IF(Main[[#This Row],[Class]]="B", WORKDAY(Main[[#This Row],[Tech Start Date]],15),IF(Main[[#This Row],[Class]]="A",WORKDAY(Main[[#This Row],[Tech Start Date]],5),""))))</f>
        <v/>
      </c>
      <c r="P193" s="69" t="str">
        <f>IF(Main[[#This Row],[Tech Start Date]]&lt;1/1/1990,"",IF(Main[[#This Row],[Class]]="C",WORKDAY(Main[[#This Row],[Tech Start Date]],28),IF(Main[[#This Row],[Class]]="B", WORKDAY(Main[[#This Row],[Tech Start Date]],19),IF(Main[[#This Row],[Class]]="A",WORKDAY(Main[[#This Row],[Tech Start Date]],9),""))))</f>
        <v/>
      </c>
      <c r="Q193" s="67">
        <v>40116</v>
      </c>
      <c r="R193" s="67"/>
      <c r="S193" s="65" t="s">
        <v>11</v>
      </c>
      <c r="T193" s="70" t="s">
        <v>4</v>
      </c>
      <c r="U193" s="65" t="s">
        <v>14</v>
      </c>
      <c r="V193" s="65" t="s">
        <v>1917</v>
      </c>
      <c r="W193" s="65" t="s">
        <v>1916</v>
      </c>
      <c r="X193" s="65" t="s">
        <v>2863</v>
      </c>
      <c r="Y193" s="65" t="s">
        <v>4</v>
      </c>
      <c r="Z193" s="65" t="s">
        <v>4</v>
      </c>
      <c r="AA193" s="65" t="s">
        <v>2863</v>
      </c>
    </row>
    <row r="194" spans="1:27" ht="17.45" hidden="1" customHeight="1">
      <c r="A194" s="100" t="str">
        <f>IF(priority(Main[[#This Row],[Comments]])&lt;&gt;0, priority(Main[[#This Row],[Comments]]),"")</f>
        <v/>
      </c>
      <c r="B194" s="77" t="s">
        <v>1859</v>
      </c>
      <c r="C194" s="65" t="s">
        <v>31</v>
      </c>
      <c r="D194" s="66" t="s">
        <v>916</v>
      </c>
      <c r="E194" s="67"/>
      <c r="F194" s="67">
        <v>40664</v>
      </c>
      <c r="G194" s="64" t="str">
        <f>IF(stdProdLT(Main[[#This Row],[Comments]])=0.1,"N/A",IF(stdProdLT(Main[[#This Row],[Comments]])=0,"",stdProdLT(Main[[#This Row],[Comments]])))</f>
        <v/>
      </c>
      <c r="H194" s="68">
        <f>IF(AND(Main[[#This Row],[In Stock Date]]&lt;&gt;"",Main[[#This Row],[Revised Due Date]]&lt;&gt;""),Main[[#This Row],[In Stock Date]]-Main[[#This Row],[Revised Due Date]],"")</f>
        <v>87</v>
      </c>
      <c r="I194" s="65" t="s">
        <v>417</v>
      </c>
      <c r="J194" s="65" t="s">
        <v>75</v>
      </c>
      <c r="K194" s="65" t="s">
        <v>1923</v>
      </c>
      <c r="L194" s="67"/>
      <c r="M194" s="69" t="str">
        <f>IF(Main[[#This Row],[Tech Start Date]]&lt;1/1/1990,"",IF(Main[[#This Row],[Class]]="C",WORKDAY(Main[[#This Row],[Tech Start Date]],9),IF(Main[[#This Row],[Class]]="B", WORKDAY(Main[[#This Row],[Tech Start Date]],6),IF(Main[[#This Row],[Class]]="A",WORKDAY(Main[[#This Row],[Tech Start Date]],2),""))))</f>
        <v/>
      </c>
      <c r="N194" s="69" t="str">
        <f>IF(Main[[#This Row],[Tech Start Date]]&lt;1/1/1990,"",IF(Main[[#This Row],[Class]]="C",WORKDAY(Main[[#This Row],[Tech Start Date]],19),IF(Main[[#This Row],[Class]]="B", WORKDAY(Main[[#This Row],[Tech Start Date]],12),IF(Main[[#This Row],[Class]]="A",WORKDAY(Main[[#This Row],[Tech Start Date]],4),""))))</f>
        <v/>
      </c>
      <c r="O194" s="69" t="str">
        <f>IF(Main[[#This Row],[Tech Start Date]]&lt;1/1/1990,"",IF(Main[[#This Row],[Class]]="C",WORKDAY(Main[[#This Row],[Tech Start Date]],23),IF(Main[[#This Row],[Class]]="B", WORKDAY(Main[[#This Row],[Tech Start Date]],15),IF(Main[[#This Row],[Class]]="A",WORKDAY(Main[[#This Row],[Tech Start Date]],5),""))))</f>
        <v/>
      </c>
      <c r="P194" s="69" t="str">
        <f>IF(Main[[#This Row],[Tech Start Date]]&lt;1/1/1990,"",IF(Main[[#This Row],[Class]]="C",WORKDAY(Main[[#This Row],[Tech Start Date]],28),IF(Main[[#This Row],[Class]]="B", WORKDAY(Main[[#This Row],[Tech Start Date]],19),IF(Main[[#This Row],[Class]]="A",WORKDAY(Main[[#This Row],[Tech Start Date]],9),""))))</f>
        <v/>
      </c>
      <c r="Q194" s="67">
        <v>40589</v>
      </c>
      <c r="R194" s="67">
        <v>40577</v>
      </c>
      <c r="S194" s="65" t="s">
        <v>11</v>
      </c>
      <c r="T194" s="70" t="s">
        <v>4</v>
      </c>
      <c r="U194" s="65" t="s">
        <v>14</v>
      </c>
      <c r="V194" s="65" t="s">
        <v>1917</v>
      </c>
      <c r="W194" s="65" t="s">
        <v>1920</v>
      </c>
      <c r="X194" s="65" t="s">
        <v>2825</v>
      </c>
      <c r="Y194" s="65" t="s">
        <v>2967</v>
      </c>
      <c r="Z194" s="65" t="s">
        <v>530</v>
      </c>
      <c r="AA194" s="65" t="s">
        <v>2825</v>
      </c>
    </row>
    <row r="195" spans="1:27" ht="17.45" hidden="1" customHeight="1">
      <c r="A195" s="100" t="str">
        <f>IF(priority(Main[[#This Row],[Comments]])&lt;&gt;0, priority(Main[[#This Row],[Comments]]),"")</f>
        <v/>
      </c>
      <c r="B195" s="77" t="s">
        <v>1157</v>
      </c>
      <c r="C195" s="65" t="s">
        <v>211</v>
      </c>
      <c r="D195" s="66" t="s">
        <v>212</v>
      </c>
      <c r="E195" s="67"/>
      <c r="F195" s="67">
        <v>40391</v>
      </c>
      <c r="G195" s="64" t="str">
        <f>IF(stdProdLT(Main[[#This Row],[Comments]])=0.1,"N/A",IF(stdProdLT(Main[[#This Row],[Comments]])=0,"",stdProdLT(Main[[#This Row],[Comments]])))</f>
        <v/>
      </c>
      <c r="H195" s="68" t="str">
        <f>IF(AND(Main[[#This Row],[In Stock Date]]&lt;&gt;"",Main[[#This Row],[Revised Due Date]]&lt;&gt;""),Main[[#This Row],[In Stock Date]]-Main[[#This Row],[Revised Due Date]],"")</f>
        <v/>
      </c>
      <c r="I195" s="65" t="s">
        <v>4</v>
      </c>
      <c r="J195" s="65" t="s">
        <v>4</v>
      </c>
      <c r="K195" s="65" t="s">
        <v>4</v>
      </c>
      <c r="L195" s="67"/>
      <c r="M195" s="69" t="str">
        <f>IF(Main[[#This Row],[Tech Start Date]]&lt;1/1/1990,"",IF(Main[[#This Row],[Class]]="C",WORKDAY(Main[[#This Row],[Tech Start Date]],9),IF(Main[[#This Row],[Class]]="B", WORKDAY(Main[[#This Row],[Tech Start Date]],6),IF(Main[[#This Row],[Class]]="A",WORKDAY(Main[[#This Row],[Tech Start Date]],2),""))))</f>
        <v/>
      </c>
      <c r="N195" s="69" t="str">
        <f>IF(Main[[#This Row],[Tech Start Date]]&lt;1/1/1990,"",IF(Main[[#This Row],[Class]]="C",WORKDAY(Main[[#This Row],[Tech Start Date]],19),IF(Main[[#This Row],[Class]]="B", WORKDAY(Main[[#This Row],[Tech Start Date]],12),IF(Main[[#This Row],[Class]]="A",WORKDAY(Main[[#This Row],[Tech Start Date]],4),""))))</f>
        <v/>
      </c>
      <c r="O195" s="69" t="str">
        <f>IF(Main[[#This Row],[Tech Start Date]]&lt;1/1/1990,"",IF(Main[[#This Row],[Class]]="C",WORKDAY(Main[[#This Row],[Tech Start Date]],23),IF(Main[[#This Row],[Class]]="B", WORKDAY(Main[[#This Row],[Tech Start Date]],15),IF(Main[[#This Row],[Class]]="A",WORKDAY(Main[[#This Row],[Tech Start Date]],5),""))))</f>
        <v/>
      </c>
      <c r="P195" s="69" t="str">
        <f>IF(Main[[#This Row],[Tech Start Date]]&lt;1/1/1990,"",IF(Main[[#This Row],[Class]]="C",WORKDAY(Main[[#This Row],[Tech Start Date]],28),IF(Main[[#This Row],[Class]]="B", WORKDAY(Main[[#This Row],[Tech Start Date]],19),IF(Main[[#This Row],[Class]]="A",WORKDAY(Main[[#This Row],[Tech Start Date]],9),""))))</f>
        <v/>
      </c>
      <c r="Q195" s="67">
        <v>40296</v>
      </c>
      <c r="R195" s="67"/>
      <c r="S195" s="65" t="s">
        <v>11</v>
      </c>
      <c r="T195" s="70" t="s">
        <v>4</v>
      </c>
      <c r="U195" s="65" t="s">
        <v>12</v>
      </c>
      <c r="V195" s="65" t="s">
        <v>1914</v>
      </c>
      <c r="W195" s="65" t="s">
        <v>1922</v>
      </c>
      <c r="X195" s="65" t="s">
        <v>2833</v>
      </c>
      <c r="Y195" s="65" t="s">
        <v>4</v>
      </c>
      <c r="Z195" s="65" t="s">
        <v>4</v>
      </c>
      <c r="AA195" s="65" t="s">
        <v>2833</v>
      </c>
    </row>
    <row r="196" spans="1:27" ht="17.45" hidden="1" customHeight="1">
      <c r="A196" s="100" t="str">
        <f>IF(priority(Main[[#This Row],[Comments]])&lt;&gt;0, priority(Main[[#This Row],[Comments]]),"")</f>
        <v/>
      </c>
      <c r="B196" s="77" t="s">
        <v>1159</v>
      </c>
      <c r="C196" s="65" t="s">
        <v>213</v>
      </c>
      <c r="D196" s="66" t="s">
        <v>214</v>
      </c>
      <c r="E196" s="67">
        <v>40395.391388888886</v>
      </c>
      <c r="F196" s="67">
        <v>40574</v>
      </c>
      <c r="G196" s="64" t="str">
        <f>IF(stdProdLT(Main[[#This Row],[Comments]])=0.1,"N/A",IF(stdProdLT(Main[[#This Row],[Comments]])=0,"",stdProdLT(Main[[#This Row],[Comments]])))</f>
        <v/>
      </c>
      <c r="H196" s="68" t="str">
        <f>IF(AND(Main[[#This Row],[In Stock Date]]&lt;&gt;"",Main[[#This Row],[Revised Due Date]]&lt;&gt;""),Main[[#This Row],[In Stock Date]]-Main[[#This Row],[Revised Due Date]],"")</f>
        <v/>
      </c>
      <c r="I196" s="65" t="s">
        <v>4</v>
      </c>
      <c r="J196" s="65" t="s">
        <v>28</v>
      </c>
      <c r="K196" s="65" t="s">
        <v>4</v>
      </c>
      <c r="L196" s="67"/>
      <c r="M196" s="69" t="str">
        <f>IF(Main[[#This Row],[Tech Start Date]]&lt;1/1/1990,"",IF(Main[[#This Row],[Class]]="C",WORKDAY(Main[[#This Row],[Tech Start Date]],9),IF(Main[[#This Row],[Class]]="B", WORKDAY(Main[[#This Row],[Tech Start Date]],6),IF(Main[[#This Row],[Class]]="A",WORKDAY(Main[[#This Row],[Tech Start Date]],2),""))))</f>
        <v/>
      </c>
      <c r="N196" s="69" t="str">
        <f>IF(Main[[#This Row],[Tech Start Date]]&lt;1/1/1990,"",IF(Main[[#This Row],[Class]]="C",WORKDAY(Main[[#This Row],[Tech Start Date]],19),IF(Main[[#This Row],[Class]]="B", WORKDAY(Main[[#This Row],[Tech Start Date]],12),IF(Main[[#This Row],[Class]]="A",WORKDAY(Main[[#This Row],[Tech Start Date]],4),""))))</f>
        <v/>
      </c>
      <c r="O196" s="69" t="str">
        <f>IF(Main[[#This Row],[Tech Start Date]]&lt;1/1/1990,"",IF(Main[[#This Row],[Class]]="C",WORKDAY(Main[[#This Row],[Tech Start Date]],23),IF(Main[[#This Row],[Class]]="B", WORKDAY(Main[[#This Row],[Tech Start Date]],15),IF(Main[[#This Row],[Class]]="A",WORKDAY(Main[[#This Row],[Tech Start Date]],5),""))))</f>
        <v/>
      </c>
      <c r="P196" s="69" t="str">
        <f>IF(Main[[#This Row],[Tech Start Date]]&lt;1/1/1990,"",IF(Main[[#This Row],[Class]]="C",WORKDAY(Main[[#This Row],[Tech Start Date]],28),IF(Main[[#This Row],[Class]]="B", WORKDAY(Main[[#This Row],[Tech Start Date]],19),IF(Main[[#This Row],[Class]]="A",WORKDAY(Main[[#This Row],[Tech Start Date]],9),""))))</f>
        <v/>
      </c>
      <c r="Q196" s="67"/>
      <c r="R196" s="67"/>
      <c r="S196" s="65" t="s">
        <v>17</v>
      </c>
      <c r="T196" s="70" t="s">
        <v>4</v>
      </c>
      <c r="U196" s="65" t="s">
        <v>7</v>
      </c>
      <c r="V196" s="65" t="s">
        <v>1914</v>
      </c>
      <c r="W196" s="65" t="s">
        <v>1919</v>
      </c>
      <c r="X196" s="65" t="s">
        <v>50</v>
      </c>
      <c r="Y196" s="65" t="s">
        <v>3007</v>
      </c>
      <c r="Z196" s="65" t="s">
        <v>129</v>
      </c>
      <c r="AA196" s="65" t="s">
        <v>65</v>
      </c>
    </row>
    <row r="197" spans="1:27" ht="17.45" hidden="1" customHeight="1">
      <c r="A197" s="100" t="str">
        <f>IF(priority(Main[[#This Row],[Comments]])&lt;&gt;0, priority(Main[[#This Row],[Comments]]),"")</f>
        <v/>
      </c>
      <c r="B197" s="77" t="s">
        <v>1160</v>
      </c>
      <c r="C197" s="65" t="s">
        <v>169</v>
      </c>
      <c r="D197" s="66" t="s">
        <v>215</v>
      </c>
      <c r="E197" s="67"/>
      <c r="F197" s="67">
        <v>40237</v>
      </c>
      <c r="G197" s="64" t="str">
        <f>IF(stdProdLT(Main[[#This Row],[Comments]])=0.1,"N/A",IF(stdProdLT(Main[[#This Row],[Comments]])=0,"",stdProdLT(Main[[#This Row],[Comments]])))</f>
        <v/>
      </c>
      <c r="H197" s="68" t="str">
        <f>IF(AND(Main[[#This Row],[In Stock Date]]&lt;&gt;"",Main[[#This Row],[Revised Due Date]]&lt;&gt;""),Main[[#This Row],[In Stock Date]]-Main[[#This Row],[Revised Due Date]],"")</f>
        <v/>
      </c>
      <c r="I197" s="65" t="s">
        <v>4</v>
      </c>
      <c r="J197" s="65" t="s">
        <v>4</v>
      </c>
      <c r="K197" s="65" t="s">
        <v>4</v>
      </c>
      <c r="L197" s="67"/>
      <c r="M197" s="69" t="str">
        <f>IF(Main[[#This Row],[Tech Start Date]]&lt;1/1/1990,"",IF(Main[[#This Row],[Class]]="C",WORKDAY(Main[[#This Row],[Tech Start Date]],9),IF(Main[[#This Row],[Class]]="B", WORKDAY(Main[[#This Row],[Tech Start Date]],6),IF(Main[[#This Row],[Class]]="A",WORKDAY(Main[[#This Row],[Tech Start Date]],2),""))))</f>
        <v/>
      </c>
      <c r="N197" s="69" t="str">
        <f>IF(Main[[#This Row],[Tech Start Date]]&lt;1/1/1990,"",IF(Main[[#This Row],[Class]]="C",WORKDAY(Main[[#This Row],[Tech Start Date]],19),IF(Main[[#This Row],[Class]]="B", WORKDAY(Main[[#This Row],[Tech Start Date]],12),IF(Main[[#This Row],[Class]]="A",WORKDAY(Main[[#This Row],[Tech Start Date]],4),""))))</f>
        <v/>
      </c>
      <c r="O197" s="69" t="str">
        <f>IF(Main[[#This Row],[Tech Start Date]]&lt;1/1/1990,"",IF(Main[[#This Row],[Class]]="C",WORKDAY(Main[[#This Row],[Tech Start Date]],23),IF(Main[[#This Row],[Class]]="B", WORKDAY(Main[[#This Row],[Tech Start Date]],15),IF(Main[[#This Row],[Class]]="A",WORKDAY(Main[[#This Row],[Tech Start Date]],5),""))))</f>
        <v/>
      </c>
      <c r="P197" s="69" t="str">
        <f>IF(Main[[#This Row],[Tech Start Date]]&lt;1/1/1990,"",IF(Main[[#This Row],[Class]]="C",WORKDAY(Main[[#This Row],[Tech Start Date]],28),IF(Main[[#This Row],[Class]]="B", WORKDAY(Main[[#This Row],[Tech Start Date]],19),IF(Main[[#This Row],[Class]]="A",WORKDAY(Main[[#This Row],[Tech Start Date]],9),""))))</f>
        <v/>
      </c>
      <c r="Q197" s="67">
        <v>40132</v>
      </c>
      <c r="R197" s="67"/>
      <c r="S197" s="65" t="s">
        <v>11</v>
      </c>
      <c r="T197" s="70" t="s">
        <v>4</v>
      </c>
      <c r="U197" s="65" t="s">
        <v>14</v>
      </c>
      <c r="V197" s="65" t="s">
        <v>1914</v>
      </c>
      <c r="W197" s="65" t="s">
        <v>1919</v>
      </c>
      <c r="X197" s="65" t="s">
        <v>2858</v>
      </c>
      <c r="Y197" s="65" t="s">
        <v>4</v>
      </c>
      <c r="Z197" s="65" t="s">
        <v>4</v>
      </c>
      <c r="AA197" s="65" t="s">
        <v>2858</v>
      </c>
    </row>
    <row r="198" spans="1:27" ht="17.45" hidden="1" customHeight="1">
      <c r="A198" s="100" t="str">
        <f>IF(priority(Main[[#This Row],[Comments]])&lt;&gt;0, priority(Main[[#This Row],[Comments]]),"")</f>
        <v/>
      </c>
      <c r="B198" s="77" t="s">
        <v>1161</v>
      </c>
      <c r="C198" s="65" t="s">
        <v>4</v>
      </c>
      <c r="D198" s="66" t="s">
        <v>216</v>
      </c>
      <c r="E198" s="67"/>
      <c r="F198" s="67"/>
      <c r="G198" s="64" t="str">
        <f>IF(stdProdLT(Main[[#This Row],[Comments]])=0.1,"N/A",IF(stdProdLT(Main[[#This Row],[Comments]])=0,"",stdProdLT(Main[[#This Row],[Comments]])))</f>
        <v/>
      </c>
      <c r="H198" s="68" t="str">
        <f>IF(AND(Main[[#This Row],[In Stock Date]]&lt;&gt;"",Main[[#This Row],[Revised Due Date]]&lt;&gt;""),Main[[#This Row],[In Stock Date]]-Main[[#This Row],[Revised Due Date]],"")</f>
        <v/>
      </c>
      <c r="I198" s="65" t="s">
        <v>4</v>
      </c>
      <c r="J198" s="65" t="s">
        <v>4</v>
      </c>
      <c r="K198" s="65" t="s">
        <v>4</v>
      </c>
      <c r="L198" s="67"/>
      <c r="M198" s="69" t="str">
        <f>IF(Main[[#This Row],[Tech Start Date]]&lt;1/1/1990,"",IF(Main[[#This Row],[Class]]="C",WORKDAY(Main[[#This Row],[Tech Start Date]],9),IF(Main[[#This Row],[Class]]="B", WORKDAY(Main[[#This Row],[Tech Start Date]],6),IF(Main[[#This Row],[Class]]="A",WORKDAY(Main[[#This Row],[Tech Start Date]],2),""))))</f>
        <v/>
      </c>
      <c r="N198" s="69" t="str">
        <f>IF(Main[[#This Row],[Tech Start Date]]&lt;1/1/1990,"",IF(Main[[#This Row],[Class]]="C",WORKDAY(Main[[#This Row],[Tech Start Date]],19),IF(Main[[#This Row],[Class]]="B", WORKDAY(Main[[#This Row],[Tech Start Date]],12),IF(Main[[#This Row],[Class]]="A",WORKDAY(Main[[#This Row],[Tech Start Date]],4),""))))</f>
        <v/>
      </c>
      <c r="O198" s="69" t="str">
        <f>IF(Main[[#This Row],[Tech Start Date]]&lt;1/1/1990,"",IF(Main[[#This Row],[Class]]="C",WORKDAY(Main[[#This Row],[Tech Start Date]],23),IF(Main[[#This Row],[Class]]="B", WORKDAY(Main[[#This Row],[Tech Start Date]],15),IF(Main[[#This Row],[Class]]="A",WORKDAY(Main[[#This Row],[Tech Start Date]],5),""))))</f>
        <v/>
      </c>
      <c r="P198" s="69" t="str">
        <f>IF(Main[[#This Row],[Tech Start Date]]&lt;1/1/1990,"",IF(Main[[#This Row],[Class]]="C",WORKDAY(Main[[#This Row],[Tech Start Date]],28),IF(Main[[#This Row],[Class]]="B", WORKDAY(Main[[#This Row],[Tech Start Date]],19),IF(Main[[#This Row],[Class]]="A",WORKDAY(Main[[#This Row],[Tech Start Date]],9),""))))</f>
        <v/>
      </c>
      <c r="Q198" s="67"/>
      <c r="R198" s="67"/>
      <c r="S198" s="65" t="s">
        <v>17</v>
      </c>
      <c r="T198" s="70" t="s">
        <v>4</v>
      </c>
      <c r="U198" s="65" t="s">
        <v>12</v>
      </c>
      <c r="V198" s="65" t="s">
        <v>1914</v>
      </c>
      <c r="W198" s="65" t="s">
        <v>1918</v>
      </c>
      <c r="X198" s="65" t="s">
        <v>877</v>
      </c>
      <c r="Y198" s="65" t="s">
        <v>4</v>
      </c>
      <c r="Z198" s="65" t="s">
        <v>4</v>
      </c>
      <c r="AA198" s="65" t="s">
        <v>4</v>
      </c>
    </row>
    <row r="199" spans="1:27" ht="17.45" hidden="1" customHeight="1">
      <c r="A199" s="100" t="str">
        <f>IF(priority(Main[[#This Row],[Comments]])&lt;&gt;0, priority(Main[[#This Row],[Comments]]),"")</f>
        <v/>
      </c>
      <c r="B199" s="77" t="s">
        <v>1163</v>
      </c>
      <c r="C199" s="65" t="s">
        <v>93</v>
      </c>
      <c r="D199" s="66" t="s">
        <v>218</v>
      </c>
      <c r="E199" s="67"/>
      <c r="F199" s="67">
        <v>40299</v>
      </c>
      <c r="G199" s="64" t="str">
        <f>IF(stdProdLT(Main[[#This Row],[Comments]])=0.1,"N/A",IF(stdProdLT(Main[[#This Row],[Comments]])=0,"",stdProdLT(Main[[#This Row],[Comments]])))</f>
        <v/>
      </c>
      <c r="H199" s="68" t="str">
        <f>IF(AND(Main[[#This Row],[In Stock Date]]&lt;&gt;"",Main[[#This Row],[Revised Due Date]]&lt;&gt;""),Main[[#This Row],[In Stock Date]]-Main[[#This Row],[Revised Due Date]],"")</f>
        <v/>
      </c>
      <c r="I199" s="65" t="s">
        <v>4</v>
      </c>
      <c r="J199" s="65" t="s">
        <v>4</v>
      </c>
      <c r="K199" s="65" t="s">
        <v>4</v>
      </c>
      <c r="L199" s="67"/>
      <c r="M199" s="69" t="str">
        <f>IF(Main[[#This Row],[Tech Start Date]]&lt;1/1/1990,"",IF(Main[[#This Row],[Class]]="C",WORKDAY(Main[[#This Row],[Tech Start Date]],9),IF(Main[[#This Row],[Class]]="B", WORKDAY(Main[[#This Row],[Tech Start Date]],6),IF(Main[[#This Row],[Class]]="A",WORKDAY(Main[[#This Row],[Tech Start Date]],2),""))))</f>
        <v/>
      </c>
      <c r="N199" s="69" t="str">
        <f>IF(Main[[#This Row],[Tech Start Date]]&lt;1/1/1990,"",IF(Main[[#This Row],[Class]]="C",WORKDAY(Main[[#This Row],[Tech Start Date]],19),IF(Main[[#This Row],[Class]]="B", WORKDAY(Main[[#This Row],[Tech Start Date]],12),IF(Main[[#This Row],[Class]]="A",WORKDAY(Main[[#This Row],[Tech Start Date]],4),""))))</f>
        <v/>
      </c>
      <c r="O199" s="69" t="str">
        <f>IF(Main[[#This Row],[Tech Start Date]]&lt;1/1/1990,"",IF(Main[[#This Row],[Class]]="C",WORKDAY(Main[[#This Row],[Tech Start Date]],23),IF(Main[[#This Row],[Class]]="B", WORKDAY(Main[[#This Row],[Tech Start Date]],15),IF(Main[[#This Row],[Class]]="A",WORKDAY(Main[[#This Row],[Tech Start Date]],5),""))))</f>
        <v/>
      </c>
      <c r="P199" s="69" t="str">
        <f>IF(Main[[#This Row],[Tech Start Date]]&lt;1/1/1990,"",IF(Main[[#This Row],[Class]]="C",WORKDAY(Main[[#This Row],[Tech Start Date]],28),IF(Main[[#This Row],[Class]]="B", WORKDAY(Main[[#This Row],[Tech Start Date]],19),IF(Main[[#This Row],[Class]]="A",WORKDAY(Main[[#This Row],[Tech Start Date]],9),""))))</f>
        <v/>
      </c>
      <c r="Q199" s="67">
        <v>40214</v>
      </c>
      <c r="R199" s="67"/>
      <c r="S199" s="65" t="s">
        <v>11</v>
      </c>
      <c r="T199" s="70" t="s">
        <v>4</v>
      </c>
      <c r="U199" s="65" t="s">
        <v>12</v>
      </c>
      <c r="V199" s="65" t="s">
        <v>1914</v>
      </c>
      <c r="W199" s="65" t="s">
        <v>1920</v>
      </c>
      <c r="X199" s="65" t="s">
        <v>2845</v>
      </c>
      <c r="Y199" s="65" t="s">
        <v>4</v>
      </c>
      <c r="Z199" s="65" t="s">
        <v>4</v>
      </c>
      <c r="AA199" s="65" t="s">
        <v>2845</v>
      </c>
    </row>
    <row r="200" spans="1:27" ht="17.45" hidden="1" customHeight="1">
      <c r="A200" s="100" t="str">
        <f>IF(priority(Main[[#This Row],[Comments]])&lt;&gt;0, priority(Main[[#This Row],[Comments]]),"")</f>
        <v/>
      </c>
      <c r="B200" s="77" t="s">
        <v>1164</v>
      </c>
      <c r="C200" s="65" t="s">
        <v>113</v>
      </c>
      <c r="D200" s="66" t="s">
        <v>219</v>
      </c>
      <c r="E200" s="67"/>
      <c r="F200" s="67">
        <v>40193</v>
      </c>
      <c r="G200" s="64" t="str">
        <f>IF(stdProdLT(Main[[#This Row],[Comments]])=0.1,"N/A",IF(stdProdLT(Main[[#This Row],[Comments]])=0,"",stdProdLT(Main[[#This Row],[Comments]])))</f>
        <v/>
      </c>
      <c r="H200" s="68" t="str">
        <f>IF(AND(Main[[#This Row],[In Stock Date]]&lt;&gt;"",Main[[#This Row],[Revised Due Date]]&lt;&gt;""),Main[[#This Row],[In Stock Date]]-Main[[#This Row],[Revised Due Date]],"")</f>
        <v/>
      </c>
      <c r="I200" s="65" t="s">
        <v>4</v>
      </c>
      <c r="J200" s="65" t="s">
        <v>4</v>
      </c>
      <c r="K200" s="71" t="s">
        <v>4</v>
      </c>
      <c r="L200" s="67"/>
      <c r="M200" s="69" t="str">
        <f>IF(Main[[#This Row],[Tech Start Date]]&lt;1/1/1990,"",IF(Main[[#This Row],[Class]]="C",WORKDAY(Main[[#This Row],[Tech Start Date]],9),IF(Main[[#This Row],[Class]]="B", WORKDAY(Main[[#This Row],[Tech Start Date]],6),IF(Main[[#This Row],[Class]]="A",WORKDAY(Main[[#This Row],[Tech Start Date]],2),""))))</f>
        <v/>
      </c>
      <c r="N200" s="69" t="str">
        <f>IF(Main[[#This Row],[Tech Start Date]]&lt;1/1/1990,"",IF(Main[[#This Row],[Class]]="C",WORKDAY(Main[[#This Row],[Tech Start Date]],19),IF(Main[[#This Row],[Class]]="B", WORKDAY(Main[[#This Row],[Tech Start Date]],12),IF(Main[[#This Row],[Class]]="A",WORKDAY(Main[[#This Row],[Tech Start Date]],4),""))))</f>
        <v/>
      </c>
      <c r="O200" s="69" t="str">
        <f>IF(Main[[#This Row],[Tech Start Date]]&lt;1/1/1990,"",IF(Main[[#This Row],[Class]]="C",WORKDAY(Main[[#This Row],[Tech Start Date]],23),IF(Main[[#This Row],[Class]]="B", WORKDAY(Main[[#This Row],[Tech Start Date]],15),IF(Main[[#This Row],[Class]]="A",WORKDAY(Main[[#This Row],[Tech Start Date]],5),""))))</f>
        <v/>
      </c>
      <c r="P200" s="69" t="str">
        <f>IF(Main[[#This Row],[Tech Start Date]]&lt;1/1/1990,"",IF(Main[[#This Row],[Class]]="C",WORKDAY(Main[[#This Row],[Tech Start Date]],28),IF(Main[[#This Row],[Class]]="B", WORKDAY(Main[[#This Row],[Tech Start Date]],19),IF(Main[[#This Row],[Class]]="A",WORKDAY(Main[[#This Row],[Tech Start Date]],9),""))))</f>
        <v/>
      </c>
      <c r="Q200" s="67">
        <v>40448</v>
      </c>
      <c r="R200" s="67"/>
      <c r="S200" s="65" t="s">
        <v>11</v>
      </c>
      <c r="T200" s="70" t="s">
        <v>4</v>
      </c>
      <c r="U200" s="65" t="s">
        <v>14</v>
      </c>
      <c r="V200" s="65" t="s">
        <v>1924</v>
      </c>
      <c r="W200" s="65" t="s">
        <v>1920</v>
      </c>
      <c r="X200" s="65" t="s">
        <v>2844</v>
      </c>
      <c r="Y200" s="65" t="s">
        <v>2977</v>
      </c>
      <c r="Z200" s="65" t="s">
        <v>4</v>
      </c>
      <c r="AA200" s="65" t="s">
        <v>2844</v>
      </c>
    </row>
    <row r="201" spans="1:27" ht="17.45" hidden="1" customHeight="1">
      <c r="A201" s="100" t="str">
        <f>IF(priority(Main[[#This Row],[Comments]])&lt;&gt;0, priority(Main[[#This Row],[Comments]]),"")</f>
        <v/>
      </c>
      <c r="B201" s="77" t="s">
        <v>1165</v>
      </c>
      <c r="C201" s="65" t="s">
        <v>4</v>
      </c>
      <c r="D201" s="66" t="s">
        <v>220</v>
      </c>
      <c r="E201" s="67"/>
      <c r="F201" s="67">
        <v>40031</v>
      </c>
      <c r="G201" s="64" t="str">
        <f>IF(stdProdLT(Main[[#This Row],[Comments]])=0.1,"N/A",IF(stdProdLT(Main[[#This Row],[Comments]])=0,"",stdProdLT(Main[[#This Row],[Comments]])))</f>
        <v/>
      </c>
      <c r="H201" s="68" t="str">
        <f>IF(AND(Main[[#This Row],[In Stock Date]]&lt;&gt;"",Main[[#This Row],[Revised Due Date]]&lt;&gt;""),Main[[#This Row],[In Stock Date]]-Main[[#This Row],[Revised Due Date]],"")</f>
        <v/>
      </c>
      <c r="I201" s="65" t="s">
        <v>4</v>
      </c>
      <c r="J201" s="65" t="s">
        <v>4</v>
      </c>
      <c r="K201" s="71" t="s">
        <v>4</v>
      </c>
      <c r="L201" s="67"/>
      <c r="M201" s="69" t="str">
        <f>IF(Main[[#This Row],[Tech Start Date]]&lt;1/1/1990,"",IF(Main[[#This Row],[Class]]="C",WORKDAY(Main[[#This Row],[Tech Start Date]],9),IF(Main[[#This Row],[Class]]="B", WORKDAY(Main[[#This Row],[Tech Start Date]],6),IF(Main[[#This Row],[Class]]="A",WORKDAY(Main[[#This Row],[Tech Start Date]],2),""))))</f>
        <v/>
      </c>
      <c r="N201" s="69" t="str">
        <f>IF(Main[[#This Row],[Tech Start Date]]&lt;1/1/1990,"",IF(Main[[#This Row],[Class]]="C",WORKDAY(Main[[#This Row],[Tech Start Date]],19),IF(Main[[#This Row],[Class]]="B", WORKDAY(Main[[#This Row],[Tech Start Date]],12),IF(Main[[#This Row],[Class]]="A",WORKDAY(Main[[#This Row],[Tech Start Date]],4),""))))</f>
        <v/>
      </c>
      <c r="O201" s="69" t="str">
        <f>IF(Main[[#This Row],[Tech Start Date]]&lt;1/1/1990,"",IF(Main[[#This Row],[Class]]="C",WORKDAY(Main[[#This Row],[Tech Start Date]],23),IF(Main[[#This Row],[Class]]="B", WORKDAY(Main[[#This Row],[Tech Start Date]],15),IF(Main[[#This Row],[Class]]="A",WORKDAY(Main[[#This Row],[Tech Start Date]],5),""))))</f>
        <v/>
      </c>
      <c r="P201" s="69" t="str">
        <f>IF(Main[[#This Row],[Tech Start Date]]&lt;1/1/1990,"",IF(Main[[#This Row],[Class]]="C",WORKDAY(Main[[#This Row],[Tech Start Date]],28),IF(Main[[#This Row],[Class]]="B", WORKDAY(Main[[#This Row],[Tech Start Date]],19),IF(Main[[#This Row],[Class]]="A",WORKDAY(Main[[#This Row],[Tech Start Date]],9),""))))</f>
        <v/>
      </c>
      <c r="Q201" s="67">
        <v>39976</v>
      </c>
      <c r="R201" s="67"/>
      <c r="S201" s="65" t="s">
        <v>11</v>
      </c>
      <c r="T201" s="70" t="s">
        <v>4</v>
      </c>
      <c r="U201" s="65" t="s">
        <v>14</v>
      </c>
      <c r="V201" s="65" t="s">
        <v>1915</v>
      </c>
      <c r="W201" s="65" t="s">
        <v>1922</v>
      </c>
      <c r="X201" s="65" t="s">
        <v>2824</v>
      </c>
      <c r="Y201" s="65" t="s">
        <v>2943</v>
      </c>
      <c r="Z201" s="65" t="s">
        <v>4</v>
      </c>
      <c r="AA201" s="65" t="s">
        <v>2824</v>
      </c>
    </row>
    <row r="202" spans="1:27" ht="17.45" hidden="1" customHeight="1">
      <c r="A202" s="100" t="str">
        <f>IF(priority(Main[[#This Row],[Comments]])&lt;&gt;0, priority(Main[[#This Row],[Comments]]),"")</f>
        <v/>
      </c>
      <c r="B202" s="77" t="s">
        <v>1166</v>
      </c>
      <c r="C202" s="65" t="s">
        <v>4</v>
      </c>
      <c r="D202" s="66" t="s">
        <v>221</v>
      </c>
      <c r="E202" s="67"/>
      <c r="F202" s="67">
        <v>40309</v>
      </c>
      <c r="G202" s="64" t="str">
        <f>IF(stdProdLT(Main[[#This Row],[Comments]])=0.1,"N/A",IF(stdProdLT(Main[[#This Row],[Comments]])=0,"",stdProdLT(Main[[#This Row],[Comments]])))</f>
        <v/>
      </c>
      <c r="H202" s="68" t="str">
        <f>IF(AND(Main[[#This Row],[In Stock Date]]&lt;&gt;"",Main[[#This Row],[Revised Due Date]]&lt;&gt;""),Main[[#This Row],[In Stock Date]]-Main[[#This Row],[Revised Due Date]],"")</f>
        <v/>
      </c>
      <c r="I202" s="65" t="s">
        <v>4</v>
      </c>
      <c r="J202" s="65" t="s">
        <v>4</v>
      </c>
      <c r="K202" s="65" t="s">
        <v>4</v>
      </c>
      <c r="L202" s="67"/>
      <c r="M202" s="69" t="str">
        <f>IF(Main[[#This Row],[Tech Start Date]]&lt;1/1/1990,"",IF(Main[[#This Row],[Class]]="C",WORKDAY(Main[[#This Row],[Tech Start Date]],9),IF(Main[[#This Row],[Class]]="B", WORKDAY(Main[[#This Row],[Tech Start Date]],6),IF(Main[[#This Row],[Class]]="A",WORKDAY(Main[[#This Row],[Tech Start Date]],2),""))))</f>
        <v/>
      </c>
      <c r="N202" s="69" t="str">
        <f>IF(Main[[#This Row],[Tech Start Date]]&lt;1/1/1990,"",IF(Main[[#This Row],[Class]]="C",WORKDAY(Main[[#This Row],[Tech Start Date]],19),IF(Main[[#This Row],[Class]]="B", WORKDAY(Main[[#This Row],[Tech Start Date]],12),IF(Main[[#This Row],[Class]]="A",WORKDAY(Main[[#This Row],[Tech Start Date]],4),""))))</f>
        <v/>
      </c>
      <c r="O202" s="69" t="str">
        <f>IF(Main[[#This Row],[Tech Start Date]]&lt;1/1/1990,"",IF(Main[[#This Row],[Class]]="C",WORKDAY(Main[[#This Row],[Tech Start Date]],23),IF(Main[[#This Row],[Class]]="B", WORKDAY(Main[[#This Row],[Tech Start Date]],15),IF(Main[[#This Row],[Class]]="A",WORKDAY(Main[[#This Row],[Tech Start Date]],5),""))))</f>
        <v/>
      </c>
      <c r="P202" s="69" t="str">
        <f>IF(Main[[#This Row],[Tech Start Date]]&lt;1/1/1990,"",IF(Main[[#This Row],[Class]]="C",WORKDAY(Main[[#This Row],[Tech Start Date]],28),IF(Main[[#This Row],[Class]]="B", WORKDAY(Main[[#This Row],[Tech Start Date]],19),IF(Main[[#This Row],[Class]]="A",WORKDAY(Main[[#This Row],[Tech Start Date]],9),""))))</f>
        <v/>
      </c>
      <c r="Q202" s="67">
        <v>40305</v>
      </c>
      <c r="R202" s="67"/>
      <c r="S202" s="65" t="s">
        <v>6</v>
      </c>
      <c r="T202" s="70" t="s">
        <v>4</v>
      </c>
      <c r="U202" s="65" t="s">
        <v>12</v>
      </c>
      <c r="V202" s="65" t="s">
        <v>1914</v>
      </c>
      <c r="W202" s="65" t="s">
        <v>1922</v>
      </c>
      <c r="X202" s="65" t="s">
        <v>2824</v>
      </c>
      <c r="Y202" s="65" t="s">
        <v>2943</v>
      </c>
      <c r="Z202" s="65" t="s">
        <v>4</v>
      </c>
      <c r="AA202" s="65" t="s">
        <v>2824</v>
      </c>
    </row>
    <row r="203" spans="1:27" ht="17.45" hidden="1" customHeight="1">
      <c r="A203" s="100" t="str">
        <f>IF(priority(Main[[#This Row],[Comments]])&lt;&gt;0, priority(Main[[#This Row],[Comments]]),"")</f>
        <v/>
      </c>
      <c r="B203" s="77" t="s">
        <v>1167</v>
      </c>
      <c r="C203" s="65" t="s">
        <v>31</v>
      </c>
      <c r="D203" s="66" t="s">
        <v>222</v>
      </c>
      <c r="E203" s="67"/>
      <c r="F203" s="67">
        <v>40169</v>
      </c>
      <c r="G203" s="64" t="str">
        <f>IF(stdProdLT(Main[[#This Row],[Comments]])=0.1,"N/A",IF(stdProdLT(Main[[#This Row],[Comments]])=0,"",stdProdLT(Main[[#This Row],[Comments]])))</f>
        <v/>
      </c>
      <c r="H203" s="68" t="str">
        <f>IF(AND(Main[[#This Row],[In Stock Date]]&lt;&gt;"",Main[[#This Row],[Revised Due Date]]&lt;&gt;""),Main[[#This Row],[In Stock Date]]-Main[[#This Row],[Revised Due Date]],"")</f>
        <v/>
      </c>
      <c r="I203" s="65" t="s">
        <v>4</v>
      </c>
      <c r="J203" s="65" t="s">
        <v>4</v>
      </c>
      <c r="K203" s="65" t="s">
        <v>4</v>
      </c>
      <c r="L203" s="67"/>
      <c r="M203" s="69" t="str">
        <f>IF(Main[[#This Row],[Tech Start Date]]&lt;1/1/1990,"",IF(Main[[#This Row],[Class]]="C",WORKDAY(Main[[#This Row],[Tech Start Date]],9),IF(Main[[#This Row],[Class]]="B", WORKDAY(Main[[#This Row],[Tech Start Date]],6),IF(Main[[#This Row],[Class]]="A",WORKDAY(Main[[#This Row],[Tech Start Date]],2),""))))</f>
        <v/>
      </c>
      <c r="N203" s="69" t="str">
        <f>IF(Main[[#This Row],[Tech Start Date]]&lt;1/1/1990,"",IF(Main[[#This Row],[Class]]="C",WORKDAY(Main[[#This Row],[Tech Start Date]],19),IF(Main[[#This Row],[Class]]="B", WORKDAY(Main[[#This Row],[Tech Start Date]],12),IF(Main[[#This Row],[Class]]="A",WORKDAY(Main[[#This Row],[Tech Start Date]],4),""))))</f>
        <v/>
      </c>
      <c r="O203" s="69" t="str">
        <f>IF(Main[[#This Row],[Tech Start Date]]&lt;1/1/1990,"",IF(Main[[#This Row],[Class]]="C",WORKDAY(Main[[#This Row],[Tech Start Date]],23),IF(Main[[#This Row],[Class]]="B", WORKDAY(Main[[#This Row],[Tech Start Date]],15),IF(Main[[#This Row],[Class]]="A",WORKDAY(Main[[#This Row],[Tech Start Date]],5),""))))</f>
        <v/>
      </c>
      <c r="P203" s="69" t="str">
        <f>IF(Main[[#This Row],[Tech Start Date]]&lt;1/1/1990,"",IF(Main[[#This Row],[Class]]="C",WORKDAY(Main[[#This Row],[Tech Start Date]],28),IF(Main[[#This Row],[Class]]="B", WORKDAY(Main[[#This Row],[Tech Start Date]],19),IF(Main[[#This Row],[Class]]="A",WORKDAY(Main[[#This Row],[Tech Start Date]],9),""))))</f>
        <v/>
      </c>
      <c r="Q203" s="67">
        <v>40169</v>
      </c>
      <c r="R203" s="67"/>
      <c r="S203" s="65" t="s">
        <v>11</v>
      </c>
      <c r="T203" s="70" t="s">
        <v>4</v>
      </c>
      <c r="U203" s="65" t="s">
        <v>14</v>
      </c>
      <c r="V203" s="65" t="s">
        <v>1915</v>
      </c>
      <c r="W203" s="65" t="s">
        <v>1922</v>
      </c>
      <c r="X203" s="65" t="s">
        <v>2835</v>
      </c>
      <c r="Y203" s="65" t="s">
        <v>4</v>
      </c>
      <c r="Z203" s="65" t="s">
        <v>4</v>
      </c>
      <c r="AA203" s="65" t="s">
        <v>2835</v>
      </c>
    </row>
    <row r="204" spans="1:27" ht="17.45" hidden="1" customHeight="1">
      <c r="A204" s="100" t="str">
        <f>IF(priority(Main[[#This Row],[Comments]])&lt;&gt;0, priority(Main[[#This Row],[Comments]]),"")</f>
        <v/>
      </c>
      <c r="B204" s="77" t="s">
        <v>1168</v>
      </c>
      <c r="C204" s="65" t="s">
        <v>72</v>
      </c>
      <c r="D204" s="66" t="s">
        <v>223</v>
      </c>
      <c r="E204" s="67"/>
      <c r="F204" s="67">
        <v>40391</v>
      </c>
      <c r="G204" s="64" t="str">
        <f>IF(stdProdLT(Main[[#This Row],[Comments]])=0.1,"N/A",IF(stdProdLT(Main[[#This Row],[Comments]])=0,"",stdProdLT(Main[[#This Row],[Comments]])))</f>
        <v/>
      </c>
      <c r="H204" s="68" t="str">
        <f>IF(AND(Main[[#This Row],[In Stock Date]]&lt;&gt;"",Main[[#This Row],[Revised Due Date]]&lt;&gt;""),Main[[#This Row],[In Stock Date]]-Main[[#This Row],[Revised Due Date]],"")</f>
        <v/>
      </c>
      <c r="I204" s="65" t="s">
        <v>4</v>
      </c>
      <c r="J204" s="65" t="s">
        <v>4</v>
      </c>
      <c r="K204" s="65" t="s">
        <v>4</v>
      </c>
      <c r="L204" s="67"/>
      <c r="M204" s="69" t="str">
        <f>IF(Main[[#This Row],[Tech Start Date]]&lt;1/1/1990,"",IF(Main[[#This Row],[Class]]="C",WORKDAY(Main[[#This Row],[Tech Start Date]],9),IF(Main[[#This Row],[Class]]="B", WORKDAY(Main[[#This Row],[Tech Start Date]],6),IF(Main[[#This Row],[Class]]="A",WORKDAY(Main[[#This Row],[Tech Start Date]],2),""))))</f>
        <v/>
      </c>
      <c r="N204" s="69" t="str">
        <f>IF(Main[[#This Row],[Tech Start Date]]&lt;1/1/1990,"",IF(Main[[#This Row],[Class]]="C",WORKDAY(Main[[#This Row],[Tech Start Date]],19),IF(Main[[#This Row],[Class]]="B", WORKDAY(Main[[#This Row],[Tech Start Date]],12),IF(Main[[#This Row],[Class]]="A",WORKDAY(Main[[#This Row],[Tech Start Date]],4),""))))</f>
        <v/>
      </c>
      <c r="O204" s="69" t="str">
        <f>IF(Main[[#This Row],[Tech Start Date]]&lt;1/1/1990,"",IF(Main[[#This Row],[Class]]="C",WORKDAY(Main[[#This Row],[Tech Start Date]],23),IF(Main[[#This Row],[Class]]="B", WORKDAY(Main[[#This Row],[Tech Start Date]],15),IF(Main[[#This Row],[Class]]="A",WORKDAY(Main[[#This Row],[Tech Start Date]],5),""))))</f>
        <v/>
      </c>
      <c r="P204" s="69" t="str">
        <f>IF(Main[[#This Row],[Tech Start Date]]&lt;1/1/1990,"",IF(Main[[#This Row],[Class]]="C",WORKDAY(Main[[#This Row],[Tech Start Date]],28),IF(Main[[#This Row],[Class]]="B", WORKDAY(Main[[#This Row],[Tech Start Date]],19),IF(Main[[#This Row],[Class]]="A",WORKDAY(Main[[#This Row],[Tech Start Date]],9),""))))</f>
        <v/>
      </c>
      <c r="Q204" s="67">
        <v>40291</v>
      </c>
      <c r="R204" s="67"/>
      <c r="S204" s="65" t="s">
        <v>11</v>
      </c>
      <c r="T204" s="70" t="s">
        <v>4</v>
      </c>
      <c r="U204" s="65" t="s">
        <v>12</v>
      </c>
      <c r="V204" s="65" t="s">
        <v>1915</v>
      </c>
      <c r="W204" s="65" t="s">
        <v>1919</v>
      </c>
      <c r="X204" s="65" t="s">
        <v>2864</v>
      </c>
      <c r="Y204" s="65" t="s">
        <v>4</v>
      </c>
      <c r="Z204" s="65" t="s">
        <v>4</v>
      </c>
      <c r="AA204" s="65" t="s">
        <v>2864</v>
      </c>
    </row>
    <row r="205" spans="1:27" ht="17.45" hidden="1" customHeight="1">
      <c r="A205" s="100">
        <f>IF(priority(Main[[#This Row],[Comments]])&lt;&gt;0, priority(Main[[#This Row],[Comments]]),"")</f>
        <v>1</v>
      </c>
      <c r="B205" s="77" t="s">
        <v>1169</v>
      </c>
      <c r="C205" s="65" t="s">
        <v>137</v>
      </c>
      <c r="D205" s="66" t="s">
        <v>224</v>
      </c>
      <c r="E205" s="67"/>
      <c r="F205" s="67">
        <v>40770</v>
      </c>
      <c r="G205" s="64" t="str">
        <f>IF(stdProdLT(Main[[#This Row],[Comments]])=0.1,"N/A",IF(stdProdLT(Main[[#This Row],[Comments]])=0,"",stdProdLT(Main[[#This Row],[Comments]])))</f>
        <v/>
      </c>
      <c r="H205" s="68" t="str">
        <f>IF(AND(Main[[#This Row],[In Stock Date]]&lt;&gt;"",Main[[#This Row],[Revised Due Date]]&lt;&gt;""),Main[[#This Row],[In Stock Date]]-Main[[#This Row],[Revised Due Date]],"")</f>
        <v/>
      </c>
      <c r="I205" s="65" t="s">
        <v>4</v>
      </c>
      <c r="J205" s="65" t="s">
        <v>28</v>
      </c>
      <c r="K205" s="65" t="s">
        <v>1926</v>
      </c>
      <c r="L205" s="67"/>
      <c r="M205" s="69" t="str">
        <f>IF(Main[[#This Row],[Tech Start Date]]&lt;1/1/1990,"",IF(Main[[#This Row],[Class]]="C",WORKDAY(Main[[#This Row],[Tech Start Date]],9),IF(Main[[#This Row],[Class]]="B", WORKDAY(Main[[#This Row],[Tech Start Date]],6),IF(Main[[#This Row],[Class]]="A",WORKDAY(Main[[#This Row],[Tech Start Date]],2),""))))</f>
        <v/>
      </c>
      <c r="N205" s="69" t="str">
        <f>IF(Main[[#This Row],[Tech Start Date]]&lt;1/1/1990,"",IF(Main[[#This Row],[Class]]="C",WORKDAY(Main[[#This Row],[Tech Start Date]],19),IF(Main[[#This Row],[Class]]="B", WORKDAY(Main[[#This Row],[Tech Start Date]],12),IF(Main[[#This Row],[Class]]="A",WORKDAY(Main[[#This Row],[Tech Start Date]],4),""))))</f>
        <v/>
      </c>
      <c r="O205" s="69" t="str">
        <f>IF(Main[[#This Row],[Tech Start Date]]&lt;1/1/1990,"",IF(Main[[#This Row],[Class]]="C",WORKDAY(Main[[#This Row],[Tech Start Date]],23),IF(Main[[#This Row],[Class]]="B", WORKDAY(Main[[#This Row],[Tech Start Date]],15),IF(Main[[#This Row],[Class]]="A",WORKDAY(Main[[#This Row],[Tech Start Date]],5),""))))</f>
        <v/>
      </c>
      <c r="P205" s="69" t="str">
        <f>IF(Main[[#This Row],[Tech Start Date]]&lt;1/1/1990,"",IF(Main[[#This Row],[Class]]="C",WORKDAY(Main[[#This Row],[Tech Start Date]],28),IF(Main[[#This Row],[Class]]="B", WORKDAY(Main[[#This Row],[Tech Start Date]],19),IF(Main[[#This Row],[Class]]="A",WORKDAY(Main[[#This Row],[Tech Start Date]],9),""))))</f>
        <v/>
      </c>
      <c r="Q205" s="67">
        <v>40585</v>
      </c>
      <c r="R205" s="67"/>
      <c r="S205" s="65" t="s">
        <v>11</v>
      </c>
      <c r="T205" s="70" t="s">
        <v>225</v>
      </c>
      <c r="U205" s="65" t="s">
        <v>14</v>
      </c>
      <c r="V205" s="65" t="s">
        <v>1915</v>
      </c>
      <c r="W205" s="65" t="s">
        <v>1919</v>
      </c>
      <c r="X205" s="65" t="s">
        <v>2839</v>
      </c>
      <c r="Y205" s="65" t="s">
        <v>3008</v>
      </c>
      <c r="Z205" s="65" t="s">
        <v>129</v>
      </c>
      <c r="AA205" s="65" t="s">
        <v>2839</v>
      </c>
    </row>
    <row r="206" spans="1:27" ht="17.45" hidden="1" customHeight="1">
      <c r="A206" s="100" t="str">
        <f>IF(priority(Main[[#This Row],[Comments]])&lt;&gt;0, priority(Main[[#This Row],[Comments]]),"")</f>
        <v/>
      </c>
      <c r="B206" s="77" t="s">
        <v>1170</v>
      </c>
      <c r="C206" s="65" t="s">
        <v>4</v>
      </c>
      <c r="D206" s="66" t="s">
        <v>226</v>
      </c>
      <c r="E206" s="67"/>
      <c r="F206" s="67">
        <v>40574</v>
      </c>
      <c r="G206" s="64" t="str">
        <f>IF(stdProdLT(Main[[#This Row],[Comments]])=0.1,"N/A",IF(stdProdLT(Main[[#This Row],[Comments]])=0,"",stdProdLT(Main[[#This Row],[Comments]])))</f>
        <v/>
      </c>
      <c r="H206" s="68" t="str">
        <f>IF(AND(Main[[#This Row],[In Stock Date]]&lt;&gt;"",Main[[#This Row],[Revised Due Date]]&lt;&gt;""),Main[[#This Row],[In Stock Date]]-Main[[#This Row],[Revised Due Date]],"")</f>
        <v/>
      </c>
      <c r="I206" s="65" t="s">
        <v>4</v>
      </c>
      <c r="J206" s="65" t="s">
        <v>28</v>
      </c>
      <c r="K206" s="65" t="s">
        <v>1923</v>
      </c>
      <c r="L206" s="67"/>
      <c r="M206" s="69" t="str">
        <f>IF(Main[[#This Row],[Tech Start Date]]&lt;1/1/1990,"",IF(Main[[#This Row],[Class]]="C",WORKDAY(Main[[#This Row],[Tech Start Date]],9),IF(Main[[#This Row],[Class]]="B", WORKDAY(Main[[#This Row],[Tech Start Date]],6),IF(Main[[#This Row],[Class]]="A",WORKDAY(Main[[#This Row],[Tech Start Date]],2),""))))</f>
        <v/>
      </c>
      <c r="N206" s="69" t="str">
        <f>IF(Main[[#This Row],[Tech Start Date]]&lt;1/1/1990,"",IF(Main[[#This Row],[Class]]="C",WORKDAY(Main[[#This Row],[Tech Start Date]],19),IF(Main[[#This Row],[Class]]="B", WORKDAY(Main[[#This Row],[Tech Start Date]],12),IF(Main[[#This Row],[Class]]="A",WORKDAY(Main[[#This Row],[Tech Start Date]],4),""))))</f>
        <v/>
      </c>
      <c r="O206" s="69" t="str">
        <f>IF(Main[[#This Row],[Tech Start Date]]&lt;1/1/1990,"",IF(Main[[#This Row],[Class]]="C",WORKDAY(Main[[#This Row],[Tech Start Date]],23),IF(Main[[#This Row],[Class]]="B", WORKDAY(Main[[#This Row],[Tech Start Date]],15),IF(Main[[#This Row],[Class]]="A",WORKDAY(Main[[#This Row],[Tech Start Date]],5),""))))</f>
        <v/>
      </c>
      <c r="P206" s="69" t="str">
        <f>IF(Main[[#This Row],[Tech Start Date]]&lt;1/1/1990,"",IF(Main[[#This Row],[Class]]="C",WORKDAY(Main[[#This Row],[Tech Start Date]],28),IF(Main[[#This Row],[Class]]="B", WORKDAY(Main[[#This Row],[Tech Start Date]],19),IF(Main[[#This Row],[Class]]="A",WORKDAY(Main[[#This Row],[Tech Start Date]],9),""))))</f>
        <v/>
      </c>
      <c r="Q206" s="67">
        <v>40574</v>
      </c>
      <c r="R206" s="67"/>
      <c r="S206" s="65" t="s">
        <v>6</v>
      </c>
      <c r="T206" s="70" t="s">
        <v>4</v>
      </c>
      <c r="U206" s="65" t="s">
        <v>14</v>
      </c>
      <c r="V206" s="65" t="s">
        <v>1917</v>
      </c>
      <c r="W206" s="65" t="s">
        <v>1918</v>
      </c>
      <c r="X206" s="65" t="s">
        <v>2822</v>
      </c>
      <c r="Y206" s="65" t="s">
        <v>2938</v>
      </c>
      <c r="Z206" s="65" t="s">
        <v>530</v>
      </c>
      <c r="AA206" s="65" t="s">
        <v>2822</v>
      </c>
    </row>
    <row r="207" spans="1:27" ht="17.45" hidden="1" customHeight="1">
      <c r="A207" s="100" t="str">
        <f>IF(priority(Main[[#This Row],[Comments]])&lt;&gt;0, priority(Main[[#This Row],[Comments]]),"")</f>
        <v/>
      </c>
      <c r="B207" s="77" t="s">
        <v>1173</v>
      </c>
      <c r="C207" s="65" t="s">
        <v>4</v>
      </c>
      <c r="D207" s="66" t="s">
        <v>228</v>
      </c>
      <c r="E207" s="67"/>
      <c r="F207" s="67"/>
      <c r="G207" s="64" t="str">
        <f>IF(stdProdLT(Main[[#This Row],[Comments]])=0.1,"N/A",IF(stdProdLT(Main[[#This Row],[Comments]])=0,"",stdProdLT(Main[[#This Row],[Comments]])))</f>
        <v/>
      </c>
      <c r="H207" s="68" t="str">
        <f>IF(AND(Main[[#This Row],[In Stock Date]]&lt;&gt;"",Main[[#This Row],[Revised Due Date]]&lt;&gt;""),Main[[#This Row],[In Stock Date]]-Main[[#This Row],[Revised Due Date]],"")</f>
        <v/>
      </c>
      <c r="I207" s="65" t="s">
        <v>4</v>
      </c>
      <c r="J207" s="65" t="s">
        <v>4</v>
      </c>
      <c r="K207" s="65" t="s">
        <v>4</v>
      </c>
      <c r="L207" s="67"/>
      <c r="M207" s="69" t="str">
        <f>IF(Main[[#This Row],[Tech Start Date]]&lt;1/1/1990,"",IF(Main[[#This Row],[Class]]="C",WORKDAY(Main[[#This Row],[Tech Start Date]],9),IF(Main[[#This Row],[Class]]="B", WORKDAY(Main[[#This Row],[Tech Start Date]],6),IF(Main[[#This Row],[Class]]="A",WORKDAY(Main[[#This Row],[Tech Start Date]],2),""))))</f>
        <v/>
      </c>
      <c r="N207" s="69" t="str">
        <f>IF(Main[[#This Row],[Tech Start Date]]&lt;1/1/1990,"",IF(Main[[#This Row],[Class]]="C",WORKDAY(Main[[#This Row],[Tech Start Date]],19),IF(Main[[#This Row],[Class]]="B", WORKDAY(Main[[#This Row],[Tech Start Date]],12),IF(Main[[#This Row],[Class]]="A",WORKDAY(Main[[#This Row],[Tech Start Date]],4),""))))</f>
        <v/>
      </c>
      <c r="O207" s="69" t="str">
        <f>IF(Main[[#This Row],[Tech Start Date]]&lt;1/1/1990,"",IF(Main[[#This Row],[Class]]="C",WORKDAY(Main[[#This Row],[Tech Start Date]],23),IF(Main[[#This Row],[Class]]="B", WORKDAY(Main[[#This Row],[Tech Start Date]],15),IF(Main[[#This Row],[Class]]="A",WORKDAY(Main[[#This Row],[Tech Start Date]],5),""))))</f>
        <v/>
      </c>
      <c r="P207" s="69" t="str">
        <f>IF(Main[[#This Row],[Tech Start Date]]&lt;1/1/1990,"",IF(Main[[#This Row],[Class]]="C",WORKDAY(Main[[#This Row],[Tech Start Date]],28),IF(Main[[#This Row],[Class]]="B", WORKDAY(Main[[#This Row],[Tech Start Date]],19),IF(Main[[#This Row],[Class]]="A",WORKDAY(Main[[#This Row],[Tech Start Date]],9),""))))</f>
        <v/>
      </c>
      <c r="Q207" s="67">
        <v>40724</v>
      </c>
      <c r="R207" s="67"/>
      <c r="S207" s="65" t="s">
        <v>6</v>
      </c>
      <c r="T207" s="70" t="s">
        <v>4</v>
      </c>
      <c r="U207" s="65" t="s">
        <v>12</v>
      </c>
      <c r="V207" s="65" t="s">
        <v>1914</v>
      </c>
      <c r="W207" s="65" t="s">
        <v>1918</v>
      </c>
      <c r="X207" s="65" t="s">
        <v>877</v>
      </c>
      <c r="Y207" s="65" t="s">
        <v>3009</v>
      </c>
      <c r="Z207" s="65" t="s">
        <v>4</v>
      </c>
      <c r="AA207" s="65" t="s">
        <v>877</v>
      </c>
    </row>
    <row r="208" spans="1:27" ht="17.45" hidden="1" customHeight="1">
      <c r="A208" s="100" t="str">
        <f>IF(priority(Main[[#This Row],[Comments]])&lt;&gt;0, priority(Main[[#This Row],[Comments]]),"")</f>
        <v/>
      </c>
      <c r="B208" s="77" t="s">
        <v>2349</v>
      </c>
      <c r="C208" s="65" t="s">
        <v>53</v>
      </c>
      <c r="D208" s="66" t="s">
        <v>2350</v>
      </c>
      <c r="E208" s="67"/>
      <c r="F208" s="67">
        <v>40845</v>
      </c>
      <c r="G208" s="64" t="str">
        <f>IF(stdProdLT(Main[[#This Row],[Comments]])=0.1,"N/A",IF(stdProdLT(Main[[#This Row],[Comments]])=0,"",stdProdLT(Main[[#This Row],[Comments]])))</f>
        <v/>
      </c>
      <c r="H208" s="68" t="str">
        <f>IF(AND(Main[[#This Row],[In Stock Date]]&lt;&gt;"",Main[[#This Row],[Revised Due Date]]&lt;&gt;""),Main[[#This Row],[In Stock Date]]-Main[[#This Row],[Revised Due Date]],"")</f>
        <v/>
      </c>
      <c r="I208" s="65" t="s">
        <v>4</v>
      </c>
      <c r="J208" s="65" t="s">
        <v>28</v>
      </c>
      <c r="K208" s="65" t="s">
        <v>4</v>
      </c>
      <c r="L208" s="67"/>
      <c r="M208" s="69" t="str">
        <f>IF(Main[[#This Row],[Tech Start Date]]&lt;1/1/1990,"",IF(Main[[#This Row],[Class]]="C",WORKDAY(Main[[#This Row],[Tech Start Date]],9),IF(Main[[#This Row],[Class]]="B", WORKDAY(Main[[#This Row],[Tech Start Date]],6),IF(Main[[#This Row],[Class]]="A",WORKDAY(Main[[#This Row],[Tech Start Date]],2),""))))</f>
        <v/>
      </c>
      <c r="N208" s="69" t="str">
        <f>IF(Main[[#This Row],[Tech Start Date]]&lt;1/1/1990,"",IF(Main[[#This Row],[Class]]="C",WORKDAY(Main[[#This Row],[Tech Start Date]],19),IF(Main[[#This Row],[Class]]="B", WORKDAY(Main[[#This Row],[Tech Start Date]],12),IF(Main[[#This Row],[Class]]="A",WORKDAY(Main[[#This Row],[Tech Start Date]],4),""))))</f>
        <v/>
      </c>
      <c r="O208" s="69" t="str">
        <f>IF(Main[[#This Row],[Tech Start Date]]&lt;1/1/1990,"",IF(Main[[#This Row],[Class]]="C",WORKDAY(Main[[#This Row],[Tech Start Date]],23),IF(Main[[#This Row],[Class]]="B", WORKDAY(Main[[#This Row],[Tech Start Date]],15),IF(Main[[#This Row],[Class]]="A",WORKDAY(Main[[#This Row],[Tech Start Date]],5),""))))</f>
        <v/>
      </c>
      <c r="P208" s="69" t="str">
        <f>IF(Main[[#This Row],[Tech Start Date]]&lt;1/1/1990,"",IF(Main[[#This Row],[Class]]="C",WORKDAY(Main[[#This Row],[Tech Start Date]],28),IF(Main[[#This Row],[Class]]="B", WORKDAY(Main[[#This Row],[Tech Start Date]],19),IF(Main[[#This Row],[Class]]="A",WORKDAY(Main[[#This Row],[Tech Start Date]],9),""))))</f>
        <v/>
      </c>
      <c r="Q208" s="67">
        <v>40840</v>
      </c>
      <c r="R208" s="67"/>
      <c r="S208" s="65" t="s">
        <v>11</v>
      </c>
      <c r="T208" s="70" t="s">
        <v>2351</v>
      </c>
      <c r="U208" s="65" t="s">
        <v>12</v>
      </c>
      <c r="V208" s="65" t="s">
        <v>1915</v>
      </c>
      <c r="W208" s="65" t="s">
        <v>1916</v>
      </c>
      <c r="X208" s="65" t="s">
        <v>2249</v>
      </c>
      <c r="Y208" s="65" t="s">
        <v>4</v>
      </c>
      <c r="Z208" s="65" t="s">
        <v>2053</v>
      </c>
      <c r="AA208" s="65" t="s">
        <v>2816</v>
      </c>
    </row>
    <row r="209" spans="1:27" ht="17.45" hidden="1" customHeight="1">
      <c r="A209" s="100" t="str">
        <f>IF(priority(Main[[#This Row],[Comments]])&lt;&gt;0, priority(Main[[#This Row],[Comments]]),"")</f>
        <v/>
      </c>
      <c r="B209" s="77" t="s">
        <v>1176</v>
      </c>
      <c r="C209" s="65" t="s">
        <v>67</v>
      </c>
      <c r="D209" s="66" t="s">
        <v>231</v>
      </c>
      <c r="E209" s="67"/>
      <c r="F209" s="67"/>
      <c r="G209" s="64" t="str">
        <f>IF(stdProdLT(Main[[#This Row],[Comments]])=0.1,"N/A",IF(stdProdLT(Main[[#This Row],[Comments]])=0,"",stdProdLT(Main[[#This Row],[Comments]])))</f>
        <v/>
      </c>
      <c r="H209" s="68" t="str">
        <f>IF(AND(Main[[#This Row],[In Stock Date]]&lt;&gt;"",Main[[#This Row],[Revised Due Date]]&lt;&gt;""),Main[[#This Row],[In Stock Date]]-Main[[#This Row],[Revised Due Date]],"")</f>
        <v/>
      </c>
      <c r="I209" s="65" t="s">
        <v>4</v>
      </c>
      <c r="J209" s="65" t="s">
        <v>4</v>
      </c>
      <c r="K209" s="65" t="s">
        <v>4</v>
      </c>
      <c r="L209" s="67"/>
      <c r="M209" s="69" t="str">
        <f>IF(Main[[#This Row],[Tech Start Date]]&lt;1/1/1990,"",IF(Main[[#This Row],[Class]]="C",WORKDAY(Main[[#This Row],[Tech Start Date]],9),IF(Main[[#This Row],[Class]]="B", WORKDAY(Main[[#This Row],[Tech Start Date]],6),IF(Main[[#This Row],[Class]]="A",WORKDAY(Main[[#This Row],[Tech Start Date]],2),""))))</f>
        <v/>
      </c>
      <c r="N209" s="69" t="str">
        <f>IF(Main[[#This Row],[Tech Start Date]]&lt;1/1/1990,"",IF(Main[[#This Row],[Class]]="C",WORKDAY(Main[[#This Row],[Tech Start Date]],19),IF(Main[[#This Row],[Class]]="B", WORKDAY(Main[[#This Row],[Tech Start Date]],12),IF(Main[[#This Row],[Class]]="A",WORKDAY(Main[[#This Row],[Tech Start Date]],4),""))))</f>
        <v/>
      </c>
      <c r="O209" s="69" t="str">
        <f>IF(Main[[#This Row],[Tech Start Date]]&lt;1/1/1990,"",IF(Main[[#This Row],[Class]]="C",WORKDAY(Main[[#This Row],[Tech Start Date]],23),IF(Main[[#This Row],[Class]]="B", WORKDAY(Main[[#This Row],[Tech Start Date]],15),IF(Main[[#This Row],[Class]]="A",WORKDAY(Main[[#This Row],[Tech Start Date]],5),""))))</f>
        <v/>
      </c>
      <c r="P209" s="69" t="str">
        <f>IF(Main[[#This Row],[Tech Start Date]]&lt;1/1/1990,"",IF(Main[[#This Row],[Class]]="C",WORKDAY(Main[[#This Row],[Tech Start Date]],28),IF(Main[[#This Row],[Class]]="B", WORKDAY(Main[[#This Row],[Tech Start Date]],19),IF(Main[[#This Row],[Class]]="A",WORKDAY(Main[[#This Row],[Tech Start Date]],9),""))))</f>
        <v/>
      </c>
      <c r="Q209" s="67">
        <v>40466</v>
      </c>
      <c r="R209" s="67"/>
      <c r="S209" s="65" t="s">
        <v>17</v>
      </c>
      <c r="T209" s="70" t="s">
        <v>4</v>
      </c>
      <c r="U209" s="65" t="s">
        <v>14</v>
      </c>
      <c r="V209" s="65" t="s">
        <v>1917</v>
      </c>
      <c r="W209" s="65" t="s">
        <v>1922</v>
      </c>
      <c r="X209" s="65" t="s">
        <v>415</v>
      </c>
      <c r="Y209" s="65" t="s">
        <v>2949</v>
      </c>
      <c r="Z209" s="65" t="s">
        <v>415</v>
      </c>
      <c r="AA209" s="65" t="s">
        <v>415</v>
      </c>
    </row>
    <row r="210" spans="1:27" ht="17.45" hidden="1" customHeight="1">
      <c r="A210" s="100" t="str">
        <f>IF(priority(Main[[#This Row],[Comments]])&lt;&gt;0, priority(Main[[#This Row],[Comments]]),"")</f>
        <v/>
      </c>
      <c r="B210" s="77" t="s">
        <v>1177</v>
      </c>
      <c r="C210" s="65" t="s">
        <v>72</v>
      </c>
      <c r="D210" s="66" t="s">
        <v>223</v>
      </c>
      <c r="E210" s="67"/>
      <c r="F210" s="67">
        <v>40391</v>
      </c>
      <c r="G210" s="64" t="str">
        <f>IF(stdProdLT(Main[[#This Row],[Comments]])=0.1,"N/A",IF(stdProdLT(Main[[#This Row],[Comments]])=0,"",stdProdLT(Main[[#This Row],[Comments]])))</f>
        <v/>
      </c>
      <c r="H210" s="68" t="str">
        <f>IF(AND(Main[[#This Row],[In Stock Date]]&lt;&gt;"",Main[[#This Row],[Revised Due Date]]&lt;&gt;""),Main[[#This Row],[In Stock Date]]-Main[[#This Row],[Revised Due Date]],"")</f>
        <v/>
      </c>
      <c r="I210" s="65" t="s">
        <v>4</v>
      </c>
      <c r="J210" s="65" t="s">
        <v>4</v>
      </c>
      <c r="K210" s="65" t="s">
        <v>4</v>
      </c>
      <c r="L210" s="67"/>
      <c r="M210" s="69" t="str">
        <f>IF(Main[[#This Row],[Tech Start Date]]&lt;1/1/1990,"",IF(Main[[#This Row],[Class]]="C",WORKDAY(Main[[#This Row],[Tech Start Date]],9),IF(Main[[#This Row],[Class]]="B", WORKDAY(Main[[#This Row],[Tech Start Date]],6),IF(Main[[#This Row],[Class]]="A",WORKDAY(Main[[#This Row],[Tech Start Date]],2),""))))</f>
        <v/>
      </c>
      <c r="N210" s="69" t="str">
        <f>IF(Main[[#This Row],[Tech Start Date]]&lt;1/1/1990,"",IF(Main[[#This Row],[Class]]="C",WORKDAY(Main[[#This Row],[Tech Start Date]],19),IF(Main[[#This Row],[Class]]="B", WORKDAY(Main[[#This Row],[Tech Start Date]],12),IF(Main[[#This Row],[Class]]="A",WORKDAY(Main[[#This Row],[Tech Start Date]],4),""))))</f>
        <v/>
      </c>
      <c r="O210" s="69" t="str">
        <f>IF(Main[[#This Row],[Tech Start Date]]&lt;1/1/1990,"",IF(Main[[#This Row],[Class]]="C",WORKDAY(Main[[#This Row],[Tech Start Date]],23),IF(Main[[#This Row],[Class]]="B", WORKDAY(Main[[#This Row],[Tech Start Date]],15),IF(Main[[#This Row],[Class]]="A",WORKDAY(Main[[#This Row],[Tech Start Date]],5),""))))</f>
        <v/>
      </c>
      <c r="P210" s="69" t="str">
        <f>IF(Main[[#This Row],[Tech Start Date]]&lt;1/1/1990,"",IF(Main[[#This Row],[Class]]="C",WORKDAY(Main[[#This Row],[Tech Start Date]],28),IF(Main[[#This Row],[Class]]="B", WORKDAY(Main[[#This Row],[Tech Start Date]],19),IF(Main[[#This Row],[Class]]="A",WORKDAY(Main[[#This Row],[Tech Start Date]],9),""))))</f>
        <v/>
      </c>
      <c r="Q210" s="67">
        <v>40291</v>
      </c>
      <c r="R210" s="67"/>
      <c r="S210" s="65" t="s">
        <v>11</v>
      </c>
      <c r="T210" s="70" t="s">
        <v>4</v>
      </c>
      <c r="U210" s="65" t="s">
        <v>12</v>
      </c>
      <c r="V210" s="65" t="s">
        <v>1915</v>
      </c>
      <c r="W210" s="65" t="s">
        <v>1919</v>
      </c>
      <c r="X210" s="65" t="s">
        <v>2864</v>
      </c>
      <c r="Y210" s="65" t="s">
        <v>4</v>
      </c>
      <c r="Z210" s="65" t="s">
        <v>4</v>
      </c>
      <c r="AA210" s="65" t="s">
        <v>2864</v>
      </c>
    </row>
    <row r="211" spans="1:27" ht="17.45" hidden="1" customHeight="1">
      <c r="A211" s="100" t="str">
        <f>IF(priority(Main[[#This Row],[Comments]])&lt;&gt;0, priority(Main[[#This Row],[Comments]]),"")</f>
        <v/>
      </c>
      <c r="B211" s="77" t="s">
        <v>1219</v>
      </c>
      <c r="C211" s="65" t="s">
        <v>4</v>
      </c>
      <c r="D211" s="66" t="s">
        <v>279</v>
      </c>
      <c r="E211" s="67"/>
      <c r="F211" s="67"/>
      <c r="G211" s="64" t="str">
        <f>IF(stdProdLT(Main[[#This Row],[Comments]])=0.1,"N/A",IF(stdProdLT(Main[[#This Row],[Comments]])=0,"",stdProdLT(Main[[#This Row],[Comments]])))</f>
        <v/>
      </c>
      <c r="H211" s="68" t="str">
        <f>IF(AND(Main[[#This Row],[In Stock Date]]&lt;&gt;"",Main[[#This Row],[Revised Due Date]]&lt;&gt;""),Main[[#This Row],[In Stock Date]]-Main[[#This Row],[Revised Due Date]],"")</f>
        <v/>
      </c>
      <c r="I211" s="65" t="s">
        <v>4</v>
      </c>
      <c r="J211" s="65" t="s">
        <v>4</v>
      </c>
      <c r="K211" s="65" t="s">
        <v>4</v>
      </c>
      <c r="L211" s="67"/>
      <c r="M211" s="69" t="str">
        <f>IF(Main[[#This Row],[Tech Start Date]]&lt;1/1/1990,"",IF(Main[[#This Row],[Class]]="C",WORKDAY(Main[[#This Row],[Tech Start Date]],9),IF(Main[[#This Row],[Class]]="B", WORKDAY(Main[[#This Row],[Tech Start Date]],6),IF(Main[[#This Row],[Class]]="A",WORKDAY(Main[[#This Row],[Tech Start Date]],2),""))))</f>
        <v/>
      </c>
      <c r="N211" s="69" t="str">
        <f>IF(Main[[#This Row],[Tech Start Date]]&lt;1/1/1990,"",IF(Main[[#This Row],[Class]]="C",WORKDAY(Main[[#This Row],[Tech Start Date]],19),IF(Main[[#This Row],[Class]]="B", WORKDAY(Main[[#This Row],[Tech Start Date]],12),IF(Main[[#This Row],[Class]]="A",WORKDAY(Main[[#This Row],[Tech Start Date]],4),""))))</f>
        <v/>
      </c>
      <c r="O211" s="69" t="str">
        <f>IF(Main[[#This Row],[Tech Start Date]]&lt;1/1/1990,"",IF(Main[[#This Row],[Class]]="C",WORKDAY(Main[[#This Row],[Tech Start Date]],23),IF(Main[[#This Row],[Class]]="B", WORKDAY(Main[[#This Row],[Tech Start Date]],15),IF(Main[[#This Row],[Class]]="A",WORKDAY(Main[[#This Row],[Tech Start Date]],5),""))))</f>
        <v/>
      </c>
      <c r="P211" s="69" t="str">
        <f>IF(Main[[#This Row],[Tech Start Date]]&lt;1/1/1990,"",IF(Main[[#This Row],[Class]]="C",WORKDAY(Main[[#This Row],[Tech Start Date]],28),IF(Main[[#This Row],[Class]]="B", WORKDAY(Main[[#This Row],[Tech Start Date]],19),IF(Main[[#This Row],[Class]]="A",WORKDAY(Main[[#This Row],[Tech Start Date]],9),""))))</f>
        <v/>
      </c>
      <c r="Q211" s="67"/>
      <c r="R211" s="67"/>
      <c r="S211" s="65" t="s">
        <v>23</v>
      </c>
      <c r="T211" s="70" t="s">
        <v>4</v>
      </c>
      <c r="U211" s="65" t="s">
        <v>12</v>
      </c>
      <c r="V211" s="65" t="s">
        <v>1914</v>
      </c>
      <c r="W211" s="65" t="s">
        <v>1918</v>
      </c>
      <c r="X211" s="65" t="s">
        <v>399</v>
      </c>
      <c r="Y211" s="65" t="s">
        <v>4</v>
      </c>
      <c r="Z211" s="65" t="s">
        <v>4</v>
      </c>
      <c r="AA211" s="65" t="s">
        <v>3379</v>
      </c>
    </row>
    <row r="212" spans="1:27" ht="17.45" hidden="1" customHeight="1">
      <c r="A212" s="100" t="str">
        <f>IF(priority(Main[[#This Row],[Comments]])&lt;&gt;0, priority(Main[[#This Row],[Comments]]),"")</f>
        <v/>
      </c>
      <c r="B212" s="77" t="s">
        <v>1220</v>
      </c>
      <c r="C212" s="65" t="s">
        <v>31</v>
      </c>
      <c r="D212" s="66" t="s">
        <v>280</v>
      </c>
      <c r="E212" s="67"/>
      <c r="F212" s="67"/>
      <c r="G212" s="64" t="str">
        <f>IF(stdProdLT(Main[[#This Row],[Comments]])=0.1,"N/A",IF(stdProdLT(Main[[#This Row],[Comments]])=0,"",stdProdLT(Main[[#This Row],[Comments]])))</f>
        <v/>
      </c>
      <c r="H212" s="68" t="str">
        <f>IF(AND(Main[[#This Row],[In Stock Date]]&lt;&gt;"",Main[[#This Row],[Revised Due Date]]&lt;&gt;""),Main[[#This Row],[In Stock Date]]-Main[[#This Row],[Revised Due Date]],"")</f>
        <v/>
      </c>
      <c r="I212" s="65" t="s">
        <v>4</v>
      </c>
      <c r="J212" s="65" t="s">
        <v>4</v>
      </c>
      <c r="K212" s="65" t="s">
        <v>4</v>
      </c>
      <c r="L212" s="67"/>
      <c r="M212" s="69" t="str">
        <f>IF(Main[[#This Row],[Tech Start Date]]&lt;1/1/1990,"",IF(Main[[#This Row],[Class]]="C",WORKDAY(Main[[#This Row],[Tech Start Date]],9),IF(Main[[#This Row],[Class]]="B", WORKDAY(Main[[#This Row],[Tech Start Date]],6),IF(Main[[#This Row],[Class]]="A",WORKDAY(Main[[#This Row],[Tech Start Date]],2),""))))</f>
        <v/>
      </c>
      <c r="N212" s="69" t="str">
        <f>IF(Main[[#This Row],[Tech Start Date]]&lt;1/1/1990,"",IF(Main[[#This Row],[Class]]="C",WORKDAY(Main[[#This Row],[Tech Start Date]],19),IF(Main[[#This Row],[Class]]="B", WORKDAY(Main[[#This Row],[Tech Start Date]],12),IF(Main[[#This Row],[Class]]="A",WORKDAY(Main[[#This Row],[Tech Start Date]],4),""))))</f>
        <v/>
      </c>
      <c r="O212" s="69" t="str">
        <f>IF(Main[[#This Row],[Tech Start Date]]&lt;1/1/1990,"",IF(Main[[#This Row],[Class]]="C",WORKDAY(Main[[#This Row],[Tech Start Date]],23),IF(Main[[#This Row],[Class]]="B", WORKDAY(Main[[#This Row],[Tech Start Date]],15),IF(Main[[#This Row],[Class]]="A",WORKDAY(Main[[#This Row],[Tech Start Date]],5),""))))</f>
        <v/>
      </c>
      <c r="P212" s="69" t="str">
        <f>IF(Main[[#This Row],[Tech Start Date]]&lt;1/1/1990,"",IF(Main[[#This Row],[Class]]="C",WORKDAY(Main[[#This Row],[Tech Start Date]],28),IF(Main[[#This Row],[Class]]="B", WORKDAY(Main[[#This Row],[Tech Start Date]],19),IF(Main[[#This Row],[Class]]="A",WORKDAY(Main[[#This Row],[Tech Start Date]],9),""))))</f>
        <v/>
      </c>
      <c r="Q212" s="67">
        <v>40318</v>
      </c>
      <c r="R212" s="67"/>
      <c r="S212" s="65" t="s">
        <v>11</v>
      </c>
      <c r="T212" s="70" t="s">
        <v>4</v>
      </c>
      <c r="U212" s="65" t="s">
        <v>14</v>
      </c>
      <c r="V212" s="65" t="s">
        <v>1924</v>
      </c>
      <c r="W212" s="65" t="s">
        <v>1916</v>
      </c>
      <c r="X212" s="65" t="s">
        <v>2830</v>
      </c>
      <c r="Y212" s="65" t="s">
        <v>4</v>
      </c>
      <c r="Z212" s="65" t="s">
        <v>4</v>
      </c>
      <c r="AA212" s="65" t="s">
        <v>2830</v>
      </c>
    </row>
    <row r="213" spans="1:27" ht="17.45" hidden="1" customHeight="1">
      <c r="A213" s="100" t="str">
        <f>IF(priority(Main[[#This Row],[Comments]])&lt;&gt;0, priority(Main[[#This Row],[Comments]]),"")</f>
        <v/>
      </c>
      <c r="B213" s="77" t="s">
        <v>1823</v>
      </c>
      <c r="C213" s="65" t="s">
        <v>79</v>
      </c>
      <c r="D213" s="66" t="s">
        <v>874</v>
      </c>
      <c r="E213" s="67">
        <v>40072.658055555556</v>
      </c>
      <c r="F213" s="67">
        <v>40157</v>
      </c>
      <c r="G213" s="64" t="str">
        <f>IF(stdProdLT(Main[[#This Row],[Comments]])=0.1,"N/A",IF(stdProdLT(Main[[#This Row],[Comments]])=0,"",stdProdLT(Main[[#This Row],[Comments]])))</f>
        <v/>
      </c>
      <c r="H213" s="68">
        <f>IF(AND(Main[[#This Row],[In Stock Date]]&lt;&gt;"",Main[[#This Row],[Revised Due Date]]&lt;&gt;""),Main[[#This Row],[In Stock Date]]-Main[[#This Row],[Revised Due Date]],"")</f>
        <v>-171</v>
      </c>
      <c r="I213" s="65" t="s">
        <v>4</v>
      </c>
      <c r="J213" s="65" t="s">
        <v>4</v>
      </c>
      <c r="K213" s="65" t="s">
        <v>1926</v>
      </c>
      <c r="L213" s="67"/>
      <c r="M213" s="69" t="str">
        <f>IF(Main[[#This Row],[Tech Start Date]]&lt;1/1/1990,"",IF(Main[[#This Row],[Class]]="C",WORKDAY(Main[[#This Row],[Tech Start Date]],9),IF(Main[[#This Row],[Class]]="B", WORKDAY(Main[[#This Row],[Tech Start Date]],6),IF(Main[[#This Row],[Class]]="A",WORKDAY(Main[[#This Row],[Tech Start Date]],2),""))))</f>
        <v/>
      </c>
      <c r="N213" s="69" t="str">
        <f>IF(Main[[#This Row],[Tech Start Date]]&lt;1/1/1990,"",IF(Main[[#This Row],[Class]]="C",WORKDAY(Main[[#This Row],[Tech Start Date]],19),IF(Main[[#This Row],[Class]]="B", WORKDAY(Main[[#This Row],[Tech Start Date]],12),IF(Main[[#This Row],[Class]]="A",WORKDAY(Main[[#This Row],[Tech Start Date]],4),""))))</f>
        <v/>
      </c>
      <c r="O213" s="69" t="str">
        <f>IF(Main[[#This Row],[Tech Start Date]]&lt;1/1/1990,"",IF(Main[[#This Row],[Class]]="C",WORKDAY(Main[[#This Row],[Tech Start Date]],23),IF(Main[[#This Row],[Class]]="B", WORKDAY(Main[[#This Row],[Tech Start Date]],15),IF(Main[[#This Row],[Class]]="A",WORKDAY(Main[[#This Row],[Tech Start Date]],5),""))))</f>
        <v/>
      </c>
      <c r="P213" s="69" t="str">
        <f>IF(Main[[#This Row],[Tech Start Date]]&lt;1/1/1990,"",IF(Main[[#This Row],[Class]]="C",WORKDAY(Main[[#This Row],[Tech Start Date]],28),IF(Main[[#This Row],[Class]]="B", WORKDAY(Main[[#This Row],[Tech Start Date]],19),IF(Main[[#This Row],[Class]]="A",WORKDAY(Main[[#This Row],[Tech Start Date]],9),""))))</f>
        <v/>
      </c>
      <c r="Q213" s="67">
        <v>40117</v>
      </c>
      <c r="R213" s="67">
        <v>40328</v>
      </c>
      <c r="S213" s="65" t="s">
        <v>17</v>
      </c>
      <c r="T213" s="70" t="s">
        <v>4</v>
      </c>
      <c r="U213" s="65" t="s">
        <v>29</v>
      </c>
      <c r="V213" s="65" t="s">
        <v>1915</v>
      </c>
      <c r="W213" s="65" t="s">
        <v>1919</v>
      </c>
      <c r="X213" s="65" t="s">
        <v>2861</v>
      </c>
      <c r="Y213" s="65" t="s">
        <v>2956</v>
      </c>
      <c r="Z213" s="65" t="s">
        <v>4</v>
      </c>
      <c r="AA213" s="65" t="s">
        <v>2861</v>
      </c>
    </row>
    <row r="214" spans="1:27" ht="17.45" hidden="1" customHeight="1">
      <c r="A214" s="100" t="str">
        <f>IF(priority(Main[[#This Row],[Comments]])&lt;&gt;0, priority(Main[[#This Row],[Comments]]),"")</f>
        <v/>
      </c>
      <c r="B214" s="77" t="s">
        <v>1223</v>
      </c>
      <c r="C214" s="65" t="s">
        <v>169</v>
      </c>
      <c r="D214" s="66" t="s">
        <v>232</v>
      </c>
      <c r="E214" s="67"/>
      <c r="F214" s="67">
        <v>40237</v>
      </c>
      <c r="G214" s="64" t="str">
        <f>IF(stdProdLT(Main[[#This Row],[Comments]])=0.1,"N/A",IF(stdProdLT(Main[[#This Row],[Comments]])=0,"",stdProdLT(Main[[#This Row],[Comments]])))</f>
        <v/>
      </c>
      <c r="H214" s="68" t="str">
        <f>IF(AND(Main[[#This Row],[In Stock Date]]&lt;&gt;"",Main[[#This Row],[Revised Due Date]]&lt;&gt;""),Main[[#This Row],[In Stock Date]]-Main[[#This Row],[Revised Due Date]],"")</f>
        <v/>
      </c>
      <c r="I214" s="65" t="s">
        <v>4</v>
      </c>
      <c r="J214" s="65" t="s">
        <v>4</v>
      </c>
      <c r="K214" s="65" t="s">
        <v>4</v>
      </c>
      <c r="L214" s="67"/>
      <c r="M214" s="69" t="str">
        <f>IF(Main[[#This Row],[Tech Start Date]]&lt;1/1/1990,"",IF(Main[[#This Row],[Class]]="C",WORKDAY(Main[[#This Row],[Tech Start Date]],9),IF(Main[[#This Row],[Class]]="B", WORKDAY(Main[[#This Row],[Tech Start Date]],6),IF(Main[[#This Row],[Class]]="A",WORKDAY(Main[[#This Row],[Tech Start Date]],2),""))))</f>
        <v/>
      </c>
      <c r="N214" s="69" t="str">
        <f>IF(Main[[#This Row],[Tech Start Date]]&lt;1/1/1990,"",IF(Main[[#This Row],[Class]]="C",WORKDAY(Main[[#This Row],[Tech Start Date]],19),IF(Main[[#This Row],[Class]]="B", WORKDAY(Main[[#This Row],[Tech Start Date]],12),IF(Main[[#This Row],[Class]]="A",WORKDAY(Main[[#This Row],[Tech Start Date]],4),""))))</f>
        <v/>
      </c>
      <c r="O214" s="69" t="str">
        <f>IF(Main[[#This Row],[Tech Start Date]]&lt;1/1/1990,"",IF(Main[[#This Row],[Class]]="C",WORKDAY(Main[[#This Row],[Tech Start Date]],23),IF(Main[[#This Row],[Class]]="B", WORKDAY(Main[[#This Row],[Tech Start Date]],15),IF(Main[[#This Row],[Class]]="A",WORKDAY(Main[[#This Row],[Tech Start Date]],5),""))))</f>
        <v/>
      </c>
      <c r="P214" s="69" t="str">
        <f>IF(Main[[#This Row],[Tech Start Date]]&lt;1/1/1990,"",IF(Main[[#This Row],[Class]]="C",WORKDAY(Main[[#This Row],[Tech Start Date]],28),IF(Main[[#This Row],[Class]]="B", WORKDAY(Main[[#This Row],[Tech Start Date]],19),IF(Main[[#This Row],[Class]]="A",WORKDAY(Main[[#This Row],[Tech Start Date]],9),""))))</f>
        <v/>
      </c>
      <c r="Q214" s="67">
        <v>40132</v>
      </c>
      <c r="R214" s="67"/>
      <c r="S214" s="65" t="s">
        <v>11</v>
      </c>
      <c r="T214" s="70" t="s">
        <v>4</v>
      </c>
      <c r="U214" s="65" t="s">
        <v>14</v>
      </c>
      <c r="V214" s="65" t="s">
        <v>1914</v>
      </c>
      <c r="W214" s="65" t="s">
        <v>1919</v>
      </c>
      <c r="X214" s="65" t="s">
        <v>2858</v>
      </c>
      <c r="Y214" s="65" t="s">
        <v>4</v>
      </c>
      <c r="Z214" s="65" t="s">
        <v>4</v>
      </c>
      <c r="AA214" s="65" t="s">
        <v>2858</v>
      </c>
    </row>
    <row r="215" spans="1:27" ht="17.45" hidden="1" customHeight="1">
      <c r="A215" s="100" t="str">
        <f>IF(priority(Main[[#This Row],[Comments]])&lt;&gt;0, priority(Main[[#This Row],[Comments]]),"")</f>
        <v/>
      </c>
      <c r="B215" s="77" t="s">
        <v>1224</v>
      </c>
      <c r="C215" s="65" t="s">
        <v>4</v>
      </c>
      <c r="D215" s="66" t="s">
        <v>233</v>
      </c>
      <c r="E215" s="67">
        <v>40403.488668981481</v>
      </c>
      <c r="F215" s="67"/>
      <c r="G215" s="64" t="str">
        <f>IF(stdProdLT(Main[[#This Row],[Comments]])=0.1,"N/A",IF(stdProdLT(Main[[#This Row],[Comments]])=0,"",stdProdLT(Main[[#This Row],[Comments]])))</f>
        <v/>
      </c>
      <c r="H215" s="68" t="str">
        <f>IF(AND(Main[[#This Row],[In Stock Date]]&lt;&gt;"",Main[[#This Row],[Revised Due Date]]&lt;&gt;""),Main[[#This Row],[In Stock Date]]-Main[[#This Row],[Revised Due Date]],"")</f>
        <v/>
      </c>
      <c r="I215" s="65" t="s">
        <v>129</v>
      </c>
      <c r="J215" s="65" t="s">
        <v>28</v>
      </c>
      <c r="K215" s="65" t="s">
        <v>4</v>
      </c>
      <c r="L215" s="67"/>
      <c r="M215" s="69" t="str">
        <f>IF(Main[[#This Row],[Tech Start Date]]&lt;1/1/1990,"",IF(Main[[#This Row],[Class]]="C",WORKDAY(Main[[#This Row],[Tech Start Date]],9),IF(Main[[#This Row],[Class]]="B", WORKDAY(Main[[#This Row],[Tech Start Date]],6),IF(Main[[#This Row],[Class]]="A",WORKDAY(Main[[#This Row],[Tech Start Date]],2),""))))</f>
        <v/>
      </c>
      <c r="N215" s="69" t="str">
        <f>IF(Main[[#This Row],[Tech Start Date]]&lt;1/1/1990,"",IF(Main[[#This Row],[Class]]="C",WORKDAY(Main[[#This Row],[Tech Start Date]],19),IF(Main[[#This Row],[Class]]="B", WORKDAY(Main[[#This Row],[Tech Start Date]],12),IF(Main[[#This Row],[Class]]="A",WORKDAY(Main[[#This Row],[Tech Start Date]],4),""))))</f>
        <v/>
      </c>
      <c r="O215" s="69" t="str">
        <f>IF(Main[[#This Row],[Tech Start Date]]&lt;1/1/1990,"",IF(Main[[#This Row],[Class]]="C",WORKDAY(Main[[#This Row],[Tech Start Date]],23),IF(Main[[#This Row],[Class]]="B", WORKDAY(Main[[#This Row],[Tech Start Date]],15),IF(Main[[#This Row],[Class]]="A",WORKDAY(Main[[#This Row],[Tech Start Date]],5),""))))</f>
        <v/>
      </c>
      <c r="P215" s="69" t="str">
        <f>IF(Main[[#This Row],[Tech Start Date]]&lt;1/1/1990,"",IF(Main[[#This Row],[Class]]="C",WORKDAY(Main[[#This Row],[Tech Start Date]],28),IF(Main[[#This Row],[Class]]="B", WORKDAY(Main[[#This Row],[Tech Start Date]],19),IF(Main[[#This Row],[Class]]="A",WORKDAY(Main[[#This Row],[Tech Start Date]],9),""))))</f>
        <v/>
      </c>
      <c r="Q215" s="67">
        <v>40438</v>
      </c>
      <c r="R215" s="67"/>
      <c r="S215" s="65" t="s">
        <v>6</v>
      </c>
      <c r="T215" s="70" t="s">
        <v>4</v>
      </c>
      <c r="U215" s="65" t="s">
        <v>7</v>
      </c>
      <c r="V215" s="65" t="s">
        <v>1914</v>
      </c>
      <c r="W215" s="65" t="s">
        <v>1918</v>
      </c>
      <c r="X215" s="65" t="s">
        <v>2818</v>
      </c>
      <c r="Y215" s="65" t="s">
        <v>2929</v>
      </c>
      <c r="Z215" s="65" t="s">
        <v>129</v>
      </c>
      <c r="AA215" s="65" t="s">
        <v>2818</v>
      </c>
    </row>
    <row r="216" spans="1:27" ht="17.45" hidden="1" customHeight="1">
      <c r="A216" s="100" t="str">
        <f>IF(priority(Main[[#This Row],[Comments]])&lt;&gt;0, priority(Main[[#This Row],[Comments]]),"")</f>
        <v/>
      </c>
      <c r="B216" s="77" t="s">
        <v>1178</v>
      </c>
      <c r="C216" s="65" t="s">
        <v>234</v>
      </c>
      <c r="D216" s="66" t="s">
        <v>235</v>
      </c>
      <c r="E216" s="67"/>
      <c r="F216" s="67"/>
      <c r="G216" s="64" t="str">
        <f>IF(stdProdLT(Main[[#This Row],[Comments]])=0.1,"N/A",IF(stdProdLT(Main[[#This Row],[Comments]])=0,"",stdProdLT(Main[[#This Row],[Comments]])))</f>
        <v/>
      </c>
      <c r="H216" s="68" t="str">
        <f>IF(AND(Main[[#This Row],[In Stock Date]]&lt;&gt;"",Main[[#This Row],[Revised Due Date]]&lt;&gt;""),Main[[#This Row],[In Stock Date]]-Main[[#This Row],[Revised Due Date]],"")</f>
        <v/>
      </c>
      <c r="I216" s="65" t="s">
        <v>4</v>
      </c>
      <c r="J216" s="65" t="s">
        <v>4</v>
      </c>
      <c r="K216" s="65" t="s">
        <v>4</v>
      </c>
      <c r="L216" s="67"/>
      <c r="M216" s="69" t="str">
        <f>IF(Main[[#This Row],[Tech Start Date]]&lt;1/1/1990,"",IF(Main[[#This Row],[Class]]="C",WORKDAY(Main[[#This Row],[Tech Start Date]],9),IF(Main[[#This Row],[Class]]="B", WORKDAY(Main[[#This Row],[Tech Start Date]],6),IF(Main[[#This Row],[Class]]="A",WORKDAY(Main[[#This Row],[Tech Start Date]],2),""))))</f>
        <v/>
      </c>
      <c r="N216" s="69" t="str">
        <f>IF(Main[[#This Row],[Tech Start Date]]&lt;1/1/1990,"",IF(Main[[#This Row],[Class]]="C",WORKDAY(Main[[#This Row],[Tech Start Date]],19),IF(Main[[#This Row],[Class]]="B", WORKDAY(Main[[#This Row],[Tech Start Date]],12),IF(Main[[#This Row],[Class]]="A",WORKDAY(Main[[#This Row],[Tech Start Date]],4),""))))</f>
        <v/>
      </c>
      <c r="O216" s="69" t="str">
        <f>IF(Main[[#This Row],[Tech Start Date]]&lt;1/1/1990,"",IF(Main[[#This Row],[Class]]="C",WORKDAY(Main[[#This Row],[Tech Start Date]],23),IF(Main[[#This Row],[Class]]="B", WORKDAY(Main[[#This Row],[Tech Start Date]],15),IF(Main[[#This Row],[Class]]="A",WORKDAY(Main[[#This Row],[Tech Start Date]],5),""))))</f>
        <v/>
      </c>
      <c r="P216" s="69" t="str">
        <f>IF(Main[[#This Row],[Tech Start Date]]&lt;1/1/1990,"",IF(Main[[#This Row],[Class]]="C",WORKDAY(Main[[#This Row],[Tech Start Date]],28),IF(Main[[#This Row],[Class]]="B", WORKDAY(Main[[#This Row],[Tech Start Date]],19),IF(Main[[#This Row],[Class]]="A",WORKDAY(Main[[#This Row],[Tech Start Date]],9),""))))</f>
        <v/>
      </c>
      <c r="Q216" s="67">
        <v>40204</v>
      </c>
      <c r="R216" s="67"/>
      <c r="S216" s="65" t="s">
        <v>11</v>
      </c>
      <c r="T216" s="70" t="s">
        <v>4</v>
      </c>
      <c r="U216" s="65" t="s">
        <v>14</v>
      </c>
      <c r="V216" s="65" t="s">
        <v>1917</v>
      </c>
      <c r="W216" s="65" t="s">
        <v>1916</v>
      </c>
      <c r="X216" s="65" t="s">
        <v>65</v>
      </c>
      <c r="Y216" s="65" t="s">
        <v>4</v>
      </c>
      <c r="Z216" s="65" t="s">
        <v>4</v>
      </c>
      <c r="AA216" s="65" t="s">
        <v>65</v>
      </c>
    </row>
    <row r="217" spans="1:27" ht="17.45" hidden="1" customHeight="1">
      <c r="A217" s="100" t="str">
        <f>IF(priority(Main[[#This Row],[Comments]])&lt;&gt;0, priority(Main[[#This Row],[Comments]]),"")</f>
        <v/>
      </c>
      <c r="B217" s="77" t="s">
        <v>3521</v>
      </c>
      <c r="C217" s="65" t="s">
        <v>3522</v>
      </c>
      <c r="D217" s="66" t="s">
        <v>3523</v>
      </c>
      <c r="E217" s="67"/>
      <c r="F217" s="67"/>
      <c r="G217" s="64" t="str">
        <f>IF(stdProdLT(Main[[#This Row],[Comments]])=0.1,"N/A",IF(stdProdLT(Main[[#This Row],[Comments]])=0,"",stdProdLT(Main[[#This Row],[Comments]])))</f>
        <v/>
      </c>
      <c r="H217" s="68" t="str">
        <f>IF(AND(Main[[#This Row],[In Stock Date]]&lt;&gt;"",Main[[#This Row],[Revised Due Date]]&lt;&gt;""),Main[[#This Row],[In Stock Date]]-Main[[#This Row],[Revised Due Date]],"")</f>
        <v/>
      </c>
      <c r="I217" s="65" t="s">
        <v>4</v>
      </c>
      <c r="J217" s="65" t="s">
        <v>4</v>
      </c>
      <c r="K217" s="65" t="s">
        <v>4</v>
      </c>
      <c r="L217" s="67"/>
      <c r="M217" s="69" t="str">
        <f>IF(Main[[#This Row],[Tech Start Date]]&lt;1/1/1990,"",IF(Main[[#This Row],[Class]]="C",WORKDAY(Main[[#This Row],[Tech Start Date]],9),IF(Main[[#This Row],[Class]]="B", WORKDAY(Main[[#This Row],[Tech Start Date]],6),IF(Main[[#This Row],[Class]]="A",WORKDAY(Main[[#This Row],[Tech Start Date]],2),""))))</f>
        <v/>
      </c>
      <c r="N217" s="69" t="str">
        <f>IF(Main[[#This Row],[Tech Start Date]]&lt;1/1/1990,"",IF(Main[[#This Row],[Class]]="C",WORKDAY(Main[[#This Row],[Tech Start Date]],19),IF(Main[[#This Row],[Class]]="B", WORKDAY(Main[[#This Row],[Tech Start Date]],12),IF(Main[[#This Row],[Class]]="A",WORKDAY(Main[[#This Row],[Tech Start Date]],4),""))))</f>
        <v/>
      </c>
      <c r="O217" s="69" t="str">
        <f>IF(Main[[#This Row],[Tech Start Date]]&lt;1/1/1990,"",IF(Main[[#This Row],[Class]]="C",WORKDAY(Main[[#This Row],[Tech Start Date]],23),IF(Main[[#This Row],[Class]]="B", WORKDAY(Main[[#This Row],[Tech Start Date]],15),IF(Main[[#This Row],[Class]]="A",WORKDAY(Main[[#This Row],[Tech Start Date]],5),""))))</f>
        <v/>
      </c>
      <c r="P217" s="69" t="str">
        <f>IF(Main[[#This Row],[Tech Start Date]]&lt;1/1/1990,"",IF(Main[[#This Row],[Class]]="C",WORKDAY(Main[[#This Row],[Tech Start Date]],28),IF(Main[[#This Row],[Class]]="B", WORKDAY(Main[[#This Row],[Tech Start Date]],19),IF(Main[[#This Row],[Class]]="A",WORKDAY(Main[[#This Row],[Tech Start Date]],9),""))))</f>
        <v/>
      </c>
      <c r="Q217" s="67">
        <v>40953</v>
      </c>
      <c r="R217" s="67"/>
      <c r="S217" s="65" t="s">
        <v>11</v>
      </c>
      <c r="T217" s="70" t="s">
        <v>4</v>
      </c>
      <c r="U217" s="65" t="s">
        <v>14</v>
      </c>
      <c r="V217" s="65" t="s">
        <v>1914</v>
      </c>
      <c r="W217" s="65" t="s">
        <v>1925</v>
      </c>
      <c r="X217" s="65" t="s">
        <v>2839</v>
      </c>
      <c r="Y217" s="65" t="s">
        <v>2970</v>
      </c>
      <c r="Z217" s="65" t="s">
        <v>4</v>
      </c>
      <c r="AA217" s="65" t="s">
        <v>2839</v>
      </c>
    </row>
    <row r="218" spans="1:27" ht="17.45" hidden="1" customHeight="1">
      <c r="A218" s="100" t="str">
        <f>IF(priority(Main[[#This Row],[Comments]])&lt;&gt;0, priority(Main[[#This Row],[Comments]]),"")</f>
        <v/>
      </c>
      <c r="B218" s="77" t="s">
        <v>3527</v>
      </c>
      <c r="C218" s="65" t="s">
        <v>47</v>
      </c>
      <c r="D218" s="66" t="s">
        <v>3528</v>
      </c>
      <c r="E218" s="67">
        <v>40947.640497685185</v>
      </c>
      <c r="F218" s="67"/>
      <c r="G218" s="64" t="str">
        <f>IF(stdProdLT(Main[[#This Row],[Comments]])=0.1,"N/A",IF(stdProdLT(Main[[#This Row],[Comments]])=0,"",stdProdLT(Main[[#This Row],[Comments]])))</f>
        <v/>
      </c>
      <c r="H218" s="68" t="str">
        <f>IF(AND(Main[[#This Row],[In Stock Date]]&lt;&gt;"",Main[[#This Row],[Revised Due Date]]&lt;&gt;""),Main[[#This Row],[In Stock Date]]-Main[[#This Row],[Revised Due Date]],"")</f>
        <v/>
      </c>
      <c r="I218" s="65" t="s">
        <v>4</v>
      </c>
      <c r="J218" s="65" t="s">
        <v>4</v>
      </c>
      <c r="K218" s="65" t="s">
        <v>4</v>
      </c>
      <c r="L218" s="67"/>
      <c r="M218" s="69" t="str">
        <f>IF(Main[[#This Row],[Tech Start Date]]&lt;1/1/1990,"",IF(Main[[#This Row],[Class]]="C",WORKDAY(Main[[#This Row],[Tech Start Date]],9),IF(Main[[#This Row],[Class]]="B", WORKDAY(Main[[#This Row],[Tech Start Date]],6),IF(Main[[#This Row],[Class]]="A",WORKDAY(Main[[#This Row],[Tech Start Date]],2),""))))</f>
        <v/>
      </c>
      <c r="N218" s="69" t="str">
        <f>IF(Main[[#This Row],[Tech Start Date]]&lt;1/1/1990,"",IF(Main[[#This Row],[Class]]="C",WORKDAY(Main[[#This Row],[Tech Start Date]],19),IF(Main[[#This Row],[Class]]="B", WORKDAY(Main[[#This Row],[Tech Start Date]],12),IF(Main[[#This Row],[Class]]="A",WORKDAY(Main[[#This Row],[Tech Start Date]],4),""))))</f>
        <v/>
      </c>
      <c r="O218" s="69" t="str">
        <f>IF(Main[[#This Row],[Tech Start Date]]&lt;1/1/1990,"",IF(Main[[#This Row],[Class]]="C",WORKDAY(Main[[#This Row],[Tech Start Date]],23),IF(Main[[#This Row],[Class]]="B", WORKDAY(Main[[#This Row],[Tech Start Date]],15),IF(Main[[#This Row],[Class]]="A",WORKDAY(Main[[#This Row],[Tech Start Date]],5),""))))</f>
        <v/>
      </c>
      <c r="P218" s="69" t="str">
        <f>IF(Main[[#This Row],[Tech Start Date]]&lt;1/1/1990,"",IF(Main[[#This Row],[Class]]="C",WORKDAY(Main[[#This Row],[Tech Start Date]],28),IF(Main[[#This Row],[Class]]="B", WORKDAY(Main[[#This Row],[Tech Start Date]],19),IF(Main[[#This Row],[Class]]="A",WORKDAY(Main[[#This Row],[Tech Start Date]],9),""))))</f>
        <v/>
      </c>
      <c r="Q218" s="67">
        <v>40999</v>
      </c>
      <c r="R218" s="67"/>
      <c r="S218" s="65" t="s">
        <v>6</v>
      </c>
      <c r="T218" s="70" t="s">
        <v>4</v>
      </c>
      <c r="U218" s="65" t="s">
        <v>29</v>
      </c>
      <c r="V218" s="65" t="s">
        <v>2283</v>
      </c>
      <c r="W218" s="65" t="s">
        <v>4</v>
      </c>
      <c r="X218" s="65" t="s">
        <v>2865</v>
      </c>
      <c r="Y218" s="65" t="s">
        <v>3010</v>
      </c>
      <c r="Z218" s="65" t="s">
        <v>4</v>
      </c>
      <c r="AA218" s="65" t="s">
        <v>2865</v>
      </c>
    </row>
    <row r="219" spans="1:27" ht="17.45" hidden="1" customHeight="1">
      <c r="A219" s="100" t="str">
        <f>IF(priority(Main[[#This Row],[Comments]])&lt;&gt;0, priority(Main[[#This Row],[Comments]]),"")</f>
        <v/>
      </c>
      <c r="B219" s="77" t="s">
        <v>1179</v>
      </c>
      <c r="C219" s="65" t="s">
        <v>4</v>
      </c>
      <c r="D219" s="66" t="s">
        <v>236</v>
      </c>
      <c r="E219" s="67">
        <v>40317.337557870371</v>
      </c>
      <c r="F219" s="67"/>
      <c r="G219" s="64" t="str">
        <f>IF(stdProdLT(Main[[#This Row],[Comments]])=0.1,"N/A",IF(stdProdLT(Main[[#This Row],[Comments]])=0,"",stdProdLT(Main[[#This Row],[Comments]])))</f>
        <v/>
      </c>
      <c r="H219" s="68" t="str">
        <f>IF(AND(Main[[#This Row],[In Stock Date]]&lt;&gt;"",Main[[#This Row],[Revised Due Date]]&lt;&gt;""),Main[[#This Row],[In Stock Date]]-Main[[#This Row],[Revised Due Date]],"")</f>
        <v/>
      </c>
      <c r="I219" s="65" t="s">
        <v>4</v>
      </c>
      <c r="J219" s="65" t="s">
        <v>4</v>
      </c>
      <c r="K219" s="65" t="s">
        <v>4</v>
      </c>
      <c r="L219" s="67"/>
      <c r="M219" s="69" t="str">
        <f>IF(Main[[#This Row],[Tech Start Date]]&lt;1/1/1990,"",IF(Main[[#This Row],[Class]]="C",WORKDAY(Main[[#This Row],[Tech Start Date]],9),IF(Main[[#This Row],[Class]]="B", WORKDAY(Main[[#This Row],[Tech Start Date]],6),IF(Main[[#This Row],[Class]]="A",WORKDAY(Main[[#This Row],[Tech Start Date]],2),""))))</f>
        <v/>
      </c>
      <c r="N219" s="69" t="str">
        <f>IF(Main[[#This Row],[Tech Start Date]]&lt;1/1/1990,"",IF(Main[[#This Row],[Class]]="C",WORKDAY(Main[[#This Row],[Tech Start Date]],19),IF(Main[[#This Row],[Class]]="B", WORKDAY(Main[[#This Row],[Tech Start Date]],12),IF(Main[[#This Row],[Class]]="A",WORKDAY(Main[[#This Row],[Tech Start Date]],4),""))))</f>
        <v/>
      </c>
      <c r="O219" s="69" t="str">
        <f>IF(Main[[#This Row],[Tech Start Date]]&lt;1/1/1990,"",IF(Main[[#This Row],[Class]]="C",WORKDAY(Main[[#This Row],[Tech Start Date]],23),IF(Main[[#This Row],[Class]]="B", WORKDAY(Main[[#This Row],[Tech Start Date]],15),IF(Main[[#This Row],[Class]]="A",WORKDAY(Main[[#This Row],[Tech Start Date]],5),""))))</f>
        <v/>
      </c>
      <c r="P219" s="69" t="str">
        <f>IF(Main[[#This Row],[Tech Start Date]]&lt;1/1/1990,"",IF(Main[[#This Row],[Class]]="C",WORKDAY(Main[[#This Row],[Tech Start Date]],28),IF(Main[[#This Row],[Class]]="B", WORKDAY(Main[[#This Row],[Tech Start Date]],19),IF(Main[[#This Row],[Class]]="A",WORKDAY(Main[[#This Row],[Tech Start Date]],9),""))))</f>
        <v/>
      </c>
      <c r="Q219" s="67">
        <v>40330</v>
      </c>
      <c r="R219" s="67"/>
      <c r="S219" s="65" t="s">
        <v>6</v>
      </c>
      <c r="T219" s="70" t="s">
        <v>4</v>
      </c>
      <c r="U219" s="65" t="s">
        <v>7</v>
      </c>
      <c r="V219" s="65" t="s">
        <v>1914</v>
      </c>
      <c r="W219" s="65" t="s">
        <v>1916</v>
      </c>
      <c r="X219" s="65" t="s">
        <v>102</v>
      </c>
      <c r="Y219" s="65" t="s">
        <v>3011</v>
      </c>
      <c r="Z219" s="65" t="s">
        <v>129</v>
      </c>
      <c r="AA219" s="65" t="s">
        <v>102</v>
      </c>
    </row>
    <row r="220" spans="1:27" ht="17.45" hidden="1" customHeight="1">
      <c r="A220" s="100" t="str">
        <f>IF(priority(Main[[#This Row],[Comments]])&lt;&gt;0, priority(Main[[#This Row],[Comments]]),"")</f>
        <v/>
      </c>
      <c r="B220" s="77" t="s">
        <v>1180</v>
      </c>
      <c r="C220" s="65" t="s">
        <v>4</v>
      </c>
      <c r="D220" s="66" t="s">
        <v>237</v>
      </c>
      <c r="E220" s="67"/>
      <c r="F220" s="67"/>
      <c r="G220" s="64" t="str">
        <f>IF(stdProdLT(Main[[#This Row],[Comments]])=0.1,"N/A",IF(stdProdLT(Main[[#This Row],[Comments]])=0,"",stdProdLT(Main[[#This Row],[Comments]])))</f>
        <v/>
      </c>
      <c r="H220" s="68" t="str">
        <f>IF(AND(Main[[#This Row],[In Stock Date]]&lt;&gt;"",Main[[#This Row],[Revised Due Date]]&lt;&gt;""),Main[[#This Row],[In Stock Date]]-Main[[#This Row],[Revised Due Date]],"")</f>
        <v/>
      </c>
      <c r="I220" s="65" t="s">
        <v>4</v>
      </c>
      <c r="J220" s="65" t="s">
        <v>4</v>
      </c>
      <c r="K220" s="65" t="s">
        <v>4</v>
      </c>
      <c r="L220" s="67"/>
      <c r="M220" s="69" t="str">
        <f>IF(Main[[#This Row],[Tech Start Date]]&lt;1/1/1990,"",IF(Main[[#This Row],[Class]]="C",WORKDAY(Main[[#This Row],[Tech Start Date]],9),IF(Main[[#This Row],[Class]]="B", WORKDAY(Main[[#This Row],[Tech Start Date]],6),IF(Main[[#This Row],[Class]]="A",WORKDAY(Main[[#This Row],[Tech Start Date]],2),""))))</f>
        <v/>
      </c>
      <c r="N220" s="69" t="str">
        <f>IF(Main[[#This Row],[Tech Start Date]]&lt;1/1/1990,"",IF(Main[[#This Row],[Class]]="C",WORKDAY(Main[[#This Row],[Tech Start Date]],19),IF(Main[[#This Row],[Class]]="B", WORKDAY(Main[[#This Row],[Tech Start Date]],12),IF(Main[[#This Row],[Class]]="A",WORKDAY(Main[[#This Row],[Tech Start Date]],4),""))))</f>
        <v/>
      </c>
      <c r="O220" s="69" t="str">
        <f>IF(Main[[#This Row],[Tech Start Date]]&lt;1/1/1990,"",IF(Main[[#This Row],[Class]]="C",WORKDAY(Main[[#This Row],[Tech Start Date]],23),IF(Main[[#This Row],[Class]]="B", WORKDAY(Main[[#This Row],[Tech Start Date]],15),IF(Main[[#This Row],[Class]]="A",WORKDAY(Main[[#This Row],[Tech Start Date]],5),""))))</f>
        <v/>
      </c>
      <c r="P220" s="69" t="str">
        <f>IF(Main[[#This Row],[Tech Start Date]]&lt;1/1/1990,"",IF(Main[[#This Row],[Class]]="C",WORKDAY(Main[[#This Row],[Tech Start Date]],28),IF(Main[[#This Row],[Class]]="B", WORKDAY(Main[[#This Row],[Tech Start Date]],19),IF(Main[[#This Row],[Class]]="A",WORKDAY(Main[[#This Row],[Tech Start Date]],9),""))))</f>
        <v/>
      </c>
      <c r="Q220" s="67"/>
      <c r="R220" s="67"/>
      <c r="S220" s="65" t="s">
        <v>11</v>
      </c>
      <c r="T220" s="70" t="s">
        <v>4</v>
      </c>
      <c r="U220" s="65" t="s">
        <v>14</v>
      </c>
      <c r="V220" s="65" t="s">
        <v>1914</v>
      </c>
      <c r="W220" s="65" t="s">
        <v>1918</v>
      </c>
      <c r="X220" s="65" t="s">
        <v>922</v>
      </c>
      <c r="Y220" s="65" t="s">
        <v>2982</v>
      </c>
      <c r="Z220" s="65" t="s">
        <v>4</v>
      </c>
      <c r="AA220" s="65" t="s">
        <v>922</v>
      </c>
    </row>
    <row r="221" spans="1:27" ht="17.45" hidden="1" customHeight="1">
      <c r="A221" s="100" t="str">
        <f>IF(priority(Main[[#This Row],[Comments]])&lt;&gt;0, priority(Main[[#This Row],[Comments]]),"")</f>
        <v/>
      </c>
      <c r="B221" s="77" t="s">
        <v>1496</v>
      </c>
      <c r="C221" s="65" t="s">
        <v>93</v>
      </c>
      <c r="D221" s="66" t="s">
        <v>599</v>
      </c>
      <c r="E221" s="67">
        <v>40016.655266203707</v>
      </c>
      <c r="F221" s="67"/>
      <c r="G221" s="64" t="str">
        <f>IF(stdProdLT(Main[[#This Row],[Comments]])=0.1,"N/A",IF(stdProdLT(Main[[#This Row],[Comments]])=0,"",stdProdLT(Main[[#This Row],[Comments]])))</f>
        <v/>
      </c>
      <c r="H221" s="68" t="str">
        <f>IF(AND(Main[[#This Row],[In Stock Date]]&lt;&gt;"",Main[[#This Row],[Revised Due Date]]&lt;&gt;""),Main[[#This Row],[In Stock Date]]-Main[[#This Row],[Revised Due Date]],"")</f>
        <v/>
      </c>
      <c r="I221" s="65" t="s">
        <v>4</v>
      </c>
      <c r="J221" s="65" t="s">
        <v>4</v>
      </c>
      <c r="K221" s="65" t="s">
        <v>4</v>
      </c>
      <c r="L221" s="67"/>
      <c r="M221" s="69" t="str">
        <f>IF(Main[[#This Row],[Tech Start Date]]&lt;1/1/1990,"",IF(Main[[#This Row],[Class]]="C",WORKDAY(Main[[#This Row],[Tech Start Date]],9),IF(Main[[#This Row],[Class]]="B", WORKDAY(Main[[#This Row],[Tech Start Date]],6),IF(Main[[#This Row],[Class]]="A",WORKDAY(Main[[#This Row],[Tech Start Date]],2),""))))</f>
        <v/>
      </c>
      <c r="N221" s="69" t="str">
        <f>IF(Main[[#This Row],[Tech Start Date]]&lt;1/1/1990,"",IF(Main[[#This Row],[Class]]="C",WORKDAY(Main[[#This Row],[Tech Start Date]],19),IF(Main[[#This Row],[Class]]="B", WORKDAY(Main[[#This Row],[Tech Start Date]],12),IF(Main[[#This Row],[Class]]="A",WORKDAY(Main[[#This Row],[Tech Start Date]],4),""))))</f>
        <v/>
      </c>
      <c r="O221" s="69" t="str">
        <f>IF(Main[[#This Row],[Tech Start Date]]&lt;1/1/1990,"",IF(Main[[#This Row],[Class]]="C",WORKDAY(Main[[#This Row],[Tech Start Date]],23),IF(Main[[#This Row],[Class]]="B", WORKDAY(Main[[#This Row],[Tech Start Date]],15),IF(Main[[#This Row],[Class]]="A",WORKDAY(Main[[#This Row],[Tech Start Date]],5),""))))</f>
        <v/>
      </c>
      <c r="P221" s="69" t="str">
        <f>IF(Main[[#This Row],[Tech Start Date]]&lt;1/1/1990,"",IF(Main[[#This Row],[Class]]="C",WORKDAY(Main[[#This Row],[Tech Start Date]],28),IF(Main[[#This Row],[Class]]="B", WORKDAY(Main[[#This Row],[Tech Start Date]],19),IF(Main[[#This Row],[Class]]="A",WORKDAY(Main[[#This Row],[Tech Start Date]],9),""))))</f>
        <v/>
      </c>
      <c r="Q221" s="67"/>
      <c r="R221" s="67"/>
      <c r="S221" s="65" t="s">
        <v>17</v>
      </c>
      <c r="T221" s="70" t="s">
        <v>4</v>
      </c>
      <c r="U221" s="65" t="s">
        <v>29</v>
      </c>
      <c r="V221" s="65" t="s">
        <v>1917</v>
      </c>
      <c r="W221" s="65" t="s">
        <v>1920</v>
      </c>
      <c r="X221" s="65" t="s">
        <v>2853</v>
      </c>
      <c r="Y221" s="65" t="s">
        <v>2991</v>
      </c>
      <c r="Z221" s="65" t="s">
        <v>4</v>
      </c>
      <c r="AA221" s="65" t="s">
        <v>2853</v>
      </c>
    </row>
    <row r="222" spans="1:27" ht="17.45" hidden="1" customHeight="1">
      <c r="A222" s="100" t="str">
        <f>IF(priority(Main[[#This Row],[Comments]])&lt;&gt;0, priority(Main[[#This Row],[Comments]]),"")</f>
        <v/>
      </c>
      <c r="B222" s="77" t="s">
        <v>1676</v>
      </c>
      <c r="C222" s="65" t="s">
        <v>4</v>
      </c>
      <c r="D222" s="66" t="s">
        <v>734</v>
      </c>
      <c r="E222" s="67">
        <v>40618.366238425922</v>
      </c>
      <c r="F222" s="67"/>
      <c r="G222" s="64" t="str">
        <f>IF(stdProdLT(Main[[#This Row],[Comments]])=0.1,"N/A",IF(stdProdLT(Main[[#This Row],[Comments]])=0,"",stdProdLT(Main[[#This Row],[Comments]])))</f>
        <v/>
      </c>
      <c r="H222" s="68" t="str">
        <f>IF(AND(Main[[#This Row],[In Stock Date]]&lt;&gt;"",Main[[#This Row],[Revised Due Date]]&lt;&gt;""),Main[[#This Row],[In Stock Date]]-Main[[#This Row],[Revised Due Date]],"")</f>
        <v/>
      </c>
      <c r="I222" s="65" t="s">
        <v>30</v>
      </c>
      <c r="J222" s="65" t="s">
        <v>28</v>
      </c>
      <c r="K222" s="71" t="s">
        <v>1923</v>
      </c>
      <c r="L222" s="67"/>
      <c r="M222" s="69" t="str">
        <f>IF(Main[[#This Row],[Tech Start Date]]&lt;1/1/1990,"",IF(Main[[#This Row],[Class]]="C",WORKDAY(Main[[#This Row],[Tech Start Date]],9),IF(Main[[#This Row],[Class]]="B", WORKDAY(Main[[#This Row],[Tech Start Date]],6),IF(Main[[#This Row],[Class]]="A",WORKDAY(Main[[#This Row],[Tech Start Date]],2),""))))</f>
        <v/>
      </c>
      <c r="N222" s="69" t="str">
        <f>IF(Main[[#This Row],[Tech Start Date]]&lt;1/1/1990,"",IF(Main[[#This Row],[Class]]="C",WORKDAY(Main[[#This Row],[Tech Start Date]],19),IF(Main[[#This Row],[Class]]="B", WORKDAY(Main[[#This Row],[Tech Start Date]],12),IF(Main[[#This Row],[Class]]="A",WORKDAY(Main[[#This Row],[Tech Start Date]],4),""))))</f>
        <v/>
      </c>
      <c r="O222" s="69" t="str">
        <f>IF(Main[[#This Row],[Tech Start Date]]&lt;1/1/1990,"",IF(Main[[#This Row],[Class]]="C",WORKDAY(Main[[#This Row],[Tech Start Date]],23),IF(Main[[#This Row],[Class]]="B", WORKDAY(Main[[#This Row],[Tech Start Date]],15),IF(Main[[#This Row],[Class]]="A",WORKDAY(Main[[#This Row],[Tech Start Date]],5),""))))</f>
        <v/>
      </c>
      <c r="P222" s="69" t="str">
        <f>IF(Main[[#This Row],[Tech Start Date]]&lt;1/1/1990,"",IF(Main[[#This Row],[Class]]="C",WORKDAY(Main[[#This Row],[Tech Start Date]],28),IF(Main[[#This Row],[Class]]="B", WORKDAY(Main[[#This Row],[Tech Start Date]],19),IF(Main[[#This Row],[Class]]="A",WORKDAY(Main[[#This Row],[Tech Start Date]],9),""))))</f>
        <v/>
      </c>
      <c r="Q222" s="67"/>
      <c r="R222" s="67"/>
      <c r="S222" s="65" t="s">
        <v>6</v>
      </c>
      <c r="T222" s="70" t="s">
        <v>4</v>
      </c>
      <c r="U222" s="65" t="s">
        <v>29</v>
      </c>
      <c r="V222" s="65" t="s">
        <v>1917</v>
      </c>
      <c r="W222" s="65" t="s">
        <v>1916</v>
      </c>
      <c r="X222" s="65" t="s">
        <v>415</v>
      </c>
      <c r="Y222" s="65" t="s">
        <v>2975</v>
      </c>
      <c r="Z222" s="65" t="s">
        <v>30</v>
      </c>
      <c r="AA222" s="65" t="s">
        <v>415</v>
      </c>
    </row>
    <row r="223" spans="1:27" ht="17.45" hidden="1" customHeight="1">
      <c r="A223" s="100" t="str">
        <f>IF(priority(Main[[#This Row],[Comments]])&lt;&gt;0, priority(Main[[#This Row],[Comments]]),"")</f>
        <v/>
      </c>
      <c r="B223" s="77" t="s">
        <v>2069</v>
      </c>
      <c r="C223" s="65" t="s">
        <v>4</v>
      </c>
      <c r="D223" s="66" t="s">
        <v>2070</v>
      </c>
      <c r="E223" s="67"/>
      <c r="F223" s="67"/>
      <c r="G223" s="64" t="str">
        <f>IF(stdProdLT(Main[[#This Row],[Comments]])=0.1,"N/A",IF(stdProdLT(Main[[#This Row],[Comments]])=0,"",stdProdLT(Main[[#This Row],[Comments]])))</f>
        <v/>
      </c>
      <c r="H223" s="68" t="str">
        <f>IF(AND(Main[[#This Row],[In Stock Date]]&lt;&gt;"",Main[[#This Row],[Revised Due Date]]&lt;&gt;""),Main[[#This Row],[In Stock Date]]-Main[[#This Row],[Revised Due Date]],"")</f>
        <v/>
      </c>
      <c r="I223" s="65" t="s">
        <v>4</v>
      </c>
      <c r="J223" s="65" t="s">
        <v>4</v>
      </c>
      <c r="K223" s="65" t="s">
        <v>4</v>
      </c>
      <c r="L223" s="67"/>
      <c r="M223" s="69" t="str">
        <f>IF(Main[[#This Row],[Tech Start Date]]&lt;1/1/1990,"",IF(Main[[#This Row],[Class]]="C",WORKDAY(Main[[#This Row],[Tech Start Date]],9),IF(Main[[#This Row],[Class]]="B", WORKDAY(Main[[#This Row],[Tech Start Date]],6),IF(Main[[#This Row],[Class]]="A",WORKDAY(Main[[#This Row],[Tech Start Date]],2),""))))</f>
        <v/>
      </c>
      <c r="N223" s="69" t="str">
        <f>IF(Main[[#This Row],[Tech Start Date]]&lt;1/1/1990,"",IF(Main[[#This Row],[Class]]="C",WORKDAY(Main[[#This Row],[Tech Start Date]],19),IF(Main[[#This Row],[Class]]="B", WORKDAY(Main[[#This Row],[Tech Start Date]],12),IF(Main[[#This Row],[Class]]="A",WORKDAY(Main[[#This Row],[Tech Start Date]],4),""))))</f>
        <v/>
      </c>
      <c r="O223" s="69" t="str">
        <f>IF(Main[[#This Row],[Tech Start Date]]&lt;1/1/1990,"",IF(Main[[#This Row],[Class]]="C",WORKDAY(Main[[#This Row],[Tech Start Date]],23),IF(Main[[#This Row],[Class]]="B", WORKDAY(Main[[#This Row],[Tech Start Date]],15),IF(Main[[#This Row],[Class]]="A",WORKDAY(Main[[#This Row],[Tech Start Date]],5),""))))</f>
        <v/>
      </c>
      <c r="P223" s="69" t="str">
        <f>IF(Main[[#This Row],[Tech Start Date]]&lt;1/1/1990,"",IF(Main[[#This Row],[Class]]="C",WORKDAY(Main[[#This Row],[Tech Start Date]],28),IF(Main[[#This Row],[Class]]="B", WORKDAY(Main[[#This Row],[Tech Start Date]],19),IF(Main[[#This Row],[Class]]="A",WORKDAY(Main[[#This Row],[Tech Start Date]],9),""))))</f>
        <v/>
      </c>
      <c r="Q223" s="67"/>
      <c r="R223" s="67"/>
      <c r="S223" s="65" t="s">
        <v>6</v>
      </c>
      <c r="T223" s="70" t="s">
        <v>4</v>
      </c>
      <c r="U223" s="65" t="s">
        <v>14</v>
      </c>
      <c r="V223" s="65" t="s">
        <v>1914</v>
      </c>
      <c r="W223" s="65" t="s">
        <v>1918</v>
      </c>
      <c r="X223" s="65" t="s">
        <v>306</v>
      </c>
      <c r="Y223" s="65" t="s">
        <v>4</v>
      </c>
      <c r="Z223" s="65" t="s">
        <v>4</v>
      </c>
      <c r="AA223" s="65" t="s">
        <v>3387</v>
      </c>
    </row>
    <row r="224" spans="1:27" ht="17.45" hidden="1" customHeight="1">
      <c r="A224" s="100" t="str">
        <f>IF(priority(Main[[#This Row],[Comments]])&lt;&gt;0, priority(Main[[#This Row],[Comments]]),"")</f>
        <v/>
      </c>
      <c r="B224" s="77" t="s">
        <v>1120</v>
      </c>
      <c r="C224" s="65" t="s">
        <v>169</v>
      </c>
      <c r="D224" s="66" t="s">
        <v>170</v>
      </c>
      <c r="E224" s="67"/>
      <c r="F224" s="67">
        <v>40237</v>
      </c>
      <c r="G224" s="64" t="str">
        <f>IF(stdProdLT(Main[[#This Row],[Comments]])=0.1,"N/A",IF(stdProdLT(Main[[#This Row],[Comments]])=0,"",stdProdLT(Main[[#This Row],[Comments]])))</f>
        <v/>
      </c>
      <c r="H224" s="68" t="str">
        <f>IF(AND(Main[[#This Row],[In Stock Date]]&lt;&gt;"",Main[[#This Row],[Revised Due Date]]&lt;&gt;""),Main[[#This Row],[In Stock Date]]-Main[[#This Row],[Revised Due Date]],"")</f>
        <v/>
      </c>
      <c r="I224" s="65" t="s">
        <v>4</v>
      </c>
      <c r="J224" s="65" t="s">
        <v>4</v>
      </c>
      <c r="K224" s="65" t="s">
        <v>4</v>
      </c>
      <c r="L224" s="67"/>
      <c r="M224" s="69" t="str">
        <f>IF(Main[[#This Row],[Tech Start Date]]&lt;1/1/1990,"",IF(Main[[#This Row],[Class]]="C",WORKDAY(Main[[#This Row],[Tech Start Date]],9),IF(Main[[#This Row],[Class]]="B", WORKDAY(Main[[#This Row],[Tech Start Date]],6),IF(Main[[#This Row],[Class]]="A",WORKDAY(Main[[#This Row],[Tech Start Date]],2),""))))</f>
        <v/>
      </c>
      <c r="N224" s="69" t="str">
        <f>IF(Main[[#This Row],[Tech Start Date]]&lt;1/1/1990,"",IF(Main[[#This Row],[Class]]="C",WORKDAY(Main[[#This Row],[Tech Start Date]],19),IF(Main[[#This Row],[Class]]="B", WORKDAY(Main[[#This Row],[Tech Start Date]],12),IF(Main[[#This Row],[Class]]="A",WORKDAY(Main[[#This Row],[Tech Start Date]],4),""))))</f>
        <v/>
      </c>
      <c r="O224" s="69" t="str">
        <f>IF(Main[[#This Row],[Tech Start Date]]&lt;1/1/1990,"",IF(Main[[#This Row],[Class]]="C",WORKDAY(Main[[#This Row],[Tech Start Date]],23),IF(Main[[#This Row],[Class]]="B", WORKDAY(Main[[#This Row],[Tech Start Date]],15),IF(Main[[#This Row],[Class]]="A",WORKDAY(Main[[#This Row],[Tech Start Date]],5),""))))</f>
        <v/>
      </c>
      <c r="P224" s="69" t="str">
        <f>IF(Main[[#This Row],[Tech Start Date]]&lt;1/1/1990,"",IF(Main[[#This Row],[Class]]="C",WORKDAY(Main[[#This Row],[Tech Start Date]],28),IF(Main[[#This Row],[Class]]="B", WORKDAY(Main[[#This Row],[Tech Start Date]],19),IF(Main[[#This Row],[Class]]="A",WORKDAY(Main[[#This Row],[Tech Start Date]],9),""))))</f>
        <v/>
      </c>
      <c r="Q224" s="67">
        <v>40132</v>
      </c>
      <c r="R224" s="67"/>
      <c r="S224" s="65" t="s">
        <v>11</v>
      </c>
      <c r="T224" s="70" t="s">
        <v>4</v>
      </c>
      <c r="U224" s="65" t="s">
        <v>14</v>
      </c>
      <c r="V224" s="65" t="s">
        <v>1914</v>
      </c>
      <c r="W224" s="65" t="s">
        <v>1919</v>
      </c>
      <c r="X224" s="65" t="s">
        <v>2858</v>
      </c>
      <c r="Y224" s="65" t="s">
        <v>4</v>
      </c>
      <c r="Z224" s="65" t="s">
        <v>4</v>
      </c>
      <c r="AA224" s="65" t="s">
        <v>2858</v>
      </c>
    </row>
    <row r="225" spans="1:27" ht="17.45" hidden="1" customHeight="1">
      <c r="A225" s="100" t="str">
        <f>IF(priority(Main[[#This Row],[Comments]])&lt;&gt;0, priority(Main[[#This Row],[Comments]]),"")</f>
        <v/>
      </c>
      <c r="B225" s="77" t="s">
        <v>2357</v>
      </c>
      <c r="C225" s="65" t="s">
        <v>4</v>
      </c>
      <c r="D225" s="66" t="s">
        <v>2358</v>
      </c>
      <c r="E225" s="67">
        <v>40826.383356481485</v>
      </c>
      <c r="F225" s="67"/>
      <c r="G225" s="64" t="str">
        <f>IF(stdProdLT(Main[[#This Row],[Comments]])=0.1,"N/A",IF(stdProdLT(Main[[#This Row],[Comments]])=0,"",stdProdLT(Main[[#This Row],[Comments]])))</f>
        <v/>
      </c>
      <c r="H225" s="68" t="str">
        <f>IF(AND(Main[[#This Row],[In Stock Date]]&lt;&gt;"",Main[[#This Row],[Revised Due Date]]&lt;&gt;""),Main[[#This Row],[In Stock Date]]-Main[[#This Row],[Revised Due Date]],"")</f>
        <v/>
      </c>
      <c r="I225" s="65" t="s">
        <v>30</v>
      </c>
      <c r="J225" s="65" t="s">
        <v>2212</v>
      </c>
      <c r="K225" s="65" t="s">
        <v>4</v>
      </c>
      <c r="L225" s="67"/>
      <c r="M225" s="69" t="str">
        <f>IF(Main[[#This Row],[Tech Start Date]]&lt;1/1/1990,"",IF(Main[[#This Row],[Class]]="C",WORKDAY(Main[[#This Row],[Tech Start Date]],9),IF(Main[[#This Row],[Class]]="B", WORKDAY(Main[[#This Row],[Tech Start Date]],6),IF(Main[[#This Row],[Class]]="A",WORKDAY(Main[[#This Row],[Tech Start Date]],2),""))))</f>
        <v/>
      </c>
      <c r="N225" s="69" t="str">
        <f>IF(Main[[#This Row],[Tech Start Date]]&lt;1/1/1990,"",IF(Main[[#This Row],[Class]]="C",WORKDAY(Main[[#This Row],[Tech Start Date]],19),IF(Main[[#This Row],[Class]]="B", WORKDAY(Main[[#This Row],[Tech Start Date]],12),IF(Main[[#This Row],[Class]]="A",WORKDAY(Main[[#This Row],[Tech Start Date]],4),""))))</f>
        <v/>
      </c>
      <c r="O225" s="69" t="str">
        <f>IF(Main[[#This Row],[Tech Start Date]]&lt;1/1/1990,"",IF(Main[[#This Row],[Class]]="C",WORKDAY(Main[[#This Row],[Tech Start Date]],23),IF(Main[[#This Row],[Class]]="B", WORKDAY(Main[[#This Row],[Tech Start Date]],15),IF(Main[[#This Row],[Class]]="A",WORKDAY(Main[[#This Row],[Tech Start Date]],5),""))))</f>
        <v/>
      </c>
      <c r="P225" s="69" t="str">
        <f>IF(Main[[#This Row],[Tech Start Date]]&lt;1/1/1990,"",IF(Main[[#This Row],[Class]]="C",WORKDAY(Main[[#This Row],[Tech Start Date]],28),IF(Main[[#This Row],[Class]]="B", WORKDAY(Main[[#This Row],[Tech Start Date]],19),IF(Main[[#This Row],[Class]]="A",WORKDAY(Main[[#This Row],[Tech Start Date]],9),""))))</f>
        <v/>
      </c>
      <c r="Q225" s="67"/>
      <c r="R225" s="67"/>
      <c r="S225" s="65" t="s">
        <v>6</v>
      </c>
      <c r="T225" s="70" t="s">
        <v>4</v>
      </c>
      <c r="U225" s="65" t="s">
        <v>29</v>
      </c>
      <c r="V225" s="65" t="s">
        <v>1917</v>
      </c>
      <c r="W225" s="65" t="s">
        <v>1916</v>
      </c>
      <c r="X225" s="65" t="s">
        <v>306</v>
      </c>
      <c r="Y225" s="65" t="s">
        <v>4</v>
      </c>
      <c r="Z225" s="65" t="s">
        <v>81</v>
      </c>
      <c r="AA225" s="65" t="s">
        <v>3395</v>
      </c>
    </row>
    <row r="226" spans="1:27" ht="17.45" hidden="1" customHeight="1">
      <c r="A226" s="100" t="str">
        <f>IF(priority(Main[[#This Row],[Comments]])&lt;&gt;0, priority(Main[[#This Row],[Comments]]),"")</f>
        <v/>
      </c>
      <c r="B226" s="77" t="s">
        <v>1121</v>
      </c>
      <c r="C226" s="65" t="s">
        <v>172</v>
      </c>
      <c r="D226" s="66" t="s">
        <v>173</v>
      </c>
      <c r="E226" s="67"/>
      <c r="F226" s="67">
        <v>40848</v>
      </c>
      <c r="G226" s="64" t="str">
        <f>IF(stdProdLT(Main[[#This Row],[Comments]])=0.1,"N/A",IF(stdProdLT(Main[[#This Row],[Comments]])=0,"",stdProdLT(Main[[#This Row],[Comments]])))</f>
        <v/>
      </c>
      <c r="H226" s="68" t="str">
        <f>IF(AND(Main[[#This Row],[In Stock Date]]&lt;&gt;"",Main[[#This Row],[Revised Due Date]]&lt;&gt;""),Main[[#This Row],[In Stock Date]]-Main[[#This Row],[Revised Due Date]],"")</f>
        <v/>
      </c>
      <c r="I226" s="65" t="s">
        <v>4</v>
      </c>
      <c r="J226" s="65" t="s">
        <v>51</v>
      </c>
      <c r="K226" s="65" t="s">
        <v>4</v>
      </c>
      <c r="L226" s="67"/>
      <c r="M226" s="69" t="str">
        <f>IF(Main[[#This Row],[Tech Start Date]]&lt;1/1/1990,"",IF(Main[[#This Row],[Class]]="C",WORKDAY(Main[[#This Row],[Tech Start Date]],9),IF(Main[[#This Row],[Class]]="B", WORKDAY(Main[[#This Row],[Tech Start Date]],6),IF(Main[[#This Row],[Class]]="A",WORKDAY(Main[[#This Row],[Tech Start Date]],2),""))))</f>
        <v/>
      </c>
      <c r="N226" s="69" t="str">
        <f>IF(Main[[#This Row],[Tech Start Date]]&lt;1/1/1990,"",IF(Main[[#This Row],[Class]]="C",WORKDAY(Main[[#This Row],[Tech Start Date]],19),IF(Main[[#This Row],[Class]]="B", WORKDAY(Main[[#This Row],[Tech Start Date]],12),IF(Main[[#This Row],[Class]]="A",WORKDAY(Main[[#This Row],[Tech Start Date]],4),""))))</f>
        <v/>
      </c>
      <c r="O226" s="69" t="str">
        <f>IF(Main[[#This Row],[Tech Start Date]]&lt;1/1/1990,"",IF(Main[[#This Row],[Class]]="C",WORKDAY(Main[[#This Row],[Tech Start Date]],23),IF(Main[[#This Row],[Class]]="B", WORKDAY(Main[[#This Row],[Tech Start Date]],15),IF(Main[[#This Row],[Class]]="A",WORKDAY(Main[[#This Row],[Tech Start Date]],5),""))))</f>
        <v/>
      </c>
      <c r="P226" s="69" t="str">
        <f>IF(Main[[#This Row],[Tech Start Date]]&lt;1/1/1990,"",IF(Main[[#This Row],[Class]]="C",WORKDAY(Main[[#This Row],[Tech Start Date]],28),IF(Main[[#This Row],[Class]]="B", WORKDAY(Main[[#This Row],[Tech Start Date]],19),IF(Main[[#This Row],[Class]]="A",WORKDAY(Main[[#This Row],[Tech Start Date]],9),""))))</f>
        <v/>
      </c>
      <c r="Q226" s="67">
        <v>40648</v>
      </c>
      <c r="R226" s="67"/>
      <c r="S226" s="65" t="s">
        <v>11</v>
      </c>
      <c r="T226" s="70" t="s">
        <v>4</v>
      </c>
      <c r="U226" s="65" t="s">
        <v>12</v>
      </c>
      <c r="V226" s="65" t="s">
        <v>1914</v>
      </c>
      <c r="W226" s="65" t="s">
        <v>1920</v>
      </c>
      <c r="X226" s="65" t="s">
        <v>50</v>
      </c>
      <c r="Y226" s="65" t="s">
        <v>2943</v>
      </c>
      <c r="Z226" s="65" t="s">
        <v>3160</v>
      </c>
      <c r="AA226" s="65" t="s">
        <v>2824</v>
      </c>
    </row>
    <row r="227" spans="1:27" ht="17.45" hidden="1" customHeight="1">
      <c r="A227" s="100" t="str">
        <f>IF(priority(Main[[#This Row],[Comments]])&lt;&gt;0, priority(Main[[#This Row],[Comments]]),"")</f>
        <v/>
      </c>
      <c r="B227" s="77" t="s">
        <v>2536</v>
      </c>
      <c r="C227" s="65" t="s">
        <v>2352</v>
      </c>
      <c r="D227" s="66" t="s">
        <v>2537</v>
      </c>
      <c r="E227" s="67"/>
      <c r="F227" s="67">
        <v>41030</v>
      </c>
      <c r="G227" s="64" t="str">
        <f>IF(stdProdLT(Main[[#This Row],[Comments]])=0.1,"N/A",IF(stdProdLT(Main[[#This Row],[Comments]])=0,"",stdProdLT(Main[[#This Row],[Comments]])))</f>
        <v/>
      </c>
      <c r="H227" s="68" t="str">
        <f>IF(AND(Main[[#This Row],[In Stock Date]]&lt;&gt;"",Main[[#This Row],[Revised Due Date]]&lt;&gt;""),Main[[#This Row],[In Stock Date]]-Main[[#This Row],[Revised Due Date]],"")</f>
        <v/>
      </c>
      <c r="I227" s="65" t="s">
        <v>4</v>
      </c>
      <c r="J227" s="65" t="s">
        <v>75</v>
      </c>
      <c r="K227" s="65" t="s">
        <v>4</v>
      </c>
      <c r="L227" s="67"/>
      <c r="M227" s="69" t="str">
        <f>IF(Main[[#This Row],[Tech Start Date]]&lt;1/1/1990,"",IF(Main[[#This Row],[Class]]="C",WORKDAY(Main[[#This Row],[Tech Start Date]],9),IF(Main[[#This Row],[Class]]="B", WORKDAY(Main[[#This Row],[Tech Start Date]],6),IF(Main[[#This Row],[Class]]="A",WORKDAY(Main[[#This Row],[Tech Start Date]],2),""))))</f>
        <v/>
      </c>
      <c r="N227" s="69" t="str">
        <f>IF(Main[[#This Row],[Tech Start Date]]&lt;1/1/1990,"",IF(Main[[#This Row],[Class]]="C",WORKDAY(Main[[#This Row],[Tech Start Date]],19),IF(Main[[#This Row],[Class]]="B", WORKDAY(Main[[#This Row],[Tech Start Date]],12),IF(Main[[#This Row],[Class]]="A",WORKDAY(Main[[#This Row],[Tech Start Date]],4),""))))</f>
        <v/>
      </c>
      <c r="O227" s="69" t="str">
        <f>IF(Main[[#This Row],[Tech Start Date]]&lt;1/1/1990,"",IF(Main[[#This Row],[Class]]="C",WORKDAY(Main[[#This Row],[Tech Start Date]],23),IF(Main[[#This Row],[Class]]="B", WORKDAY(Main[[#This Row],[Tech Start Date]],15),IF(Main[[#This Row],[Class]]="A",WORKDAY(Main[[#This Row],[Tech Start Date]],5),""))))</f>
        <v/>
      </c>
      <c r="P227" s="69" t="str">
        <f>IF(Main[[#This Row],[Tech Start Date]]&lt;1/1/1990,"",IF(Main[[#This Row],[Class]]="C",WORKDAY(Main[[#This Row],[Tech Start Date]],28),IF(Main[[#This Row],[Class]]="B", WORKDAY(Main[[#This Row],[Tech Start Date]],19),IF(Main[[#This Row],[Class]]="A",WORKDAY(Main[[#This Row],[Tech Start Date]],9),""))))</f>
        <v/>
      </c>
      <c r="Q227" s="67">
        <v>40923</v>
      </c>
      <c r="R227" s="67"/>
      <c r="S227" s="65" t="s">
        <v>11</v>
      </c>
      <c r="T227" s="70" t="s">
        <v>4</v>
      </c>
      <c r="U227" s="65" t="s">
        <v>14</v>
      </c>
      <c r="V227" s="65" t="s">
        <v>1924</v>
      </c>
      <c r="W227" s="65" t="s">
        <v>1920</v>
      </c>
      <c r="X227" s="65" t="s">
        <v>2848</v>
      </c>
      <c r="Y227" s="65" t="s">
        <v>2979</v>
      </c>
      <c r="Z227" s="65" t="s">
        <v>530</v>
      </c>
      <c r="AA227" s="65" t="s">
        <v>2848</v>
      </c>
    </row>
    <row r="228" spans="1:27" ht="17.45" hidden="1" customHeight="1">
      <c r="A228" s="100" t="str">
        <f>IF(priority(Main[[#This Row],[Comments]])&lt;&gt;0, priority(Main[[#This Row],[Comments]]),"")</f>
        <v/>
      </c>
      <c r="B228" s="77" t="s">
        <v>1122</v>
      </c>
      <c r="C228" s="65" t="s">
        <v>4</v>
      </c>
      <c r="D228" s="66" t="s">
        <v>174</v>
      </c>
      <c r="E228" s="67">
        <v>40681.639328703706</v>
      </c>
      <c r="F228" s="67"/>
      <c r="G228" s="64" t="str">
        <f>IF(stdProdLT(Main[[#This Row],[Comments]])=0.1,"N/A",IF(stdProdLT(Main[[#This Row],[Comments]])=0,"",stdProdLT(Main[[#This Row],[Comments]])))</f>
        <v/>
      </c>
      <c r="H228" s="68" t="str">
        <f>IF(AND(Main[[#This Row],[In Stock Date]]&lt;&gt;"",Main[[#This Row],[Revised Due Date]]&lt;&gt;""),Main[[#This Row],[In Stock Date]]-Main[[#This Row],[Revised Due Date]],"")</f>
        <v/>
      </c>
      <c r="I228" s="65" t="s">
        <v>4</v>
      </c>
      <c r="J228" s="65" t="s">
        <v>4</v>
      </c>
      <c r="K228" s="65" t="s">
        <v>4</v>
      </c>
      <c r="L228" s="67"/>
      <c r="M228" s="69" t="str">
        <f>IF(Main[[#This Row],[Tech Start Date]]&lt;1/1/1990,"",IF(Main[[#This Row],[Class]]="C",WORKDAY(Main[[#This Row],[Tech Start Date]],9),IF(Main[[#This Row],[Class]]="B", WORKDAY(Main[[#This Row],[Tech Start Date]],6),IF(Main[[#This Row],[Class]]="A",WORKDAY(Main[[#This Row],[Tech Start Date]],2),""))))</f>
        <v/>
      </c>
      <c r="N228" s="69" t="str">
        <f>IF(Main[[#This Row],[Tech Start Date]]&lt;1/1/1990,"",IF(Main[[#This Row],[Class]]="C",WORKDAY(Main[[#This Row],[Tech Start Date]],19),IF(Main[[#This Row],[Class]]="B", WORKDAY(Main[[#This Row],[Tech Start Date]],12),IF(Main[[#This Row],[Class]]="A",WORKDAY(Main[[#This Row],[Tech Start Date]],4),""))))</f>
        <v/>
      </c>
      <c r="O228" s="69" t="str">
        <f>IF(Main[[#This Row],[Tech Start Date]]&lt;1/1/1990,"",IF(Main[[#This Row],[Class]]="C",WORKDAY(Main[[#This Row],[Tech Start Date]],23),IF(Main[[#This Row],[Class]]="B", WORKDAY(Main[[#This Row],[Tech Start Date]],15),IF(Main[[#This Row],[Class]]="A",WORKDAY(Main[[#This Row],[Tech Start Date]],5),""))))</f>
        <v/>
      </c>
      <c r="P228" s="69" t="str">
        <f>IF(Main[[#This Row],[Tech Start Date]]&lt;1/1/1990,"",IF(Main[[#This Row],[Class]]="C",WORKDAY(Main[[#This Row],[Tech Start Date]],28),IF(Main[[#This Row],[Class]]="B", WORKDAY(Main[[#This Row],[Tech Start Date]],19),IF(Main[[#This Row],[Class]]="A",WORKDAY(Main[[#This Row],[Tech Start Date]],9),""))))</f>
        <v/>
      </c>
      <c r="Q228" s="67">
        <v>40702</v>
      </c>
      <c r="R228" s="67"/>
      <c r="S228" s="65" t="s">
        <v>6</v>
      </c>
      <c r="T228" s="70" t="s">
        <v>4</v>
      </c>
      <c r="U228" s="65" t="s">
        <v>7</v>
      </c>
      <c r="V228" s="65" t="s">
        <v>1914</v>
      </c>
      <c r="W228" s="65" t="s">
        <v>1922</v>
      </c>
      <c r="X228" s="65" t="s">
        <v>2821</v>
      </c>
      <c r="Y228" s="65" t="s">
        <v>2936</v>
      </c>
      <c r="Z228" s="65" t="s">
        <v>4</v>
      </c>
      <c r="AA228" s="65" t="s">
        <v>2821</v>
      </c>
    </row>
    <row r="229" spans="1:27" ht="17.45" hidden="1" customHeight="1">
      <c r="A229" s="100" t="str">
        <f>IF(priority(Main[[#This Row],[Comments]])&lt;&gt;0, priority(Main[[#This Row],[Comments]]),"")</f>
        <v/>
      </c>
      <c r="B229" s="77" t="s">
        <v>1183</v>
      </c>
      <c r="C229" s="65" t="s">
        <v>243</v>
      </c>
      <c r="D229" s="66" t="s">
        <v>244</v>
      </c>
      <c r="E229" s="67"/>
      <c r="F229" s="67">
        <v>40299</v>
      </c>
      <c r="G229" s="64" t="str">
        <f>IF(stdProdLT(Main[[#This Row],[Comments]])=0.1,"N/A",IF(stdProdLT(Main[[#This Row],[Comments]])=0,"",stdProdLT(Main[[#This Row],[Comments]])))</f>
        <v/>
      </c>
      <c r="H229" s="68" t="str">
        <f>IF(AND(Main[[#This Row],[In Stock Date]]&lt;&gt;"",Main[[#This Row],[Revised Due Date]]&lt;&gt;""),Main[[#This Row],[In Stock Date]]-Main[[#This Row],[Revised Due Date]],"")</f>
        <v/>
      </c>
      <c r="I229" s="65" t="s">
        <v>4</v>
      </c>
      <c r="J229" s="65" t="s">
        <v>4</v>
      </c>
      <c r="K229" s="71" t="s">
        <v>4</v>
      </c>
      <c r="L229" s="67"/>
      <c r="M229" s="69" t="str">
        <f>IF(Main[[#This Row],[Tech Start Date]]&lt;1/1/1990,"",IF(Main[[#This Row],[Class]]="C",WORKDAY(Main[[#This Row],[Tech Start Date]],9),IF(Main[[#This Row],[Class]]="B", WORKDAY(Main[[#This Row],[Tech Start Date]],6),IF(Main[[#This Row],[Class]]="A",WORKDAY(Main[[#This Row],[Tech Start Date]],2),""))))</f>
        <v/>
      </c>
      <c r="N229" s="69" t="str">
        <f>IF(Main[[#This Row],[Tech Start Date]]&lt;1/1/1990,"",IF(Main[[#This Row],[Class]]="C",WORKDAY(Main[[#This Row],[Tech Start Date]],19),IF(Main[[#This Row],[Class]]="B", WORKDAY(Main[[#This Row],[Tech Start Date]],12),IF(Main[[#This Row],[Class]]="A",WORKDAY(Main[[#This Row],[Tech Start Date]],4),""))))</f>
        <v/>
      </c>
      <c r="O229" s="69" t="str">
        <f>IF(Main[[#This Row],[Tech Start Date]]&lt;1/1/1990,"",IF(Main[[#This Row],[Class]]="C",WORKDAY(Main[[#This Row],[Tech Start Date]],23),IF(Main[[#This Row],[Class]]="B", WORKDAY(Main[[#This Row],[Tech Start Date]],15),IF(Main[[#This Row],[Class]]="A",WORKDAY(Main[[#This Row],[Tech Start Date]],5),""))))</f>
        <v/>
      </c>
      <c r="P229" s="69" t="str">
        <f>IF(Main[[#This Row],[Tech Start Date]]&lt;1/1/1990,"",IF(Main[[#This Row],[Class]]="C",WORKDAY(Main[[#This Row],[Tech Start Date]],28),IF(Main[[#This Row],[Class]]="B", WORKDAY(Main[[#This Row],[Tech Start Date]],19),IF(Main[[#This Row],[Class]]="A",WORKDAY(Main[[#This Row],[Tech Start Date]],9),""))))</f>
        <v/>
      </c>
      <c r="Q229" s="67">
        <v>40241</v>
      </c>
      <c r="R229" s="67"/>
      <c r="S229" s="65" t="s">
        <v>11</v>
      </c>
      <c r="T229" s="70" t="s">
        <v>4</v>
      </c>
      <c r="U229" s="65" t="s">
        <v>14</v>
      </c>
      <c r="V229" s="65" t="s">
        <v>1924</v>
      </c>
      <c r="W229" s="65" t="s">
        <v>1922</v>
      </c>
      <c r="X229" s="65" t="s">
        <v>2868</v>
      </c>
      <c r="Y229" s="65" t="s">
        <v>3012</v>
      </c>
      <c r="Z229" s="65" t="s">
        <v>4</v>
      </c>
      <c r="AA229" s="65" t="s">
        <v>2868</v>
      </c>
    </row>
    <row r="230" spans="1:27" ht="17.45" hidden="1" customHeight="1">
      <c r="A230" s="100" t="str">
        <f>IF(priority(Main[[#This Row],[Comments]])&lt;&gt;0, priority(Main[[#This Row],[Comments]]),"")</f>
        <v/>
      </c>
      <c r="B230" s="77" t="s">
        <v>3552</v>
      </c>
      <c r="C230" s="65" t="s">
        <v>2204</v>
      </c>
      <c r="D230" s="66" t="s">
        <v>3553</v>
      </c>
      <c r="E230" s="67"/>
      <c r="F230" s="67"/>
      <c r="G230" s="64" t="str">
        <f>IF(stdProdLT(Main[[#This Row],[Comments]])=0.1,"N/A",IF(stdProdLT(Main[[#This Row],[Comments]])=0,"",stdProdLT(Main[[#This Row],[Comments]])))</f>
        <v/>
      </c>
      <c r="H230" s="68" t="str">
        <f>IF(AND(Main[[#This Row],[In Stock Date]]&lt;&gt;"",Main[[#This Row],[Revised Due Date]]&lt;&gt;""),Main[[#This Row],[In Stock Date]]-Main[[#This Row],[Revised Due Date]],"")</f>
        <v/>
      </c>
      <c r="I230" s="65" t="s">
        <v>4</v>
      </c>
      <c r="J230" s="65" t="s">
        <v>4</v>
      </c>
      <c r="K230" s="65" t="s">
        <v>4</v>
      </c>
      <c r="L230" s="67"/>
      <c r="M230" s="69" t="str">
        <f>IF(Main[[#This Row],[Tech Start Date]]&lt;1/1/1990,"",IF(Main[[#This Row],[Class]]="C",WORKDAY(Main[[#This Row],[Tech Start Date]],9),IF(Main[[#This Row],[Class]]="B", WORKDAY(Main[[#This Row],[Tech Start Date]],6),IF(Main[[#This Row],[Class]]="A",WORKDAY(Main[[#This Row],[Tech Start Date]],2),""))))</f>
        <v/>
      </c>
      <c r="N230" s="69" t="str">
        <f>IF(Main[[#This Row],[Tech Start Date]]&lt;1/1/1990,"",IF(Main[[#This Row],[Class]]="C",WORKDAY(Main[[#This Row],[Tech Start Date]],19),IF(Main[[#This Row],[Class]]="B", WORKDAY(Main[[#This Row],[Tech Start Date]],12),IF(Main[[#This Row],[Class]]="A",WORKDAY(Main[[#This Row],[Tech Start Date]],4),""))))</f>
        <v/>
      </c>
      <c r="O230" s="69" t="str">
        <f>IF(Main[[#This Row],[Tech Start Date]]&lt;1/1/1990,"",IF(Main[[#This Row],[Class]]="C",WORKDAY(Main[[#This Row],[Tech Start Date]],23),IF(Main[[#This Row],[Class]]="B", WORKDAY(Main[[#This Row],[Tech Start Date]],15),IF(Main[[#This Row],[Class]]="A",WORKDAY(Main[[#This Row],[Tech Start Date]],5),""))))</f>
        <v/>
      </c>
      <c r="P230" s="69" t="str">
        <f>IF(Main[[#This Row],[Tech Start Date]]&lt;1/1/1990,"",IF(Main[[#This Row],[Class]]="C",WORKDAY(Main[[#This Row],[Tech Start Date]],28),IF(Main[[#This Row],[Class]]="B", WORKDAY(Main[[#This Row],[Tech Start Date]],19),IF(Main[[#This Row],[Class]]="A",WORKDAY(Main[[#This Row],[Tech Start Date]],9),""))))</f>
        <v/>
      </c>
      <c r="Q230" s="67">
        <v>40984</v>
      </c>
      <c r="R230" s="67"/>
      <c r="S230" s="65" t="s">
        <v>11</v>
      </c>
      <c r="T230" s="70" t="s">
        <v>4</v>
      </c>
      <c r="U230" s="65" t="s">
        <v>14</v>
      </c>
      <c r="V230" s="65" t="s">
        <v>1914</v>
      </c>
      <c r="W230" s="65" t="s">
        <v>1922</v>
      </c>
      <c r="X230" s="65" t="s">
        <v>2911</v>
      </c>
      <c r="Y230" s="65" t="s">
        <v>4</v>
      </c>
      <c r="Z230" s="65" t="s">
        <v>4</v>
      </c>
      <c r="AA230" s="65" t="s">
        <v>3462</v>
      </c>
    </row>
    <row r="231" spans="1:27" ht="17.45" hidden="1" customHeight="1">
      <c r="A231" s="100" t="str">
        <f>IF(priority(Main[[#This Row],[Comments]])&lt;&gt;0, priority(Main[[#This Row],[Comments]]),"")</f>
        <v/>
      </c>
      <c r="B231" s="77" t="s">
        <v>1184</v>
      </c>
      <c r="C231" s="65" t="s">
        <v>4</v>
      </c>
      <c r="D231" s="66" t="s">
        <v>39</v>
      </c>
      <c r="E231" s="67"/>
      <c r="F231" s="67"/>
      <c r="G231" s="64" t="str">
        <f>IF(stdProdLT(Main[[#This Row],[Comments]])=0.1,"N/A",IF(stdProdLT(Main[[#This Row],[Comments]])=0,"",stdProdLT(Main[[#This Row],[Comments]])))</f>
        <v/>
      </c>
      <c r="H231" s="68" t="str">
        <f>IF(AND(Main[[#This Row],[In Stock Date]]&lt;&gt;"",Main[[#This Row],[Revised Due Date]]&lt;&gt;""),Main[[#This Row],[In Stock Date]]-Main[[#This Row],[Revised Due Date]],"")</f>
        <v/>
      </c>
      <c r="I231" s="65" t="s">
        <v>4</v>
      </c>
      <c r="J231" s="65" t="s">
        <v>4</v>
      </c>
      <c r="K231" s="71" t="s">
        <v>4</v>
      </c>
      <c r="L231" s="67"/>
      <c r="M231" s="69" t="str">
        <f>IF(Main[[#This Row],[Tech Start Date]]&lt;1/1/1990,"",IF(Main[[#This Row],[Class]]="C",WORKDAY(Main[[#This Row],[Tech Start Date]],9),IF(Main[[#This Row],[Class]]="B", WORKDAY(Main[[#This Row],[Tech Start Date]],6),IF(Main[[#This Row],[Class]]="A",WORKDAY(Main[[#This Row],[Tech Start Date]],2),""))))</f>
        <v/>
      </c>
      <c r="N231" s="69" t="str">
        <f>IF(Main[[#This Row],[Tech Start Date]]&lt;1/1/1990,"",IF(Main[[#This Row],[Class]]="C",WORKDAY(Main[[#This Row],[Tech Start Date]],19),IF(Main[[#This Row],[Class]]="B", WORKDAY(Main[[#This Row],[Tech Start Date]],12),IF(Main[[#This Row],[Class]]="A",WORKDAY(Main[[#This Row],[Tech Start Date]],4),""))))</f>
        <v/>
      </c>
      <c r="O231" s="69" t="str">
        <f>IF(Main[[#This Row],[Tech Start Date]]&lt;1/1/1990,"",IF(Main[[#This Row],[Class]]="C",WORKDAY(Main[[#This Row],[Tech Start Date]],23),IF(Main[[#This Row],[Class]]="B", WORKDAY(Main[[#This Row],[Tech Start Date]],15),IF(Main[[#This Row],[Class]]="A",WORKDAY(Main[[#This Row],[Tech Start Date]],5),""))))</f>
        <v/>
      </c>
      <c r="P231" s="69" t="str">
        <f>IF(Main[[#This Row],[Tech Start Date]]&lt;1/1/1990,"",IF(Main[[#This Row],[Class]]="C",WORKDAY(Main[[#This Row],[Tech Start Date]],28),IF(Main[[#This Row],[Class]]="B", WORKDAY(Main[[#This Row],[Tech Start Date]],19),IF(Main[[#This Row],[Class]]="A",WORKDAY(Main[[#This Row],[Tech Start Date]],9),""))))</f>
        <v/>
      </c>
      <c r="Q231" s="67">
        <v>40669</v>
      </c>
      <c r="R231" s="67"/>
      <c r="S231" s="65" t="s">
        <v>6</v>
      </c>
      <c r="T231" s="70" t="s">
        <v>4</v>
      </c>
      <c r="U231" s="65" t="s">
        <v>14</v>
      </c>
      <c r="V231" s="65" t="s">
        <v>1917</v>
      </c>
      <c r="W231" s="65" t="s">
        <v>4</v>
      </c>
      <c r="X231" s="65" t="s">
        <v>2818</v>
      </c>
      <c r="Y231" s="65" t="s">
        <v>2929</v>
      </c>
      <c r="Z231" s="65" t="s">
        <v>4</v>
      </c>
      <c r="AA231" s="65" t="s">
        <v>2818</v>
      </c>
    </row>
    <row r="232" spans="1:27" ht="17.45" hidden="1" customHeight="1">
      <c r="A232" s="100" t="str">
        <f>IF(priority(Main[[#This Row],[Comments]])&lt;&gt;0, priority(Main[[#This Row],[Comments]]),"")</f>
        <v/>
      </c>
      <c r="B232" s="77" t="s">
        <v>2071</v>
      </c>
      <c r="C232" s="65" t="s">
        <v>4</v>
      </c>
      <c r="D232" s="66" t="s">
        <v>2072</v>
      </c>
      <c r="E232" s="67">
        <v>40774.330196759256</v>
      </c>
      <c r="F232" s="67"/>
      <c r="G232" s="64" t="str">
        <f>IF(stdProdLT(Main[[#This Row],[Comments]])=0.1,"N/A",IF(stdProdLT(Main[[#This Row],[Comments]])=0,"",stdProdLT(Main[[#This Row],[Comments]])))</f>
        <v/>
      </c>
      <c r="H232" s="68" t="str">
        <f>IF(AND(Main[[#This Row],[In Stock Date]]&lt;&gt;"",Main[[#This Row],[Revised Due Date]]&lt;&gt;""),Main[[#This Row],[In Stock Date]]-Main[[#This Row],[Revised Due Date]],"")</f>
        <v/>
      </c>
      <c r="I232" s="65" t="s">
        <v>4</v>
      </c>
      <c r="J232" s="65" t="s">
        <v>4</v>
      </c>
      <c r="K232" s="65" t="s">
        <v>4</v>
      </c>
      <c r="L232" s="67"/>
      <c r="M232" s="69" t="str">
        <f>IF(Main[[#This Row],[Tech Start Date]]&lt;1/1/1990,"",IF(Main[[#This Row],[Class]]="C",WORKDAY(Main[[#This Row],[Tech Start Date]],9),IF(Main[[#This Row],[Class]]="B", WORKDAY(Main[[#This Row],[Tech Start Date]],6),IF(Main[[#This Row],[Class]]="A",WORKDAY(Main[[#This Row],[Tech Start Date]],2),""))))</f>
        <v/>
      </c>
      <c r="N232" s="69" t="str">
        <f>IF(Main[[#This Row],[Tech Start Date]]&lt;1/1/1990,"",IF(Main[[#This Row],[Class]]="C",WORKDAY(Main[[#This Row],[Tech Start Date]],19),IF(Main[[#This Row],[Class]]="B", WORKDAY(Main[[#This Row],[Tech Start Date]],12),IF(Main[[#This Row],[Class]]="A",WORKDAY(Main[[#This Row],[Tech Start Date]],4),""))))</f>
        <v/>
      </c>
      <c r="O232" s="69" t="str">
        <f>IF(Main[[#This Row],[Tech Start Date]]&lt;1/1/1990,"",IF(Main[[#This Row],[Class]]="C",WORKDAY(Main[[#This Row],[Tech Start Date]],23),IF(Main[[#This Row],[Class]]="B", WORKDAY(Main[[#This Row],[Tech Start Date]],15),IF(Main[[#This Row],[Class]]="A",WORKDAY(Main[[#This Row],[Tech Start Date]],5),""))))</f>
        <v/>
      </c>
      <c r="P232" s="69" t="str">
        <f>IF(Main[[#This Row],[Tech Start Date]]&lt;1/1/1990,"",IF(Main[[#This Row],[Class]]="C",WORKDAY(Main[[#This Row],[Tech Start Date]],28),IF(Main[[#This Row],[Class]]="B", WORKDAY(Main[[#This Row],[Tech Start Date]],19),IF(Main[[#This Row],[Class]]="A",WORKDAY(Main[[#This Row],[Tech Start Date]],9),""))))</f>
        <v/>
      </c>
      <c r="Q232" s="67">
        <v>40788</v>
      </c>
      <c r="R232" s="67"/>
      <c r="S232" s="65" t="s">
        <v>6</v>
      </c>
      <c r="T232" s="70" t="s">
        <v>4</v>
      </c>
      <c r="U232" s="65" t="s">
        <v>7</v>
      </c>
      <c r="V232" s="65" t="s">
        <v>1914</v>
      </c>
      <c r="W232" s="65" t="s">
        <v>4</v>
      </c>
      <c r="X232" s="65" t="s">
        <v>2851</v>
      </c>
      <c r="Y232" s="65" t="s">
        <v>2986</v>
      </c>
      <c r="Z232" s="65" t="s">
        <v>4</v>
      </c>
      <c r="AA232" s="65" t="s">
        <v>2851</v>
      </c>
    </row>
    <row r="233" spans="1:27" ht="17.45" hidden="1" customHeight="1">
      <c r="A233" s="100" t="str">
        <f>IF(priority(Main[[#This Row],[Comments]])&lt;&gt;0, priority(Main[[#This Row],[Comments]]),"")</f>
        <v/>
      </c>
      <c r="B233" s="77" t="s">
        <v>1185</v>
      </c>
      <c r="C233" s="65" t="s">
        <v>245</v>
      </c>
      <c r="D233" s="66" t="s">
        <v>246</v>
      </c>
      <c r="E233" s="67"/>
      <c r="F233" s="67"/>
      <c r="G233" s="64" t="str">
        <f>IF(stdProdLT(Main[[#This Row],[Comments]])=0.1,"N/A",IF(stdProdLT(Main[[#This Row],[Comments]])=0,"",stdProdLT(Main[[#This Row],[Comments]])))</f>
        <v/>
      </c>
      <c r="H233" s="68" t="str">
        <f>IF(AND(Main[[#This Row],[In Stock Date]]&lt;&gt;"",Main[[#This Row],[Revised Due Date]]&lt;&gt;""),Main[[#This Row],[In Stock Date]]-Main[[#This Row],[Revised Due Date]],"")</f>
        <v/>
      </c>
      <c r="I233" s="65" t="s">
        <v>4</v>
      </c>
      <c r="J233" s="65" t="s">
        <v>4</v>
      </c>
      <c r="K233" s="65" t="s">
        <v>4</v>
      </c>
      <c r="L233" s="67"/>
      <c r="M233" s="69" t="str">
        <f>IF(Main[[#This Row],[Tech Start Date]]&lt;1/1/1990,"",IF(Main[[#This Row],[Class]]="C",WORKDAY(Main[[#This Row],[Tech Start Date]],9),IF(Main[[#This Row],[Class]]="B", WORKDAY(Main[[#This Row],[Tech Start Date]],6),IF(Main[[#This Row],[Class]]="A",WORKDAY(Main[[#This Row],[Tech Start Date]],2),""))))</f>
        <v/>
      </c>
      <c r="N233" s="69" t="str">
        <f>IF(Main[[#This Row],[Tech Start Date]]&lt;1/1/1990,"",IF(Main[[#This Row],[Class]]="C",WORKDAY(Main[[#This Row],[Tech Start Date]],19),IF(Main[[#This Row],[Class]]="B", WORKDAY(Main[[#This Row],[Tech Start Date]],12),IF(Main[[#This Row],[Class]]="A",WORKDAY(Main[[#This Row],[Tech Start Date]],4),""))))</f>
        <v/>
      </c>
      <c r="O233" s="69" t="str">
        <f>IF(Main[[#This Row],[Tech Start Date]]&lt;1/1/1990,"",IF(Main[[#This Row],[Class]]="C",WORKDAY(Main[[#This Row],[Tech Start Date]],23),IF(Main[[#This Row],[Class]]="B", WORKDAY(Main[[#This Row],[Tech Start Date]],15),IF(Main[[#This Row],[Class]]="A",WORKDAY(Main[[#This Row],[Tech Start Date]],5),""))))</f>
        <v/>
      </c>
      <c r="P233" s="69" t="str">
        <f>IF(Main[[#This Row],[Tech Start Date]]&lt;1/1/1990,"",IF(Main[[#This Row],[Class]]="C",WORKDAY(Main[[#This Row],[Tech Start Date]],28),IF(Main[[#This Row],[Class]]="B", WORKDAY(Main[[#This Row],[Tech Start Date]],19),IF(Main[[#This Row],[Class]]="A",WORKDAY(Main[[#This Row],[Tech Start Date]],9),""))))</f>
        <v/>
      </c>
      <c r="Q233" s="67">
        <v>40325</v>
      </c>
      <c r="R233" s="67"/>
      <c r="S233" s="65" t="s">
        <v>11</v>
      </c>
      <c r="T233" s="70" t="s">
        <v>4</v>
      </c>
      <c r="U233" s="65" t="s">
        <v>12</v>
      </c>
      <c r="V233" s="65" t="s">
        <v>1915</v>
      </c>
      <c r="W233" s="65" t="s">
        <v>1920</v>
      </c>
      <c r="X233" s="65" t="s">
        <v>50</v>
      </c>
      <c r="Y233" s="65" t="s">
        <v>3013</v>
      </c>
      <c r="Z233" s="65" t="s">
        <v>4</v>
      </c>
      <c r="AA233" s="65" t="s">
        <v>3400</v>
      </c>
    </row>
    <row r="234" spans="1:27" ht="17.45" hidden="1" customHeight="1">
      <c r="A234" s="100" t="str">
        <f>IF(priority(Main[[#This Row],[Comments]])&lt;&gt;0, priority(Main[[#This Row],[Comments]]),"")</f>
        <v/>
      </c>
      <c r="B234" s="77" t="s">
        <v>3514</v>
      </c>
      <c r="C234" s="65" t="s">
        <v>3261</v>
      </c>
      <c r="D234" s="66" t="s">
        <v>3515</v>
      </c>
      <c r="E234" s="67"/>
      <c r="F234" s="67">
        <v>41068</v>
      </c>
      <c r="G234" s="64" t="str">
        <f>IF(stdProdLT(Main[[#This Row],[Comments]])=0.1,"N/A",IF(stdProdLT(Main[[#This Row],[Comments]])=0,"",stdProdLT(Main[[#This Row],[Comments]])))</f>
        <v/>
      </c>
      <c r="H234" s="68" t="str">
        <f>IF(AND(Main[[#This Row],[In Stock Date]]&lt;&gt;"",Main[[#This Row],[Revised Due Date]]&lt;&gt;""),Main[[#This Row],[In Stock Date]]-Main[[#This Row],[Revised Due Date]],"")</f>
        <v/>
      </c>
      <c r="I234" s="65" t="s">
        <v>4</v>
      </c>
      <c r="J234" s="65" t="s">
        <v>4</v>
      </c>
      <c r="K234" s="65" t="s">
        <v>4</v>
      </c>
      <c r="L234" s="67"/>
      <c r="M234" s="69" t="str">
        <f>IF(Main[[#This Row],[Tech Start Date]]&lt;1/1/1990,"",IF(Main[[#This Row],[Class]]="C",WORKDAY(Main[[#This Row],[Tech Start Date]],9),IF(Main[[#This Row],[Class]]="B", WORKDAY(Main[[#This Row],[Tech Start Date]],6),IF(Main[[#This Row],[Class]]="A",WORKDAY(Main[[#This Row],[Tech Start Date]],2),""))))</f>
        <v/>
      </c>
      <c r="N234" s="69" t="str">
        <f>IF(Main[[#This Row],[Tech Start Date]]&lt;1/1/1990,"",IF(Main[[#This Row],[Class]]="C",WORKDAY(Main[[#This Row],[Tech Start Date]],19),IF(Main[[#This Row],[Class]]="B", WORKDAY(Main[[#This Row],[Tech Start Date]],12),IF(Main[[#This Row],[Class]]="A",WORKDAY(Main[[#This Row],[Tech Start Date]],4),""))))</f>
        <v/>
      </c>
      <c r="O234" s="69" t="str">
        <f>IF(Main[[#This Row],[Tech Start Date]]&lt;1/1/1990,"",IF(Main[[#This Row],[Class]]="C",WORKDAY(Main[[#This Row],[Tech Start Date]],23),IF(Main[[#This Row],[Class]]="B", WORKDAY(Main[[#This Row],[Tech Start Date]],15),IF(Main[[#This Row],[Class]]="A",WORKDAY(Main[[#This Row],[Tech Start Date]],5),""))))</f>
        <v/>
      </c>
      <c r="P234" s="69" t="str">
        <f>IF(Main[[#This Row],[Tech Start Date]]&lt;1/1/1990,"",IF(Main[[#This Row],[Class]]="C",WORKDAY(Main[[#This Row],[Tech Start Date]],28),IF(Main[[#This Row],[Class]]="B", WORKDAY(Main[[#This Row],[Tech Start Date]],19),IF(Main[[#This Row],[Class]]="A",WORKDAY(Main[[#This Row],[Tech Start Date]],9),""))))</f>
        <v/>
      </c>
      <c r="Q234" s="67">
        <v>40956</v>
      </c>
      <c r="R234" s="67"/>
      <c r="S234" s="65" t="s">
        <v>11</v>
      </c>
      <c r="T234" s="70" t="s">
        <v>4</v>
      </c>
      <c r="U234" s="65" t="s">
        <v>14</v>
      </c>
      <c r="V234" s="65" t="s">
        <v>1924</v>
      </c>
      <c r="W234" s="65" t="s">
        <v>1922</v>
      </c>
      <c r="X234" s="65" t="s">
        <v>2829</v>
      </c>
      <c r="Y234" s="65" t="s">
        <v>2951</v>
      </c>
      <c r="Z234" s="65" t="s">
        <v>4</v>
      </c>
      <c r="AA234" s="65" t="s">
        <v>2829</v>
      </c>
    </row>
    <row r="235" spans="1:27" ht="17.45" hidden="1" customHeight="1">
      <c r="A235" s="100" t="str">
        <f>IF(priority(Main[[#This Row],[Comments]])&lt;&gt;0, priority(Main[[#This Row],[Comments]]),"")</f>
        <v/>
      </c>
      <c r="B235" s="77" t="s">
        <v>1685</v>
      </c>
      <c r="C235" s="65" t="s">
        <v>79</v>
      </c>
      <c r="D235" s="66" t="s">
        <v>739</v>
      </c>
      <c r="E235" s="67">
        <v>40458.641226851854</v>
      </c>
      <c r="F235" s="67"/>
      <c r="G235" s="64" t="str">
        <f>IF(stdProdLT(Main[[#This Row],[Comments]])=0.1,"N/A",IF(stdProdLT(Main[[#This Row],[Comments]])=0,"",stdProdLT(Main[[#This Row],[Comments]])))</f>
        <v/>
      </c>
      <c r="H235" s="68" t="str">
        <f>IF(AND(Main[[#This Row],[In Stock Date]]&lt;&gt;"",Main[[#This Row],[Revised Due Date]]&lt;&gt;""),Main[[#This Row],[In Stock Date]]-Main[[#This Row],[Revised Due Date]],"")</f>
        <v/>
      </c>
      <c r="I235" s="65" t="s">
        <v>4</v>
      </c>
      <c r="J235" s="65" t="s">
        <v>28</v>
      </c>
      <c r="K235" s="65" t="s">
        <v>1926</v>
      </c>
      <c r="L235" s="67"/>
      <c r="M235" s="69" t="str">
        <f>IF(Main[[#This Row],[Tech Start Date]]&lt;1/1/1990,"",IF(Main[[#This Row],[Class]]="C",WORKDAY(Main[[#This Row],[Tech Start Date]],9),IF(Main[[#This Row],[Class]]="B", WORKDAY(Main[[#This Row],[Tech Start Date]],6),IF(Main[[#This Row],[Class]]="A",WORKDAY(Main[[#This Row],[Tech Start Date]],2),""))))</f>
        <v/>
      </c>
      <c r="N235" s="69" t="str">
        <f>IF(Main[[#This Row],[Tech Start Date]]&lt;1/1/1990,"",IF(Main[[#This Row],[Class]]="C",WORKDAY(Main[[#This Row],[Tech Start Date]],19),IF(Main[[#This Row],[Class]]="B", WORKDAY(Main[[#This Row],[Tech Start Date]],12),IF(Main[[#This Row],[Class]]="A",WORKDAY(Main[[#This Row],[Tech Start Date]],4),""))))</f>
        <v/>
      </c>
      <c r="O235" s="69" t="str">
        <f>IF(Main[[#This Row],[Tech Start Date]]&lt;1/1/1990,"",IF(Main[[#This Row],[Class]]="C",WORKDAY(Main[[#This Row],[Tech Start Date]],23),IF(Main[[#This Row],[Class]]="B", WORKDAY(Main[[#This Row],[Tech Start Date]],15),IF(Main[[#This Row],[Class]]="A",WORKDAY(Main[[#This Row],[Tech Start Date]],5),""))))</f>
        <v/>
      </c>
      <c r="P235" s="69" t="str">
        <f>IF(Main[[#This Row],[Tech Start Date]]&lt;1/1/1990,"",IF(Main[[#This Row],[Class]]="C",WORKDAY(Main[[#This Row],[Tech Start Date]],28),IF(Main[[#This Row],[Class]]="B", WORKDAY(Main[[#This Row],[Tech Start Date]],19),IF(Main[[#This Row],[Class]]="A",WORKDAY(Main[[#This Row],[Tech Start Date]],9),""))))</f>
        <v/>
      </c>
      <c r="Q235" s="67">
        <v>40486</v>
      </c>
      <c r="R235" s="67"/>
      <c r="S235" s="65" t="s">
        <v>17</v>
      </c>
      <c r="T235" s="70" t="s">
        <v>4</v>
      </c>
      <c r="U235" s="65" t="s">
        <v>7</v>
      </c>
      <c r="V235" s="65" t="s">
        <v>1914</v>
      </c>
      <c r="W235" s="65" t="s">
        <v>1919</v>
      </c>
      <c r="X235" s="65" t="s">
        <v>2821</v>
      </c>
      <c r="Y235" s="65" t="s">
        <v>2936</v>
      </c>
      <c r="Z235" s="65" t="s">
        <v>129</v>
      </c>
      <c r="AA235" s="65" t="s">
        <v>2821</v>
      </c>
    </row>
    <row r="236" spans="1:27" ht="17.45" hidden="1" customHeight="1">
      <c r="A236" s="100" t="str">
        <f>IF(priority(Main[[#This Row],[Comments]])&lt;&gt;0, priority(Main[[#This Row],[Comments]]),"")</f>
        <v/>
      </c>
      <c r="B236" s="77" t="s">
        <v>2040</v>
      </c>
      <c r="C236" s="65" t="s">
        <v>4</v>
      </c>
      <c r="D236" s="66" t="s">
        <v>2041</v>
      </c>
      <c r="E236" s="67"/>
      <c r="F236" s="67"/>
      <c r="G236" s="64" t="str">
        <f>IF(stdProdLT(Main[[#This Row],[Comments]])=0.1,"N/A",IF(stdProdLT(Main[[#This Row],[Comments]])=0,"",stdProdLT(Main[[#This Row],[Comments]])))</f>
        <v/>
      </c>
      <c r="H236" s="68" t="str">
        <f>IF(AND(Main[[#This Row],[In Stock Date]]&lt;&gt;"",Main[[#This Row],[Revised Due Date]]&lt;&gt;""),Main[[#This Row],[In Stock Date]]-Main[[#This Row],[Revised Due Date]],"")</f>
        <v/>
      </c>
      <c r="I236" s="65" t="s">
        <v>4</v>
      </c>
      <c r="J236" s="65" t="s">
        <v>4</v>
      </c>
      <c r="K236" s="65" t="s">
        <v>4</v>
      </c>
      <c r="L236" s="67"/>
      <c r="M236" s="69" t="str">
        <f>IF(Main[[#This Row],[Tech Start Date]]&lt;1/1/1990,"",IF(Main[[#This Row],[Class]]="C",WORKDAY(Main[[#This Row],[Tech Start Date]],9),IF(Main[[#This Row],[Class]]="B", WORKDAY(Main[[#This Row],[Tech Start Date]],6),IF(Main[[#This Row],[Class]]="A",WORKDAY(Main[[#This Row],[Tech Start Date]],2),""))))</f>
        <v/>
      </c>
      <c r="N236" s="69" t="str">
        <f>IF(Main[[#This Row],[Tech Start Date]]&lt;1/1/1990,"",IF(Main[[#This Row],[Class]]="C",WORKDAY(Main[[#This Row],[Tech Start Date]],19),IF(Main[[#This Row],[Class]]="B", WORKDAY(Main[[#This Row],[Tech Start Date]],12),IF(Main[[#This Row],[Class]]="A",WORKDAY(Main[[#This Row],[Tech Start Date]],4),""))))</f>
        <v/>
      </c>
      <c r="O236" s="69" t="str">
        <f>IF(Main[[#This Row],[Tech Start Date]]&lt;1/1/1990,"",IF(Main[[#This Row],[Class]]="C",WORKDAY(Main[[#This Row],[Tech Start Date]],23),IF(Main[[#This Row],[Class]]="B", WORKDAY(Main[[#This Row],[Tech Start Date]],15),IF(Main[[#This Row],[Class]]="A",WORKDAY(Main[[#This Row],[Tech Start Date]],5),""))))</f>
        <v/>
      </c>
      <c r="P236" s="69" t="str">
        <f>IF(Main[[#This Row],[Tech Start Date]]&lt;1/1/1990,"",IF(Main[[#This Row],[Class]]="C",WORKDAY(Main[[#This Row],[Tech Start Date]],28),IF(Main[[#This Row],[Class]]="B", WORKDAY(Main[[#This Row],[Tech Start Date]],19),IF(Main[[#This Row],[Class]]="A",WORKDAY(Main[[#This Row],[Tech Start Date]],9),""))))</f>
        <v/>
      </c>
      <c r="Q236" s="67"/>
      <c r="R236" s="67"/>
      <c r="S236" s="65" t="s">
        <v>6</v>
      </c>
      <c r="T236" s="70" t="s">
        <v>4</v>
      </c>
      <c r="U236" s="65" t="s">
        <v>14</v>
      </c>
      <c r="V236" s="65" t="s">
        <v>1917</v>
      </c>
      <c r="W236" s="65" t="s">
        <v>1918</v>
      </c>
      <c r="X236" s="65" t="s">
        <v>306</v>
      </c>
      <c r="Y236" s="65" t="s">
        <v>4</v>
      </c>
      <c r="Z236" s="65" t="s">
        <v>4</v>
      </c>
      <c r="AA236" s="65" t="s">
        <v>4</v>
      </c>
    </row>
    <row r="237" spans="1:27" ht="17.45" hidden="1" customHeight="1">
      <c r="A237" s="100" t="str">
        <f>IF(priority(Main[[#This Row],[Comments]])&lt;&gt;0, priority(Main[[#This Row],[Comments]]),"")</f>
        <v/>
      </c>
      <c r="B237" s="77" t="s">
        <v>1187</v>
      </c>
      <c r="C237" s="65" t="s">
        <v>33</v>
      </c>
      <c r="D237" s="66" t="s">
        <v>248</v>
      </c>
      <c r="E237" s="67"/>
      <c r="F237" s="67"/>
      <c r="G237" s="64" t="str">
        <f>IF(stdProdLT(Main[[#This Row],[Comments]])=0.1,"N/A",IF(stdProdLT(Main[[#This Row],[Comments]])=0,"",stdProdLT(Main[[#This Row],[Comments]])))</f>
        <v/>
      </c>
      <c r="H237" s="68" t="str">
        <f>IF(AND(Main[[#This Row],[In Stock Date]]&lt;&gt;"",Main[[#This Row],[Revised Due Date]]&lt;&gt;""),Main[[#This Row],[In Stock Date]]-Main[[#This Row],[Revised Due Date]],"")</f>
        <v/>
      </c>
      <c r="I237" s="65" t="s">
        <v>4</v>
      </c>
      <c r="J237" s="65" t="s">
        <v>4</v>
      </c>
      <c r="K237" s="65" t="s">
        <v>4</v>
      </c>
      <c r="L237" s="67"/>
      <c r="M237" s="69" t="str">
        <f>IF(Main[[#This Row],[Tech Start Date]]&lt;1/1/1990,"",IF(Main[[#This Row],[Class]]="C",WORKDAY(Main[[#This Row],[Tech Start Date]],9),IF(Main[[#This Row],[Class]]="B", WORKDAY(Main[[#This Row],[Tech Start Date]],6),IF(Main[[#This Row],[Class]]="A",WORKDAY(Main[[#This Row],[Tech Start Date]],2),""))))</f>
        <v/>
      </c>
      <c r="N237" s="69" t="str">
        <f>IF(Main[[#This Row],[Tech Start Date]]&lt;1/1/1990,"",IF(Main[[#This Row],[Class]]="C",WORKDAY(Main[[#This Row],[Tech Start Date]],19),IF(Main[[#This Row],[Class]]="B", WORKDAY(Main[[#This Row],[Tech Start Date]],12),IF(Main[[#This Row],[Class]]="A",WORKDAY(Main[[#This Row],[Tech Start Date]],4),""))))</f>
        <v/>
      </c>
      <c r="O237" s="69" t="str">
        <f>IF(Main[[#This Row],[Tech Start Date]]&lt;1/1/1990,"",IF(Main[[#This Row],[Class]]="C",WORKDAY(Main[[#This Row],[Tech Start Date]],23),IF(Main[[#This Row],[Class]]="B", WORKDAY(Main[[#This Row],[Tech Start Date]],15),IF(Main[[#This Row],[Class]]="A",WORKDAY(Main[[#This Row],[Tech Start Date]],5),""))))</f>
        <v/>
      </c>
      <c r="P237" s="69" t="str">
        <f>IF(Main[[#This Row],[Tech Start Date]]&lt;1/1/1990,"",IF(Main[[#This Row],[Class]]="C",WORKDAY(Main[[#This Row],[Tech Start Date]],28),IF(Main[[#This Row],[Class]]="B", WORKDAY(Main[[#This Row],[Tech Start Date]],19),IF(Main[[#This Row],[Class]]="A",WORKDAY(Main[[#This Row],[Tech Start Date]],9),""))))</f>
        <v/>
      </c>
      <c r="Q237" s="67">
        <v>40269</v>
      </c>
      <c r="R237" s="67"/>
      <c r="S237" s="65" t="s">
        <v>11</v>
      </c>
      <c r="T237" s="70" t="s">
        <v>4</v>
      </c>
      <c r="U237" s="65" t="s">
        <v>14</v>
      </c>
      <c r="V237" s="65" t="s">
        <v>1917</v>
      </c>
      <c r="W237" s="65" t="s">
        <v>1916</v>
      </c>
      <c r="X237" s="65" t="s">
        <v>2869</v>
      </c>
      <c r="Y237" s="65" t="s">
        <v>4</v>
      </c>
      <c r="Z237" s="65" t="s">
        <v>4</v>
      </c>
      <c r="AA237" s="65" t="s">
        <v>2869</v>
      </c>
    </row>
    <row r="238" spans="1:27" ht="17.45" hidden="1" customHeight="1">
      <c r="A238" s="100" t="str">
        <f>IF(priority(Main[[#This Row],[Comments]])&lt;&gt;0, priority(Main[[#This Row],[Comments]]),"")</f>
        <v/>
      </c>
      <c r="B238" s="77" t="s">
        <v>1188</v>
      </c>
      <c r="C238" s="65" t="s">
        <v>249</v>
      </c>
      <c r="D238" s="66" t="s">
        <v>250</v>
      </c>
      <c r="E238" s="67"/>
      <c r="F238" s="67"/>
      <c r="G238" s="64" t="str">
        <f>IF(stdProdLT(Main[[#This Row],[Comments]])=0.1,"N/A",IF(stdProdLT(Main[[#This Row],[Comments]])=0,"",stdProdLT(Main[[#This Row],[Comments]])))</f>
        <v/>
      </c>
      <c r="H238" s="68" t="str">
        <f>IF(AND(Main[[#This Row],[In Stock Date]]&lt;&gt;"",Main[[#This Row],[Revised Due Date]]&lt;&gt;""),Main[[#This Row],[In Stock Date]]-Main[[#This Row],[Revised Due Date]],"")</f>
        <v/>
      </c>
      <c r="I238" s="65" t="s">
        <v>4</v>
      </c>
      <c r="J238" s="65" t="s">
        <v>28</v>
      </c>
      <c r="K238" s="65" t="s">
        <v>4</v>
      </c>
      <c r="L238" s="67"/>
      <c r="M238" s="69" t="str">
        <f>IF(Main[[#This Row],[Tech Start Date]]&lt;1/1/1990,"",IF(Main[[#This Row],[Class]]="C",WORKDAY(Main[[#This Row],[Tech Start Date]],9),IF(Main[[#This Row],[Class]]="B", WORKDAY(Main[[#This Row],[Tech Start Date]],6),IF(Main[[#This Row],[Class]]="A",WORKDAY(Main[[#This Row],[Tech Start Date]],2),""))))</f>
        <v/>
      </c>
      <c r="N238" s="69" t="str">
        <f>IF(Main[[#This Row],[Tech Start Date]]&lt;1/1/1990,"",IF(Main[[#This Row],[Class]]="C",WORKDAY(Main[[#This Row],[Tech Start Date]],19),IF(Main[[#This Row],[Class]]="B", WORKDAY(Main[[#This Row],[Tech Start Date]],12),IF(Main[[#This Row],[Class]]="A",WORKDAY(Main[[#This Row],[Tech Start Date]],4),""))))</f>
        <v/>
      </c>
      <c r="O238" s="69" t="str">
        <f>IF(Main[[#This Row],[Tech Start Date]]&lt;1/1/1990,"",IF(Main[[#This Row],[Class]]="C",WORKDAY(Main[[#This Row],[Tech Start Date]],23),IF(Main[[#This Row],[Class]]="B", WORKDAY(Main[[#This Row],[Tech Start Date]],15),IF(Main[[#This Row],[Class]]="A",WORKDAY(Main[[#This Row],[Tech Start Date]],5),""))))</f>
        <v/>
      </c>
      <c r="P238" s="69" t="str">
        <f>IF(Main[[#This Row],[Tech Start Date]]&lt;1/1/1990,"",IF(Main[[#This Row],[Class]]="C",WORKDAY(Main[[#This Row],[Tech Start Date]],28),IF(Main[[#This Row],[Class]]="B", WORKDAY(Main[[#This Row],[Tech Start Date]],19),IF(Main[[#This Row],[Class]]="A",WORKDAY(Main[[#This Row],[Tech Start Date]],9),""))))</f>
        <v/>
      </c>
      <c r="Q238" s="67"/>
      <c r="R238" s="67"/>
      <c r="S238" s="65" t="s">
        <v>6</v>
      </c>
      <c r="T238" s="70" t="s">
        <v>4</v>
      </c>
      <c r="U238" s="65" t="s">
        <v>14</v>
      </c>
      <c r="V238" s="65" t="s">
        <v>1914</v>
      </c>
      <c r="W238" s="65" t="s">
        <v>1922</v>
      </c>
      <c r="X238" s="65" t="s">
        <v>889</v>
      </c>
      <c r="Y238" s="65" t="s">
        <v>3014</v>
      </c>
      <c r="Z238" s="65" t="s">
        <v>129</v>
      </c>
      <c r="AA238" s="65" t="s">
        <v>3373</v>
      </c>
    </row>
    <row r="239" spans="1:27" ht="17.45" hidden="1" customHeight="1">
      <c r="A239" s="100" t="str">
        <f>IF(priority(Main[[#This Row],[Comments]])&lt;&gt;0, priority(Main[[#This Row],[Comments]]),"")</f>
        <v/>
      </c>
      <c r="B239" s="77" t="s">
        <v>1189</v>
      </c>
      <c r="C239" s="65" t="s">
        <v>4</v>
      </c>
      <c r="D239" s="66" t="s">
        <v>251</v>
      </c>
      <c r="E239" s="67"/>
      <c r="F239" s="67"/>
      <c r="G239" s="64" t="str">
        <f>IF(stdProdLT(Main[[#This Row],[Comments]])=0.1,"N/A",IF(stdProdLT(Main[[#This Row],[Comments]])=0,"",stdProdLT(Main[[#This Row],[Comments]])))</f>
        <v/>
      </c>
      <c r="H239" s="68" t="str">
        <f>IF(AND(Main[[#This Row],[In Stock Date]]&lt;&gt;"",Main[[#This Row],[Revised Due Date]]&lt;&gt;""),Main[[#This Row],[In Stock Date]]-Main[[#This Row],[Revised Due Date]],"")</f>
        <v/>
      </c>
      <c r="I239" s="65" t="s">
        <v>4</v>
      </c>
      <c r="J239" s="65" t="s">
        <v>4</v>
      </c>
      <c r="K239" s="65" t="s">
        <v>4</v>
      </c>
      <c r="L239" s="67"/>
      <c r="M239" s="69" t="str">
        <f>IF(Main[[#This Row],[Tech Start Date]]&lt;1/1/1990,"",IF(Main[[#This Row],[Class]]="C",WORKDAY(Main[[#This Row],[Tech Start Date]],9),IF(Main[[#This Row],[Class]]="B", WORKDAY(Main[[#This Row],[Tech Start Date]],6),IF(Main[[#This Row],[Class]]="A",WORKDAY(Main[[#This Row],[Tech Start Date]],2),""))))</f>
        <v/>
      </c>
      <c r="N239" s="69" t="str">
        <f>IF(Main[[#This Row],[Tech Start Date]]&lt;1/1/1990,"",IF(Main[[#This Row],[Class]]="C",WORKDAY(Main[[#This Row],[Tech Start Date]],19),IF(Main[[#This Row],[Class]]="B", WORKDAY(Main[[#This Row],[Tech Start Date]],12),IF(Main[[#This Row],[Class]]="A",WORKDAY(Main[[#This Row],[Tech Start Date]],4),""))))</f>
        <v/>
      </c>
      <c r="O239" s="69" t="str">
        <f>IF(Main[[#This Row],[Tech Start Date]]&lt;1/1/1990,"",IF(Main[[#This Row],[Class]]="C",WORKDAY(Main[[#This Row],[Tech Start Date]],23),IF(Main[[#This Row],[Class]]="B", WORKDAY(Main[[#This Row],[Tech Start Date]],15),IF(Main[[#This Row],[Class]]="A",WORKDAY(Main[[#This Row],[Tech Start Date]],5),""))))</f>
        <v/>
      </c>
      <c r="P239" s="69" t="str">
        <f>IF(Main[[#This Row],[Tech Start Date]]&lt;1/1/1990,"",IF(Main[[#This Row],[Class]]="C",WORKDAY(Main[[#This Row],[Tech Start Date]],28),IF(Main[[#This Row],[Class]]="B", WORKDAY(Main[[#This Row],[Tech Start Date]],19),IF(Main[[#This Row],[Class]]="A",WORKDAY(Main[[#This Row],[Tech Start Date]],9),""))))</f>
        <v/>
      </c>
      <c r="Q239" s="67"/>
      <c r="R239" s="67"/>
      <c r="S239" s="65" t="s">
        <v>6</v>
      </c>
      <c r="T239" s="70" t="s">
        <v>4</v>
      </c>
      <c r="U239" s="65" t="s">
        <v>14</v>
      </c>
      <c r="V239" s="65" t="s">
        <v>1917</v>
      </c>
      <c r="W239" s="65" t="s">
        <v>1918</v>
      </c>
      <c r="X239" s="65" t="s">
        <v>306</v>
      </c>
      <c r="Y239" s="65" t="s">
        <v>4</v>
      </c>
      <c r="Z239" s="65" t="s">
        <v>4</v>
      </c>
      <c r="AA239" s="65" t="s">
        <v>415</v>
      </c>
    </row>
    <row r="240" spans="1:27" ht="17.45" hidden="1" customHeight="1">
      <c r="A240" s="100" t="str">
        <f>IF(priority(Main[[#This Row],[Comments]])&lt;&gt;0, priority(Main[[#This Row],[Comments]]),"")</f>
        <v/>
      </c>
      <c r="B240" s="77" t="s">
        <v>1190</v>
      </c>
      <c r="C240" s="65" t="s">
        <v>113</v>
      </c>
      <c r="D240" s="66" t="s">
        <v>136</v>
      </c>
      <c r="E240" s="67"/>
      <c r="F240" s="67"/>
      <c r="G240" s="64" t="str">
        <f>IF(stdProdLT(Main[[#This Row],[Comments]])=0.1,"N/A",IF(stdProdLT(Main[[#This Row],[Comments]])=0,"",stdProdLT(Main[[#This Row],[Comments]])))</f>
        <v/>
      </c>
      <c r="H240" s="68" t="str">
        <f>IF(AND(Main[[#This Row],[In Stock Date]]&lt;&gt;"",Main[[#This Row],[Revised Due Date]]&lt;&gt;""),Main[[#This Row],[In Stock Date]]-Main[[#This Row],[Revised Due Date]],"")</f>
        <v/>
      </c>
      <c r="I240" s="65" t="s">
        <v>4</v>
      </c>
      <c r="J240" s="65" t="s">
        <v>4</v>
      </c>
      <c r="K240" s="65" t="s">
        <v>4</v>
      </c>
      <c r="L240" s="67"/>
      <c r="M240" s="69" t="str">
        <f>IF(Main[[#This Row],[Tech Start Date]]&lt;1/1/1990,"",IF(Main[[#This Row],[Class]]="C",WORKDAY(Main[[#This Row],[Tech Start Date]],9),IF(Main[[#This Row],[Class]]="B", WORKDAY(Main[[#This Row],[Tech Start Date]],6),IF(Main[[#This Row],[Class]]="A",WORKDAY(Main[[#This Row],[Tech Start Date]],2),""))))</f>
        <v/>
      </c>
      <c r="N240" s="69" t="str">
        <f>IF(Main[[#This Row],[Tech Start Date]]&lt;1/1/1990,"",IF(Main[[#This Row],[Class]]="C",WORKDAY(Main[[#This Row],[Tech Start Date]],19),IF(Main[[#This Row],[Class]]="B", WORKDAY(Main[[#This Row],[Tech Start Date]],12),IF(Main[[#This Row],[Class]]="A",WORKDAY(Main[[#This Row],[Tech Start Date]],4),""))))</f>
        <v/>
      </c>
      <c r="O240" s="69" t="str">
        <f>IF(Main[[#This Row],[Tech Start Date]]&lt;1/1/1990,"",IF(Main[[#This Row],[Class]]="C",WORKDAY(Main[[#This Row],[Tech Start Date]],23),IF(Main[[#This Row],[Class]]="B", WORKDAY(Main[[#This Row],[Tech Start Date]],15),IF(Main[[#This Row],[Class]]="A",WORKDAY(Main[[#This Row],[Tech Start Date]],5),""))))</f>
        <v/>
      </c>
      <c r="P240" s="69" t="str">
        <f>IF(Main[[#This Row],[Tech Start Date]]&lt;1/1/1990,"",IF(Main[[#This Row],[Class]]="C",WORKDAY(Main[[#This Row],[Tech Start Date]],28),IF(Main[[#This Row],[Class]]="B", WORKDAY(Main[[#This Row],[Tech Start Date]],19),IF(Main[[#This Row],[Class]]="A",WORKDAY(Main[[#This Row],[Tech Start Date]],9),""))))</f>
        <v/>
      </c>
      <c r="Q240" s="67">
        <v>40641</v>
      </c>
      <c r="R240" s="67"/>
      <c r="S240" s="65" t="s">
        <v>11</v>
      </c>
      <c r="T240" s="70" t="s">
        <v>4</v>
      </c>
      <c r="U240" s="65" t="s">
        <v>14</v>
      </c>
      <c r="V240" s="65" t="s">
        <v>1914</v>
      </c>
      <c r="W240" s="65" t="s">
        <v>1922</v>
      </c>
      <c r="X240" s="65" t="s">
        <v>2839</v>
      </c>
      <c r="Y240" s="65" t="s">
        <v>2981</v>
      </c>
      <c r="Z240" s="65" t="s">
        <v>4</v>
      </c>
      <c r="AA240" s="65" t="s">
        <v>2839</v>
      </c>
    </row>
    <row r="241" spans="1:27" ht="17.45" hidden="1" customHeight="1">
      <c r="A241" s="100" t="str">
        <f>IF(priority(Main[[#This Row],[Comments]])&lt;&gt;0, priority(Main[[#This Row],[Comments]]),"")</f>
        <v/>
      </c>
      <c r="B241" s="77" t="s">
        <v>1133</v>
      </c>
      <c r="C241" s="65" t="s">
        <v>4</v>
      </c>
      <c r="D241" s="66" t="s">
        <v>186</v>
      </c>
      <c r="E241" s="67">
        <v>40585.675416666665</v>
      </c>
      <c r="F241" s="67">
        <v>40606</v>
      </c>
      <c r="G241" s="64" t="str">
        <f>IF(stdProdLT(Main[[#This Row],[Comments]])=0.1,"N/A",IF(stdProdLT(Main[[#This Row],[Comments]])=0,"",stdProdLT(Main[[#This Row],[Comments]])))</f>
        <v/>
      </c>
      <c r="H241" s="68" t="str">
        <f>IF(AND(Main[[#This Row],[In Stock Date]]&lt;&gt;"",Main[[#This Row],[Revised Due Date]]&lt;&gt;""),Main[[#This Row],[In Stock Date]]-Main[[#This Row],[Revised Due Date]],"")</f>
        <v/>
      </c>
      <c r="I241" s="65" t="s">
        <v>4</v>
      </c>
      <c r="J241" s="65" t="s">
        <v>28</v>
      </c>
      <c r="K241" s="65" t="s">
        <v>1926</v>
      </c>
      <c r="L241" s="67"/>
      <c r="M241" s="69" t="str">
        <f>IF(Main[[#This Row],[Tech Start Date]]&lt;1/1/1990,"",IF(Main[[#This Row],[Class]]="C",WORKDAY(Main[[#This Row],[Tech Start Date]],9),IF(Main[[#This Row],[Class]]="B", WORKDAY(Main[[#This Row],[Tech Start Date]],6),IF(Main[[#This Row],[Class]]="A",WORKDAY(Main[[#This Row],[Tech Start Date]],2),""))))</f>
        <v/>
      </c>
      <c r="N241" s="69" t="str">
        <f>IF(Main[[#This Row],[Tech Start Date]]&lt;1/1/1990,"",IF(Main[[#This Row],[Class]]="C",WORKDAY(Main[[#This Row],[Tech Start Date]],19),IF(Main[[#This Row],[Class]]="B", WORKDAY(Main[[#This Row],[Tech Start Date]],12),IF(Main[[#This Row],[Class]]="A",WORKDAY(Main[[#This Row],[Tech Start Date]],4),""))))</f>
        <v/>
      </c>
      <c r="O241" s="69" t="str">
        <f>IF(Main[[#This Row],[Tech Start Date]]&lt;1/1/1990,"",IF(Main[[#This Row],[Class]]="C",WORKDAY(Main[[#This Row],[Tech Start Date]],23),IF(Main[[#This Row],[Class]]="B", WORKDAY(Main[[#This Row],[Tech Start Date]],15),IF(Main[[#This Row],[Class]]="A",WORKDAY(Main[[#This Row],[Tech Start Date]],5),""))))</f>
        <v/>
      </c>
      <c r="P241" s="69" t="str">
        <f>IF(Main[[#This Row],[Tech Start Date]]&lt;1/1/1990,"",IF(Main[[#This Row],[Class]]="C",WORKDAY(Main[[#This Row],[Tech Start Date]],28),IF(Main[[#This Row],[Class]]="B", WORKDAY(Main[[#This Row],[Tech Start Date]],19),IF(Main[[#This Row],[Class]]="A",WORKDAY(Main[[#This Row],[Tech Start Date]],9),""))))</f>
        <v/>
      </c>
      <c r="Q241" s="67">
        <v>40606</v>
      </c>
      <c r="R241" s="67"/>
      <c r="S241" s="65" t="s">
        <v>17</v>
      </c>
      <c r="T241" s="70" t="s">
        <v>4</v>
      </c>
      <c r="U241" s="65" t="s">
        <v>7</v>
      </c>
      <c r="V241" s="65" t="s">
        <v>1914</v>
      </c>
      <c r="W241" s="65" t="s">
        <v>1922</v>
      </c>
      <c r="X241" s="65" t="s">
        <v>2828</v>
      </c>
      <c r="Y241" s="65" t="s">
        <v>2950</v>
      </c>
      <c r="Z241" s="65" t="s">
        <v>129</v>
      </c>
      <c r="AA241" s="65" t="s">
        <v>2828</v>
      </c>
    </row>
    <row r="242" spans="1:27" ht="17.45" hidden="1" customHeight="1">
      <c r="A242" s="100" t="str">
        <f>IF(priority(Main[[#This Row],[Comments]])&lt;&gt;0, priority(Main[[#This Row],[Comments]]),"")</f>
        <v/>
      </c>
      <c r="B242" s="77" t="s">
        <v>1191</v>
      </c>
      <c r="C242" s="65" t="s">
        <v>4</v>
      </c>
      <c r="D242" s="66" t="s">
        <v>2356</v>
      </c>
      <c r="E242" s="67">
        <v>40620.555636574078</v>
      </c>
      <c r="F242" s="67"/>
      <c r="G242" s="64" t="str">
        <f>IF(stdProdLT(Main[[#This Row],[Comments]])=0.1,"N/A",IF(stdProdLT(Main[[#This Row],[Comments]])=0,"",stdProdLT(Main[[#This Row],[Comments]])))</f>
        <v/>
      </c>
      <c r="H242" s="68" t="str">
        <f>IF(AND(Main[[#This Row],[In Stock Date]]&lt;&gt;"",Main[[#This Row],[Revised Due Date]]&lt;&gt;""),Main[[#This Row],[In Stock Date]]-Main[[#This Row],[Revised Due Date]],"")</f>
        <v/>
      </c>
      <c r="I242" s="65" t="s">
        <v>30</v>
      </c>
      <c r="J242" s="65" t="s">
        <v>75</v>
      </c>
      <c r="K242" s="65" t="s">
        <v>1923</v>
      </c>
      <c r="L242" s="67"/>
      <c r="M242" s="69" t="str">
        <f>IF(Main[[#This Row],[Tech Start Date]]&lt;1/1/1990,"",IF(Main[[#This Row],[Class]]="C",WORKDAY(Main[[#This Row],[Tech Start Date]],9),IF(Main[[#This Row],[Class]]="B", WORKDAY(Main[[#This Row],[Tech Start Date]],6),IF(Main[[#This Row],[Class]]="A",WORKDAY(Main[[#This Row],[Tech Start Date]],2),""))))</f>
        <v/>
      </c>
      <c r="N242" s="69" t="str">
        <f>IF(Main[[#This Row],[Tech Start Date]]&lt;1/1/1990,"",IF(Main[[#This Row],[Class]]="C",WORKDAY(Main[[#This Row],[Tech Start Date]],19),IF(Main[[#This Row],[Class]]="B", WORKDAY(Main[[#This Row],[Tech Start Date]],12),IF(Main[[#This Row],[Class]]="A",WORKDAY(Main[[#This Row],[Tech Start Date]],4),""))))</f>
        <v/>
      </c>
      <c r="O242" s="69" t="str">
        <f>IF(Main[[#This Row],[Tech Start Date]]&lt;1/1/1990,"",IF(Main[[#This Row],[Class]]="C",WORKDAY(Main[[#This Row],[Tech Start Date]],23),IF(Main[[#This Row],[Class]]="B", WORKDAY(Main[[#This Row],[Tech Start Date]],15),IF(Main[[#This Row],[Class]]="A",WORKDAY(Main[[#This Row],[Tech Start Date]],5),""))))</f>
        <v/>
      </c>
      <c r="P242" s="69" t="str">
        <f>IF(Main[[#This Row],[Tech Start Date]]&lt;1/1/1990,"",IF(Main[[#This Row],[Class]]="C",WORKDAY(Main[[#This Row],[Tech Start Date]],28),IF(Main[[#This Row],[Class]]="B", WORKDAY(Main[[#This Row],[Tech Start Date]],19),IF(Main[[#This Row],[Class]]="A",WORKDAY(Main[[#This Row],[Tech Start Date]],9),""))))</f>
        <v/>
      </c>
      <c r="Q242" s="67">
        <v>40662</v>
      </c>
      <c r="R242" s="67"/>
      <c r="S242" s="65" t="s">
        <v>6</v>
      </c>
      <c r="T242" s="70" t="s">
        <v>4</v>
      </c>
      <c r="U242" s="65" t="s">
        <v>29</v>
      </c>
      <c r="V242" s="65" t="s">
        <v>1917</v>
      </c>
      <c r="W242" s="65" t="s">
        <v>1918</v>
      </c>
      <c r="X242" s="65" t="s">
        <v>30</v>
      </c>
      <c r="Y242" s="65" t="s">
        <v>3015</v>
      </c>
      <c r="Z242" s="65" t="s">
        <v>30</v>
      </c>
      <c r="AA242" s="65" t="s">
        <v>3401</v>
      </c>
    </row>
    <row r="243" spans="1:27" ht="17.45" hidden="1" customHeight="1">
      <c r="A243" s="100" t="str">
        <f>IF(priority(Main[[#This Row],[Comments]])&lt;&gt;0, priority(Main[[#This Row],[Comments]]),"")</f>
        <v/>
      </c>
      <c r="B243" s="77" t="s">
        <v>1228</v>
      </c>
      <c r="C243" s="65" t="s">
        <v>4</v>
      </c>
      <c r="D243" s="66" t="s">
        <v>289</v>
      </c>
      <c r="E243" s="67">
        <v>40379.350532407407</v>
      </c>
      <c r="F243" s="67"/>
      <c r="G243" s="64" t="str">
        <f>IF(stdProdLT(Main[[#This Row],[Comments]])=0.1,"N/A",IF(stdProdLT(Main[[#This Row],[Comments]])=0,"",stdProdLT(Main[[#This Row],[Comments]])))</f>
        <v/>
      </c>
      <c r="H243" s="68" t="str">
        <f>IF(AND(Main[[#This Row],[In Stock Date]]&lt;&gt;"",Main[[#This Row],[Revised Due Date]]&lt;&gt;""),Main[[#This Row],[In Stock Date]]-Main[[#This Row],[Revised Due Date]],"")</f>
        <v/>
      </c>
      <c r="I243" s="65" t="s">
        <v>4</v>
      </c>
      <c r="J243" s="65" t="s">
        <v>28</v>
      </c>
      <c r="K243" s="65" t="s">
        <v>4</v>
      </c>
      <c r="L243" s="67"/>
      <c r="M243" s="69" t="str">
        <f>IF(Main[[#This Row],[Tech Start Date]]&lt;1/1/1990,"",IF(Main[[#This Row],[Class]]="C",WORKDAY(Main[[#This Row],[Tech Start Date]],9),IF(Main[[#This Row],[Class]]="B", WORKDAY(Main[[#This Row],[Tech Start Date]],6),IF(Main[[#This Row],[Class]]="A",WORKDAY(Main[[#This Row],[Tech Start Date]],2),""))))</f>
        <v/>
      </c>
      <c r="N243" s="69" t="str">
        <f>IF(Main[[#This Row],[Tech Start Date]]&lt;1/1/1990,"",IF(Main[[#This Row],[Class]]="C",WORKDAY(Main[[#This Row],[Tech Start Date]],19),IF(Main[[#This Row],[Class]]="B", WORKDAY(Main[[#This Row],[Tech Start Date]],12),IF(Main[[#This Row],[Class]]="A",WORKDAY(Main[[#This Row],[Tech Start Date]],4),""))))</f>
        <v/>
      </c>
      <c r="O243" s="69" t="str">
        <f>IF(Main[[#This Row],[Tech Start Date]]&lt;1/1/1990,"",IF(Main[[#This Row],[Class]]="C",WORKDAY(Main[[#This Row],[Tech Start Date]],23),IF(Main[[#This Row],[Class]]="B", WORKDAY(Main[[#This Row],[Tech Start Date]],15),IF(Main[[#This Row],[Class]]="A",WORKDAY(Main[[#This Row],[Tech Start Date]],5),""))))</f>
        <v/>
      </c>
      <c r="P243" s="69" t="str">
        <f>IF(Main[[#This Row],[Tech Start Date]]&lt;1/1/1990,"",IF(Main[[#This Row],[Class]]="C",WORKDAY(Main[[#This Row],[Tech Start Date]],28),IF(Main[[#This Row],[Class]]="B", WORKDAY(Main[[#This Row],[Tech Start Date]],19),IF(Main[[#This Row],[Class]]="A",WORKDAY(Main[[#This Row],[Tech Start Date]],9),""))))</f>
        <v/>
      </c>
      <c r="Q243" s="67">
        <v>40413</v>
      </c>
      <c r="R243" s="67"/>
      <c r="S243" s="65" t="s">
        <v>6</v>
      </c>
      <c r="T243" s="70" t="s">
        <v>4</v>
      </c>
      <c r="U243" s="65" t="s">
        <v>7</v>
      </c>
      <c r="V243" s="65" t="s">
        <v>1914</v>
      </c>
      <c r="W243" s="65" t="s">
        <v>1916</v>
      </c>
      <c r="X243" s="65" t="s">
        <v>2818</v>
      </c>
      <c r="Y243" s="65" t="s">
        <v>2929</v>
      </c>
      <c r="Z243" s="65" t="s">
        <v>129</v>
      </c>
      <c r="AA243" s="65" t="s">
        <v>2818</v>
      </c>
    </row>
    <row r="244" spans="1:27" ht="17.45" hidden="1" customHeight="1">
      <c r="A244" s="100" t="str">
        <f>IF(priority(Main[[#This Row],[Comments]])&lt;&gt;0, priority(Main[[#This Row],[Comments]]),"")</f>
        <v/>
      </c>
      <c r="B244" s="77" t="s">
        <v>1229</v>
      </c>
      <c r="C244" s="65" t="s">
        <v>290</v>
      </c>
      <c r="D244" s="66" t="s">
        <v>291</v>
      </c>
      <c r="E244" s="67"/>
      <c r="F244" s="67"/>
      <c r="G244" s="64" t="str">
        <f>IF(stdProdLT(Main[[#This Row],[Comments]])=0.1,"N/A",IF(stdProdLT(Main[[#This Row],[Comments]])=0,"",stdProdLT(Main[[#This Row],[Comments]])))</f>
        <v/>
      </c>
      <c r="H244" s="68" t="str">
        <f>IF(AND(Main[[#This Row],[In Stock Date]]&lt;&gt;"",Main[[#This Row],[Revised Due Date]]&lt;&gt;""),Main[[#This Row],[In Stock Date]]-Main[[#This Row],[Revised Due Date]],"")</f>
        <v/>
      </c>
      <c r="I244" s="65" t="s">
        <v>4</v>
      </c>
      <c r="J244" s="65" t="s">
        <v>4</v>
      </c>
      <c r="K244" s="65" t="s">
        <v>4</v>
      </c>
      <c r="L244" s="67"/>
      <c r="M244" s="69" t="str">
        <f>IF(Main[[#This Row],[Tech Start Date]]&lt;1/1/1990,"",IF(Main[[#This Row],[Class]]="C",WORKDAY(Main[[#This Row],[Tech Start Date]],9),IF(Main[[#This Row],[Class]]="B", WORKDAY(Main[[#This Row],[Tech Start Date]],6),IF(Main[[#This Row],[Class]]="A",WORKDAY(Main[[#This Row],[Tech Start Date]],2),""))))</f>
        <v/>
      </c>
      <c r="N244" s="69" t="str">
        <f>IF(Main[[#This Row],[Tech Start Date]]&lt;1/1/1990,"",IF(Main[[#This Row],[Class]]="C",WORKDAY(Main[[#This Row],[Tech Start Date]],19),IF(Main[[#This Row],[Class]]="B", WORKDAY(Main[[#This Row],[Tech Start Date]],12),IF(Main[[#This Row],[Class]]="A",WORKDAY(Main[[#This Row],[Tech Start Date]],4),""))))</f>
        <v/>
      </c>
      <c r="O244" s="69" t="str">
        <f>IF(Main[[#This Row],[Tech Start Date]]&lt;1/1/1990,"",IF(Main[[#This Row],[Class]]="C",WORKDAY(Main[[#This Row],[Tech Start Date]],23),IF(Main[[#This Row],[Class]]="B", WORKDAY(Main[[#This Row],[Tech Start Date]],15),IF(Main[[#This Row],[Class]]="A",WORKDAY(Main[[#This Row],[Tech Start Date]],5),""))))</f>
        <v/>
      </c>
      <c r="P244" s="69" t="str">
        <f>IF(Main[[#This Row],[Tech Start Date]]&lt;1/1/1990,"",IF(Main[[#This Row],[Class]]="C",WORKDAY(Main[[#This Row],[Tech Start Date]],28),IF(Main[[#This Row],[Class]]="B", WORKDAY(Main[[#This Row],[Tech Start Date]],19),IF(Main[[#This Row],[Class]]="A",WORKDAY(Main[[#This Row],[Tech Start Date]],9),""))))</f>
        <v/>
      </c>
      <c r="Q244" s="67">
        <v>40052</v>
      </c>
      <c r="R244" s="67"/>
      <c r="S244" s="65" t="s">
        <v>11</v>
      </c>
      <c r="T244" s="70" t="s">
        <v>4</v>
      </c>
      <c r="U244" s="65" t="s">
        <v>14</v>
      </c>
      <c r="V244" s="65" t="s">
        <v>1917</v>
      </c>
      <c r="W244" s="65" t="s">
        <v>1916</v>
      </c>
      <c r="X244" s="65" t="s">
        <v>2834</v>
      </c>
      <c r="Y244" s="65" t="s">
        <v>4</v>
      </c>
      <c r="Z244" s="65" t="s">
        <v>4</v>
      </c>
      <c r="AA244" s="65" t="s">
        <v>2834</v>
      </c>
    </row>
    <row r="245" spans="1:27" ht="17.45" hidden="1" customHeight="1">
      <c r="A245" s="100" t="str">
        <f>IF(priority(Main[[#This Row],[Comments]])&lt;&gt;0, priority(Main[[#This Row],[Comments]]),"")</f>
        <v/>
      </c>
      <c r="B245" s="77" t="s">
        <v>2707</v>
      </c>
      <c r="C245" s="65" t="s">
        <v>2708</v>
      </c>
      <c r="D245" s="66" t="s">
        <v>2709</v>
      </c>
      <c r="E245" s="67"/>
      <c r="F245" s="67">
        <v>40900</v>
      </c>
      <c r="G245" s="64" t="str">
        <f>IF(stdProdLT(Main[[#This Row],[Comments]])=0.1,"N/A",IF(stdProdLT(Main[[#This Row],[Comments]])=0,"",stdProdLT(Main[[#This Row],[Comments]])))</f>
        <v/>
      </c>
      <c r="H245" s="68" t="str">
        <f>IF(AND(Main[[#This Row],[In Stock Date]]&lt;&gt;"",Main[[#This Row],[Revised Due Date]]&lt;&gt;""),Main[[#This Row],[In Stock Date]]-Main[[#This Row],[Revised Due Date]],"")</f>
        <v/>
      </c>
      <c r="I245" s="65" t="s">
        <v>4</v>
      </c>
      <c r="J245" s="65" t="s">
        <v>4</v>
      </c>
      <c r="K245" s="65" t="s">
        <v>4</v>
      </c>
      <c r="L245" s="67"/>
      <c r="M245" s="69" t="str">
        <f>IF(Main[[#This Row],[Tech Start Date]]&lt;1/1/1990,"",IF(Main[[#This Row],[Class]]="C",WORKDAY(Main[[#This Row],[Tech Start Date]],9),IF(Main[[#This Row],[Class]]="B", WORKDAY(Main[[#This Row],[Tech Start Date]],6),IF(Main[[#This Row],[Class]]="A",WORKDAY(Main[[#This Row],[Tech Start Date]],2),""))))</f>
        <v/>
      </c>
      <c r="N245" s="69" t="str">
        <f>IF(Main[[#This Row],[Tech Start Date]]&lt;1/1/1990,"",IF(Main[[#This Row],[Class]]="C",WORKDAY(Main[[#This Row],[Tech Start Date]],19),IF(Main[[#This Row],[Class]]="B", WORKDAY(Main[[#This Row],[Tech Start Date]],12),IF(Main[[#This Row],[Class]]="A",WORKDAY(Main[[#This Row],[Tech Start Date]],4),""))))</f>
        <v/>
      </c>
      <c r="O245" s="69" t="str">
        <f>IF(Main[[#This Row],[Tech Start Date]]&lt;1/1/1990,"",IF(Main[[#This Row],[Class]]="C",WORKDAY(Main[[#This Row],[Tech Start Date]],23),IF(Main[[#This Row],[Class]]="B", WORKDAY(Main[[#This Row],[Tech Start Date]],15),IF(Main[[#This Row],[Class]]="A",WORKDAY(Main[[#This Row],[Tech Start Date]],5),""))))</f>
        <v/>
      </c>
      <c r="P245" s="69" t="str">
        <f>IF(Main[[#This Row],[Tech Start Date]]&lt;1/1/1990,"",IF(Main[[#This Row],[Class]]="C",WORKDAY(Main[[#This Row],[Tech Start Date]],28),IF(Main[[#This Row],[Class]]="B", WORKDAY(Main[[#This Row],[Tech Start Date]],19),IF(Main[[#This Row],[Class]]="A",WORKDAY(Main[[#This Row],[Tech Start Date]],9),""))))</f>
        <v/>
      </c>
      <c r="Q245" s="67">
        <v>40899</v>
      </c>
      <c r="R245" s="67"/>
      <c r="S245" s="65" t="s">
        <v>11</v>
      </c>
      <c r="T245" s="70" t="s">
        <v>4</v>
      </c>
      <c r="U245" s="65" t="s">
        <v>14</v>
      </c>
      <c r="V245" s="65" t="s">
        <v>1917</v>
      </c>
      <c r="W245" s="65" t="s">
        <v>1920</v>
      </c>
      <c r="X245" s="65" t="s">
        <v>2870</v>
      </c>
      <c r="Y245" s="65" t="s">
        <v>3016</v>
      </c>
      <c r="Z245" s="65" t="s">
        <v>4</v>
      </c>
      <c r="AA245" s="65" t="s">
        <v>2870</v>
      </c>
    </row>
    <row r="246" spans="1:27" ht="17.45" hidden="1" customHeight="1">
      <c r="A246" s="100" t="str">
        <f>IF(priority(Main[[#This Row],[Comments]])&lt;&gt;0, priority(Main[[#This Row],[Comments]]),"")</f>
        <v/>
      </c>
      <c r="B246" s="77" t="s">
        <v>3594</v>
      </c>
      <c r="C246" s="65" t="s">
        <v>4</v>
      </c>
      <c r="D246" s="66" t="s">
        <v>3595</v>
      </c>
      <c r="E246" s="67">
        <v>40959.340949074074</v>
      </c>
      <c r="F246" s="67"/>
      <c r="G246" s="64" t="str">
        <f>IF(stdProdLT(Main[[#This Row],[Comments]])=0.1,"N/A",IF(stdProdLT(Main[[#This Row],[Comments]])=0,"",stdProdLT(Main[[#This Row],[Comments]])))</f>
        <v/>
      </c>
      <c r="H246" s="68" t="str">
        <f>IF(AND(Main[[#This Row],[In Stock Date]]&lt;&gt;"",Main[[#This Row],[Revised Due Date]]&lt;&gt;""),Main[[#This Row],[In Stock Date]]-Main[[#This Row],[Revised Due Date]],"")</f>
        <v/>
      </c>
      <c r="I246" s="65" t="s">
        <v>4</v>
      </c>
      <c r="J246" s="65" t="s">
        <v>4</v>
      </c>
      <c r="K246" s="65" t="s">
        <v>4</v>
      </c>
      <c r="L246" s="67"/>
      <c r="M246" s="69" t="str">
        <f>IF(Main[[#This Row],[Tech Start Date]]&lt;1/1/1990,"",IF(Main[[#This Row],[Class]]="C",WORKDAY(Main[[#This Row],[Tech Start Date]],9),IF(Main[[#This Row],[Class]]="B", WORKDAY(Main[[#This Row],[Tech Start Date]],6),IF(Main[[#This Row],[Class]]="A",WORKDAY(Main[[#This Row],[Tech Start Date]],2),""))))</f>
        <v/>
      </c>
      <c r="N246" s="69" t="str">
        <f>IF(Main[[#This Row],[Tech Start Date]]&lt;1/1/1990,"",IF(Main[[#This Row],[Class]]="C",WORKDAY(Main[[#This Row],[Tech Start Date]],19),IF(Main[[#This Row],[Class]]="B", WORKDAY(Main[[#This Row],[Tech Start Date]],12),IF(Main[[#This Row],[Class]]="A",WORKDAY(Main[[#This Row],[Tech Start Date]],4),""))))</f>
        <v/>
      </c>
      <c r="O246" s="69" t="str">
        <f>IF(Main[[#This Row],[Tech Start Date]]&lt;1/1/1990,"",IF(Main[[#This Row],[Class]]="C",WORKDAY(Main[[#This Row],[Tech Start Date]],23),IF(Main[[#This Row],[Class]]="B", WORKDAY(Main[[#This Row],[Tech Start Date]],15),IF(Main[[#This Row],[Class]]="A",WORKDAY(Main[[#This Row],[Tech Start Date]],5),""))))</f>
        <v/>
      </c>
      <c r="P246" s="69" t="str">
        <f>IF(Main[[#This Row],[Tech Start Date]]&lt;1/1/1990,"",IF(Main[[#This Row],[Class]]="C",WORKDAY(Main[[#This Row],[Tech Start Date]],28),IF(Main[[#This Row],[Class]]="B", WORKDAY(Main[[#This Row],[Tech Start Date]],19),IF(Main[[#This Row],[Class]]="A",WORKDAY(Main[[#This Row],[Tech Start Date]],9),""))))</f>
        <v/>
      </c>
      <c r="Q246" s="67"/>
      <c r="R246" s="67"/>
      <c r="S246" s="65" t="s">
        <v>6</v>
      </c>
      <c r="T246" s="70" t="s">
        <v>4</v>
      </c>
      <c r="U246" s="65" t="s">
        <v>7</v>
      </c>
      <c r="V246" s="65" t="s">
        <v>1915</v>
      </c>
      <c r="W246" s="65" t="s">
        <v>1916</v>
      </c>
      <c r="X246" s="65" t="s">
        <v>306</v>
      </c>
      <c r="Y246" s="65" t="s">
        <v>4</v>
      </c>
      <c r="Z246" s="65" t="s">
        <v>2211</v>
      </c>
      <c r="AA246" s="65" t="s">
        <v>4</v>
      </c>
    </row>
    <row r="247" spans="1:27" ht="17.45" hidden="1" customHeight="1">
      <c r="A247" s="100" t="str">
        <f>IF(priority(Main[[#This Row],[Comments]])&lt;&gt;0, priority(Main[[#This Row],[Comments]]),"")</f>
        <v/>
      </c>
      <c r="B247" s="77" t="s">
        <v>2362</v>
      </c>
      <c r="C247" s="65" t="s">
        <v>4</v>
      </c>
      <c r="D247" s="66" t="s">
        <v>2363</v>
      </c>
      <c r="E247" s="67"/>
      <c r="F247" s="67"/>
      <c r="G247" s="64" t="str">
        <f>IF(stdProdLT(Main[[#This Row],[Comments]])=0.1,"N/A",IF(stdProdLT(Main[[#This Row],[Comments]])=0,"",stdProdLT(Main[[#This Row],[Comments]])))</f>
        <v/>
      </c>
      <c r="H247" s="68" t="str">
        <f>IF(AND(Main[[#This Row],[In Stock Date]]&lt;&gt;"",Main[[#This Row],[Revised Due Date]]&lt;&gt;""),Main[[#This Row],[In Stock Date]]-Main[[#This Row],[Revised Due Date]],"")</f>
        <v/>
      </c>
      <c r="I247" s="65" t="s">
        <v>4</v>
      </c>
      <c r="J247" s="65" t="s">
        <v>4</v>
      </c>
      <c r="K247" s="65" t="s">
        <v>4</v>
      </c>
      <c r="L247" s="67"/>
      <c r="M247" s="69" t="str">
        <f>IF(Main[[#This Row],[Tech Start Date]]&lt;1/1/1990,"",IF(Main[[#This Row],[Class]]="C",WORKDAY(Main[[#This Row],[Tech Start Date]],9),IF(Main[[#This Row],[Class]]="B", WORKDAY(Main[[#This Row],[Tech Start Date]],6),IF(Main[[#This Row],[Class]]="A",WORKDAY(Main[[#This Row],[Tech Start Date]],2),""))))</f>
        <v/>
      </c>
      <c r="N247" s="69" t="str">
        <f>IF(Main[[#This Row],[Tech Start Date]]&lt;1/1/1990,"",IF(Main[[#This Row],[Class]]="C",WORKDAY(Main[[#This Row],[Tech Start Date]],19),IF(Main[[#This Row],[Class]]="B", WORKDAY(Main[[#This Row],[Tech Start Date]],12),IF(Main[[#This Row],[Class]]="A",WORKDAY(Main[[#This Row],[Tech Start Date]],4),""))))</f>
        <v/>
      </c>
      <c r="O247" s="69" t="str">
        <f>IF(Main[[#This Row],[Tech Start Date]]&lt;1/1/1990,"",IF(Main[[#This Row],[Class]]="C",WORKDAY(Main[[#This Row],[Tech Start Date]],23),IF(Main[[#This Row],[Class]]="B", WORKDAY(Main[[#This Row],[Tech Start Date]],15),IF(Main[[#This Row],[Class]]="A",WORKDAY(Main[[#This Row],[Tech Start Date]],5),""))))</f>
        <v/>
      </c>
      <c r="P247" s="69" t="str">
        <f>IF(Main[[#This Row],[Tech Start Date]]&lt;1/1/1990,"",IF(Main[[#This Row],[Class]]="C",WORKDAY(Main[[#This Row],[Tech Start Date]],28),IF(Main[[#This Row],[Class]]="B", WORKDAY(Main[[#This Row],[Tech Start Date]],19),IF(Main[[#This Row],[Class]]="A",WORKDAY(Main[[#This Row],[Tech Start Date]],9),""))))</f>
        <v/>
      </c>
      <c r="Q247" s="67"/>
      <c r="R247" s="67"/>
      <c r="S247" s="65" t="s">
        <v>11</v>
      </c>
      <c r="T247" s="70" t="s">
        <v>4</v>
      </c>
      <c r="U247" s="65" t="s">
        <v>14</v>
      </c>
      <c r="V247" s="65" t="s">
        <v>1915</v>
      </c>
      <c r="W247" s="65" t="s">
        <v>4</v>
      </c>
      <c r="X247" s="65" t="s">
        <v>2249</v>
      </c>
      <c r="Y247" s="65" t="s">
        <v>4</v>
      </c>
      <c r="Z247" s="65" t="s">
        <v>4</v>
      </c>
      <c r="AA247" s="65" t="s">
        <v>4</v>
      </c>
    </row>
    <row r="248" spans="1:27" ht="17.45" hidden="1" customHeight="1">
      <c r="A248" s="100" t="str">
        <f>IF(priority(Main[[#This Row],[Comments]])&lt;&gt;0, priority(Main[[#This Row],[Comments]]),"")</f>
        <v/>
      </c>
      <c r="B248" s="77" t="s">
        <v>3322</v>
      </c>
      <c r="C248" s="65" t="s">
        <v>4</v>
      </c>
      <c r="D248" s="66" t="s">
        <v>3323</v>
      </c>
      <c r="E248" s="67">
        <v>40938.460057870368</v>
      </c>
      <c r="F248" s="67"/>
      <c r="G248" s="64" t="str">
        <f>IF(stdProdLT(Main[[#This Row],[Comments]])=0.1,"N/A",IF(stdProdLT(Main[[#This Row],[Comments]])=0,"",stdProdLT(Main[[#This Row],[Comments]])))</f>
        <v/>
      </c>
      <c r="H248" s="68" t="str">
        <f>IF(AND(Main[[#This Row],[In Stock Date]]&lt;&gt;"",Main[[#This Row],[Revised Due Date]]&lt;&gt;""),Main[[#This Row],[In Stock Date]]-Main[[#This Row],[Revised Due Date]],"")</f>
        <v/>
      </c>
      <c r="I248" s="65" t="s">
        <v>4</v>
      </c>
      <c r="J248" s="65" t="s">
        <v>4</v>
      </c>
      <c r="K248" s="71" t="s">
        <v>4</v>
      </c>
      <c r="L248" s="67"/>
      <c r="M248" s="69" t="str">
        <f>IF(Main[[#This Row],[Tech Start Date]]&lt;1/1/1990,"",IF(Main[[#This Row],[Class]]="C",WORKDAY(Main[[#This Row],[Tech Start Date]],9),IF(Main[[#This Row],[Class]]="B", WORKDAY(Main[[#This Row],[Tech Start Date]],6),IF(Main[[#This Row],[Class]]="A",WORKDAY(Main[[#This Row],[Tech Start Date]],2),""))))</f>
        <v/>
      </c>
      <c r="N248" s="69" t="str">
        <f>IF(Main[[#This Row],[Tech Start Date]]&lt;1/1/1990,"",IF(Main[[#This Row],[Class]]="C",WORKDAY(Main[[#This Row],[Tech Start Date]],19),IF(Main[[#This Row],[Class]]="B", WORKDAY(Main[[#This Row],[Tech Start Date]],12),IF(Main[[#This Row],[Class]]="A",WORKDAY(Main[[#This Row],[Tech Start Date]],4),""))))</f>
        <v/>
      </c>
      <c r="O248" s="69" t="str">
        <f>IF(Main[[#This Row],[Tech Start Date]]&lt;1/1/1990,"",IF(Main[[#This Row],[Class]]="C",WORKDAY(Main[[#This Row],[Tech Start Date]],23),IF(Main[[#This Row],[Class]]="B", WORKDAY(Main[[#This Row],[Tech Start Date]],15),IF(Main[[#This Row],[Class]]="A",WORKDAY(Main[[#This Row],[Tech Start Date]],5),""))))</f>
        <v/>
      </c>
      <c r="P248" s="69" t="str">
        <f>IF(Main[[#This Row],[Tech Start Date]]&lt;1/1/1990,"",IF(Main[[#This Row],[Class]]="C",WORKDAY(Main[[#This Row],[Tech Start Date]],28),IF(Main[[#This Row],[Class]]="B", WORKDAY(Main[[#This Row],[Tech Start Date]],19),IF(Main[[#This Row],[Class]]="A",WORKDAY(Main[[#This Row],[Tech Start Date]],9),""))))</f>
        <v/>
      </c>
      <c r="Q248" s="67"/>
      <c r="R248" s="67"/>
      <c r="S248" s="65" t="s">
        <v>6</v>
      </c>
      <c r="T248" s="70" t="s">
        <v>4</v>
      </c>
      <c r="U248" s="65" t="s">
        <v>7</v>
      </c>
      <c r="V248" s="65" t="s">
        <v>1929</v>
      </c>
      <c r="W248" s="65" t="s">
        <v>1918</v>
      </c>
      <c r="X248" s="65" t="s">
        <v>922</v>
      </c>
      <c r="Y248" s="65" t="s">
        <v>2982</v>
      </c>
      <c r="Z248" s="65" t="s">
        <v>4</v>
      </c>
      <c r="AA248" s="65" t="s">
        <v>922</v>
      </c>
    </row>
    <row r="249" spans="1:27" ht="17.45" hidden="1" customHeight="1">
      <c r="A249" s="100" t="str">
        <f>IF(priority(Main[[#This Row],[Comments]])&lt;&gt;0, priority(Main[[#This Row],[Comments]]),"")</f>
        <v/>
      </c>
      <c r="B249" s="77" t="s">
        <v>1836</v>
      </c>
      <c r="C249" s="65" t="s">
        <v>891</v>
      </c>
      <c r="D249" s="66" t="s">
        <v>892</v>
      </c>
      <c r="E249" s="67"/>
      <c r="F249" s="67"/>
      <c r="G249" s="64" t="str">
        <f>IF(stdProdLT(Main[[#This Row],[Comments]])=0.1,"N/A",IF(stdProdLT(Main[[#This Row],[Comments]])=0,"",stdProdLT(Main[[#This Row],[Comments]])))</f>
        <v/>
      </c>
      <c r="H249" s="68" t="str">
        <f>IF(AND(Main[[#This Row],[In Stock Date]]&lt;&gt;"",Main[[#This Row],[Revised Due Date]]&lt;&gt;""),Main[[#This Row],[In Stock Date]]-Main[[#This Row],[Revised Due Date]],"")</f>
        <v/>
      </c>
      <c r="I249" s="65" t="s">
        <v>4</v>
      </c>
      <c r="J249" s="65" t="s">
        <v>4</v>
      </c>
      <c r="K249" s="65" t="s">
        <v>1927</v>
      </c>
      <c r="L249" s="67"/>
      <c r="M249" s="69" t="str">
        <f>IF(Main[[#This Row],[Tech Start Date]]&lt;1/1/1990,"",IF(Main[[#This Row],[Class]]="C",WORKDAY(Main[[#This Row],[Tech Start Date]],9),IF(Main[[#This Row],[Class]]="B", WORKDAY(Main[[#This Row],[Tech Start Date]],6),IF(Main[[#This Row],[Class]]="A",WORKDAY(Main[[#This Row],[Tech Start Date]],2),""))))</f>
        <v/>
      </c>
      <c r="N249" s="69" t="str">
        <f>IF(Main[[#This Row],[Tech Start Date]]&lt;1/1/1990,"",IF(Main[[#This Row],[Class]]="C",WORKDAY(Main[[#This Row],[Tech Start Date]],19),IF(Main[[#This Row],[Class]]="B", WORKDAY(Main[[#This Row],[Tech Start Date]],12),IF(Main[[#This Row],[Class]]="A",WORKDAY(Main[[#This Row],[Tech Start Date]],4),""))))</f>
        <v/>
      </c>
      <c r="O249" s="69" t="str">
        <f>IF(Main[[#This Row],[Tech Start Date]]&lt;1/1/1990,"",IF(Main[[#This Row],[Class]]="C",WORKDAY(Main[[#This Row],[Tech Start Date]],23),IF(Main[[#This Row],[Class]]="B", WORKDAY(Main[[#This Row],[Tech Start Date]],15),IF(Main[[#This Row],[Class]]="A",WORKDAY(Main[[#This Row],[Tech Start Date]],5),""))))</f>
        <v/>
      </c>
      <c r="P249" s="69" t="str">
        <f>IF(Main[[#This Row],[Tech Start Date]]&lt;1/1/1990,"",IF(Main[[#This Row],[Class]]="C",WORKDAY(Main[[#This Row],[Tech Start Date]],28),IF(Main[[#This Row],[Class]]="B", WORKDAY(Main[[#This Row],[Tech Start Date]],19),IF(Main[[#This Row],[Class]]="A",WORKDAY(Main[[#This Row],[Tech Start Date]],9),""))))</f>
        <v/>
      </c>
      <c r="Q249" s="67">
        <v>40436</v>
      </c>
      <c r="R249" s="67">
        <v>40436</v>
      </c>
      <c r="S249" s="65" t="s">
        <v>11</v>
      </c>
      <c r="T249" s="70" t="s">
        <v>4</v>
      </c>
      <c r="U249" s="65" t="s">
        <v>14</v>
      </c>
      <c r="V249" s="65" t="s">
        <v>1915</v>
      </c>
      <c r="W249" s="65" t="s">
        <v>1916</v>
      </c>
      <c r="X249" s="65" t="s">
        <v>2854</v>
      </c>
      <c r="Y249" s="65" t="s">
        <v>4</v>
      </c>
      <c r="Z249" s="65" t="s">
        <v>4</v>
      </c>
      <c r="AA249" s="65" t="s">
        <v>2854</v>
      </c>
    </row>
    <row r="250" spans="1:27" ht="17.45" hidden="1" customHeight="1">
      <c r="A250" s="100" t="str">
        <f>IF(priority(Main[[#This Row],[Comments]])&lt;&gt;0, priority(Main[[#This Row],[Comments]]),"")</f>
        <v/>
      </c>
      <c r="B250" s="77" t="s">
        <v>1230</v>
      </c>
      <c r="C250" s="65" t="s">
        <v>113</v>
      </c>
      <c r="D250" s="66" t="s">
        <v>292</v>
      </c>
      <c r="E250" s="67"/>
      <c r="F250" s="67">
        <v>40193</v>
      </c>
      <c r="G250" s="64" t="str">
        <f>IF(stdProdLT(Main[[#This Row],[Comments]])=0.1,"N/A",IF(stdProdLT(Main[[#This Row],[Comments]])=0,"",stdProdLT(Main[[#This Row],[Comments]])))</f>
        <v/>
      </c>
      <c r="H250" s="68" t="str">
        <f>IF(AND(Main[[#This Row],[In Stock Date]]&lt;&gt;"",Main[[#This Row],[Revised Due Date]]&lt;&gt;""),Main[[#This Row],[In Stock Date]]-Main[[#This Row],[Revised Due Date]],"")</f>
        <v/>
      </c>
      <c r="I250" s="65" t="s">
        <v>4</v>
      </c>
      <c r="J250" s="65" t="s">
        <v>4</v>
      </c>
      <c r="K250" s="65" t="s">
        <v>4</v>
      </c>
      <c r="L250" s="67"/>
      <c r="M250" s="69" t="str">
        <f>IF(Main[[#This Row],[Tech Start Date]]&lt;1/1/1990,"",IF(Main[[#This Row],[Class]]="C",WORKDAY(Main[[#This Row],[Tech Start Date]],9),IF(Main[[#This Row],[Class]]="B", WORKDAY(Main[[#This Row],[Tech Start Date]],6),IF(Main[[#This Row],[Class]]="A",WORKDAY(Main[[#This Row],[Tech Start Date]],2),""))))</f>
        <v/>
      </c>
      <c r="N250" s="69" t="str">
        <f>IF(Main[[#This Row],[Tech Start Date]]&lt;1/1/1990,"",IF(Main[[#This Row],[Class]]="C",WORKDAY(Main[[#This Row],[Tech Start Date]],19),IF(Main[[#This Row],[Class]]="B", WORKDAY(Main[[#This Row],[Tech Start Date]],12),IF(Main[[#This Row],[Class]]="A",WORKDAY(Main[[#This Row],[Tech Start Date]],4),""))))</f>
        <v/>
      </c>
      <c r="O250" s="69" t="str">
        <f>IF(Main[[#This Row],[Tech Start Date]]&lt;1/1/1990,"",IF(Main[[#This Row],[Class]]="C",WORKDAY(Main[[#This Row],[Tech Start Date]],23),IF(Main[[#This Row],[Class]]="B", WORKDAY(Main[[#This Row],[Tech Start Date]],15),IF(Main[[#This Row],[Class]]="A",WORKDAY(Main[[#This Row],[Tech Start Date]],5),""))))</f>
        <v/>
      </c>
      <c r="P250" s="69" t="str">
        <f>IF(Main[[#This Row],[Tech Start Date]]&lt;1/1/1990,"",IF(Main[[#This Row],[Class]]="C",WORKDAY(Main[[#This Row],[Tech Start Date]],28),IF(Main[[#This Row],[Class]]="B", WORKDAY(Main[[#This Row],[Tech Start Date]],19),IF(Main[[#This Row],[Class]]="A",WORKDAY(Main[[#This Row],[Tech Start Date]],9),""))))</f>
        <v/>
      </c>
      <c r="Q250" s="67"/>
      <c r="R250" s="67"/>
      <c r="S250" s="65" t="s">
        <v>11</v>
      </c>
      <c r="T250" s="70" t="s">
        <v>4</v>
      </c>
      <c r="U250" s="65" t="s">
        <v>14</v>
      </c>
      <c r="V250" s="65" t="s">
        <v>1924</v>
      </c>
      <c r="W250" s="65" t="s">
        <v>1920</v>
      </c>
      <c r="X250" s="65" t="s">
        <v>2844</v>
      </c>
      <c r="Y250" s="65" t="s">
        <v>2977</v>
      </c>
      <c r="Z250" s="65" t="s">
        <v>4</v>
      </c>
      <c r="AA250" s="65" t="s">
        <v>2844</v>
      </c>
    </row>
    <row r="251" spans="1:27" ht="17.45" hidden="1" customHeight="1">
      <c r="A251" s="100" t="str">
        <f>IF(priority(Main[[#This Row],[Comments]])&lt;&gt;0, priority(Main[[#This Row],[Comments]]),"")</f>
        <v/>
      </c>
      <c r="B251" s="77" t="s">
        <v>1231</v>
      </c>
      <c r="C251" s="65" t="s">
        <v>4</v>
      </c>
      <c r="D251" s="66" t="s">
        <v>293</v>
      </c>
      <c r="E251" s="67"/>
      <c r="F251" s="67"/>
      <c r="G251" s="64" t="str">
        <f>IF(stdProdLT(Main[[#This Row],[Comments]])=0.1,"N/A",IF(stdProdLT(Main[[#This Row],[Comments]])=0,"",stdProdLT(Main[[#This Row],[Comments]])))</f>
        <v/>
      </c>
      <c r="H251" s="68" t="str">
        <f>IF(AND(Main[[#This Row],[In Stock Date]]&lt;&gt;"",Main[[#This Row],[Revised Due Date]]&lt;&gt;""),Main[[#This Row],[In Stock Date]]-Main[[#This Row],[Revised Due Date]],"")</f>
        <v/>
      </c>
      <c r="I251" s="65" t="s">
        <v>4</v>
      </c>
      <c r="J251" s="65" t="s">
        <v>28</v>
      </c>
      <c r="K251" s="71" t="s">
        <v>4</v>
      </c>
      <c r="L251" s="67"/>
      <c r="M251" s="69" t="str">
        <f>IF(Main[[#This Row],[Tech Start Date]]&lt;1/1/1990,"",IF(Main[[#This Row],[Class]]="C",WORKDAY(Main[[#This Row],[Tech Start Date]],9),IF(Main[[#This Row],[Class]]="B", WORKDAY(Main[[#This Row],[Tech Start Date]],6),IF(Main[[#This Row],[Class]]="A",WORKDAY(Main[[#This Row],[Tech Start Date]],2),""))))</f>
        <v/>
      </c>
      <c r="N251" s="69" t="str">
        <f>IF(Main[[#This Row],[Tech Start Date]]&lt;1/1/1990,"",IF(Main[[#This Row],[Class]]="C",WORKDAY(Main[[#This Row],[Tech Start Date]],19),IF(Main[[#This Row],[Class]]="B", WORKDAY(Main[[#This Row],[Tech Start Date]],12),IF(Main[[#This Row],[Class]]="A",WORKDAY(Main[[#This Row],[Tech Start Date]],4),""))))</f>
        <v/>
      </c>
      <c r="O251" s="69" t="str">
        <f>IF(Main[[#This Row],[Tech Start Date]]&lt;1/1/1990,"",IF(Main[[#This Row],[Class]]="C",WORKDAY(Main[[#This Row],[Tech Start Date]],23),IF(Main[[#This Row],[Class]]="B", WORKDAY(Main[[#This Row],[Tech Start Date]],15),IF(Main[[#This Row],[Class]]="A",WORKDAY(Main[[#This Row],[Tech Start Date]],5),""))))</f>
        <v/>
      </c>
      <c r="P251" s="69" t="str">
        <f>IF(Main[[#This Row],[Tech Start Date]]&lt;1/1/1990,"",IF(Main[[#This Row],[Class]]="C",WORKDAY(Main[[#This Row],[Tech Start Date]],28),IF(Main[[#This Row],[Class]]="B", WORKDAY(Main[[#This Row],[Tech Start Date]],19),IF(Main[[#This Row],[Class]]="A",WORKDAY(Main[[#This Row],[Tech Start Date]],9),""))))</f>
        <v/>
      </c>
      <c r="Q251" s="67">
        <v>40471</v>
      </c>
      <c r="R251" s="67"/>
      <c r="S251" s="65" t="s">
        <v>6</v>
      </c>
      <c r="T251" s="70" t="s">
        <v>4</v>
      </c>
      <c r="U251" s="65" t="s">
        <v>14</v>
      </c>
      <c r="V251" s="65" t="s">
        <v>1924</v>
      </c>
      <c r="W251" s="65" t="s">
        <v>1916</v>
      </c>
      <c r="X251" s="65" t="s">
        <v>2847</v>
      </c>
      <c r="Y251" s="65" t="s">
        <v>2978</v>
      </c>
      <c r="Z251" s="65" t="s">
        <v>530</v>
      </c>
      <c r="AA251" s="65" t="s">
        <v>2847</v>
      </c>
    </row>
    <row r="252" spans="1:27" ht="17.45" hidden="1" customHeight="1">
      <c r="A252" s="100" t="str">
        <f>IF(priority(Main[[#This Row],[Comments]])&lt;&gt;0, priority(Main[[#This Row],[Comments]]),"")</f>
        <v/>
      </c>
      <c r="B252" s="77" t="s">
        <v>1232</v>
      </c>
      <c r="C252" s="65" t="s">
        <v>4</v>
      </c>
      <c r="D252" s="66" t="s">
        <v>97</v>
      </c>
      <c r="E252" s="67"/>
      <c r="F252" s="67"/>
      <c r="G252" s="64" t="str">
        <f>IF(stdProdLT(Main[[#This Row],[Comments]])=0.1,"N/A",IF(stdProdLT(Main[[#This Row],[Comments]])=0,"",stdProdLT(Main[[#This Row],[Comments]])))</f>
        <v/>
      </c>
      <c r="H252" s="68" t="str">
        <f>IF(AND(Main[[#This Row],[In Stock Date]]&lt;&gt;"",Main[[#This Row],[Revised Due Date]]&lt;&gt;""),Main[[#This Row],[In Stock Date]]-Main[[#This Row],[Revised Due Date]],"")</f>
        <v/>
      </c>
      <c r="I252" s="65" t="s">
        <v>4</v>
      </c>
      <c r="J252" s="65" t="s">
        <v>4</v>
      </c>
      <c r="K252" s="65" t="s">
        <v>4</v>
      </c>
      <c r="L252" s="67"/>
      <c r="M252" s="69" t="str">
        <f>IF(Main[[#This Row],[Tech Start Date]]&lt;1/1/1990,"",IF(Main[[#This Row],[Class]]="C",WORKDAY(Main[[#This Row],[Tech Start Date]],9),IF(Main[[#This Row],[Class]]="B", WORKDAY(Main[[#This Row],[Tech Start Date]],6),IF(Main[[#This Row],[Class]]="A",WORKDAY(Main[[#This Row],[Tech Start Date]],2),""))))</f>
        <v/>
      </c>
      <c r="N252" s="69" t="str">
        <f>IF(Main[[#This Row],[Tech Start Date]]&lt;1/1/1990,"",IF(Main[[#This Row],[Class]]="C",WORKDAY(Main[[#This Row],[Tech Start Date]],19),IF(Main[[#This Row],[Class]]="B", WORKDAY(Main[[#This Row],[Tech Start Date]],12),IF(Main[[#This Row],[Class]]="A",WORKDAY(Main[[#This Row],[Tech Start Date]],4),""))))</f>
        <v/>
      </c>
      <c r="O252" s="69" t="str">
        <f>IF(Main[[#This Row],[Tech Start Date]]&lt;1/1/1990,"",IF(Main[[#This Row],[Class]]="C",WORKDAY(Main[[#This Row],[Tech Start Date]],23),IF(Main[[#This Row],[Class]]="B", WORKDAY(Main[[#This Row],[Tech Start Date]],15),IF(Main[[#This Row],[Class]]="A",WORKDAY(Main[[#This Row],[Tech Start Date]],5),""))))</f>
        <v/>
      </c>
      <c r="P252" s="69" t="str">
        <f>IF(Main[[#This Row],[Tech Start Date]]&lt;1/1/1990,"",IF(Main[[#This Row],[Class]]="C",WORKDAY(Main[[#This Row],[Tech Start Date]],28),IF(Main[[#This Row],[Class]]="B", WORKDAY(Main[[#This Row],[Tech Start Date]],19),IF(Main[[#This Row],[Class]]="A",WORKDAY(Main[[#This Row],[Tech Start Date]],9),""))))</f>
        <v/>
      </c>
      <c r="Q252" s="67">
        <v>40858</v>
      </c>
      <c r="R252" s="67"/>
      <c r="S252" s="65" t="s">
        <v>17</v>
      </c>
      <c r="T252" s="70" t="s">
        <v>4</v>
      </c>
      <c r="U252" s="65" t="s">
        <v>14</v>
      </c>
      <c r="V252" s="65" t="s">
        <v>1914</v>
      </c>
      <c r="W252" s="65" t="s">
        <v>1919</v>
      </c>
      <c r="X252" s="65" t="s">
        <v>50</v>
      </c>
      <c r="Y252" s="65" t="s">
        <v>2959</v>
      </c>
      <c r="Z252" s="65" t="s">
        <v>4</v>
      </c>
      <c r="AA252" s="65" t="s">
        <v>2828</v>
      </c>
    </row>
    <row r="253" spans="1:27" ht="17.45" hidden="1" customHeight="1">
      <c r="A253" s="100" t="str">
        <f>IF(priority(Main[[#This Row],[Comments]])&lt;&gt;0, priority(Main[[#This Row],[Comments]]),"")</f>
        <v/>
      </c>
      <c r="B253" s="77" t="s">
        <v>1234</v>
      </c>
      <c r="C253" s="65" t="s">
        <v>4</v>
      </c>
      <c r="D253" s="66" t="s">
        <v>295</v>
      </c>
      <c r="E253" s="67"/>
      <c r="F253" s="67"/>
      <c r="G253" s="64" t="str">
        <f>IF(stdProdLT(Main[[#This Row],[Comments]])=0.1,"N/A",IF(stdProdLT(Main[[#This Row],[Comments]])=0,"",stdProdLT(Main[[#This Row],[Comments]])))</f>
        <v/>
      </c>
      <c r="H253" s="68" t="str">
        <f>IF(AND(Main[[#This Row],[In Stock Date]]&lt;&gt;"",Main[[#This Row],[Revised Due Date]]&lt;&gt;""),Main[[#This Row],[In Stock Date]]-Main[[#This Row],[Revised Due Date]],"")</f>
        <v/>
      </c>
      <c r="I253" s="65" t="s">
        <v>4</v>
      </c>
      <c r="J253" s="65" t="s">
        <v>28</v>
      </c>
      <c r="K253" s="65" t="s">
        <v>4</v>
      </c>
      <c r="L253" s="67"/>
      <c r="M253" s="69" t="str">
        <f>IF(Main[[#This Row],[Tech Start Date]]&lt;1/1/1990,"",IF(Main[[#This Row],[Class]]="C",WORKDAY(Main[[#This Row],[Tech Start Date]],9),IF(Main[[#This Row],[Class]]="B", WORKDAY(Main[[#This Row],[Tech Start Date]],6),IF(Main[[#This Row],[Class]]="A",WORKDAY(Main[[#This Row],[Tech Start Date]],2),""))))</f>
        <v/>
      </c>
      <c r="N253" s="69" t="str">
        <f>IF(Main[[#This Row],[Tech Start Date]]&lt;1/1/1990,"",IF(Main[[#This Row],[Class]]="C",WORKDAY(Main[[#This Row],[Tech Start Date]],19),IF(Main[[#This Row],[Class]]="B", WORKDAY(Main[[#This Row],[Tech Start Date]],12),IF(Main[[#This Row],[Class]]="A",WORKDAY(Main[[#This Row],[Tech Start Date]],4),""))))</f>
        <v/>
      </c>
      <c r="O253" s="69" t="str">
        <f>IF(Main[[#This Row],[Tech Start Date]]&lt;1/1/1990,"",IF(Main[[#This Row],[Class]]="C",WORKDAY(Main[[#This Row],[Tech Start Date]],23),IF(Main[[#This Row],[Class]]="B", WORKDAY(Main[[#This Row],[Tech Start Date]],15),IF(Main[[#This Row],[Class]]="A",WORKDAY(Main[[#This Row],[Tech Start Date]],5),""))))</f>
        <v/>
      </c>
      <c r="P253" s="69" t="str">
        <f>IF(Main[[#This Row],[Tech Start Date]]&lt;1/1/1990,"",IF(Main[[#This Row],[Class]]="C",WORKDAY(Main[[#This Row],[Tech Start Date]],28),IF(Main[[#This Row],[Class]]="B", WORKDAY(Main[[#This Row],[Tech Start Date]],19),IF(Main[[#This Row],[Class]]="A",WORKDAY(Main[[#This Row],[Tech Start Date]],9),""))))</f>
        <v/>
      </c>
      <c r="Q253" s="67">
        <v>40471</v>
      </c>
      <c r="R253" s="67"/>
      <c r="S253" s="65" t="s">
        <v>296</v>
      </c>
      <c r="T253" s="70" t="s">
        <v>4</v>
      </c>
      <c r="U253" s="65" t="s">
        <v>14</v>
      </c>
      <c r="V253" s="65" t="s">
        <v>1924</v>
      </c>
      <c r="W253" s="65" t="s">
        <v>1916</v>
      </c>
      <c r="X253" s="65" t="s">
        <v>2847</v>
      </c>
      <c r="Y253" s="65" t="s">
        <v>2978</v>
      </c>
      <c r="Z253" s="65" t="s">
        <v>530</v>
      </c>
      <c r="AA253" s="65" t="s">
        <v>2847</v>
      </c>
    </row>
    <row r="254" spans="1:27" ht="17.45" hidden="1" customHeight="1">
      <c r="A254" s="100" t="str">
        <f>IF(priority(Main[[#This Row],[Comments]])&lt;&gt;0, priority(Main[[#This Row],[Comments]]),"")</f>
        <v/>
      </c>
      <c r="B254" s="77" t="s">
        <v>1235</v>
      </c>
      <c r="C254" s="65" t="s">
        <v>93</v>
      </c>
      <c r="D254" s="66" t="s">
        <v>297</v>
      </c>
      <c r="E254" s="67"/>
      <c r="F254" s="67">
        <v>40210</v>
      </c>
      <c r="G254" s="64" t="str">
        <f>IF(stdProdLT(Main[[#This Row],[Comments]])=0.1,"N/A",IF(stdProdLT(Main[[#This Row],[Comments]])=0,"",stdProdLT(Main[[#This Row],[Comments]])))</f>
        <v/>
      </c>
      <c r="H254" s="68" t="str">
        <f>IF(AND(Main[[#This Row],[In Stock Date]]&lt;&gt;"",Main[[#This Row],[Revised Due Date]]&lt;&gt;""),Main[[#This Row],[In Stock Date]]-Main[[#This Row],[Revised Due Date]],"")</f>
        <v/>
      </c>
      <c r="I254" s="65" t="s">
        <v>4</v>
      </c>
      <c r="J254" s="65" t="s">
        <v>4</v>
      </c>
      <c r="K254" s="65" t="s">
        <v>4</v>
      </c>
      <c r="L254" s="67"/>
      <c r="M254" s="69" t="str">
        <f>IF(Main[[#This Row],[Tech Start Date]]&lt;1/1/1990,"",IF(Main[[#This Row],[Class]]="C",WORKDAY(Main[[#This Row],[Tech Start Date]],9),IF(Main[[#This Row],[Class]]="B", WORKDAY(Main[[#This Row],[Tech Start Date]],6),IF(Main[[#This Row],[Class]]="A",WORKDAY(Main[[#This Row],[Tech Start Date]],2),""))))</f>
        <v/>
      </c>
      <c r="N254" s="69" t="str">
        <f>IF(Main[[#This Row],[Tech Start Date]]&lt;1/1/1990,"",IF(Main[[#This Row],[Class]]="C",WORKDAY(Main[[#This Row],[Tech Start Date]],19),IF(Main[[#This Row],[Class]]="B", WORKDAY(Main[[#This Row],[Tech Start Date]],12),IF(Main[[#This Row],[Class]]="A",WORKDAY(Main[[#This Row],[Tech Start Date]],4),""))))</f>
        <v/>
      </c>
      <c r="O254" s="69" t="str">
        <f>IF(Main[[#This Row],[Tech Start Date]]&lt;1/1/1990,"",IF(Main[[#This Row],[Class]]="C",WORKDAY(Main[[#This Row],[Tech Start Date]],23),IF(Main[[#This Row],[Class]]="B", WORKDAY(Main[[#This Row],[Tech Start Date]],15),IF(Main[[#This Row],[Class]]="A",WORKDAY(Main[[#This Row],[Tech Start Date]],5),""))))</f>
        <v/>
      </c>
      <c r="P254" s="69" t="str">
        <f>IF(Main[[#This Row],[Tech Start Date]]&lt;1/1/1990,"",IF(Main[[#This Row],[Class]]="C",WORKDAY(Main[[#This Row],[Tech Start Date]],28),IF(Main[[#This Row],[Class]]="B", WORKDAY(Main[[#This Row],[Tech Start Date]],19),IF(Main[[#This Row],[Class]]="A",WORKDAY(Main[[#This Row],[Tech Start Date]],9),""))))</f>
        <v/>
      </c>
      <c r="Q254" s="67">
        <v>40145</v>
      </c>
      <c r="R254" s="67"/>
      <c r="S254" s="65" t="s">
        <v>11</v>
      </c>
      <c r="T254" s="70" t="s">
        <v>4</v>
      </c>
      <c r="U254" s="65" t="s">
        <v>14</v>
      </c>
      <c r="V254" s="65" t="s">
        <v>1914</v>
      </c>
      <c r="W254" s="65" t="s">
        <v>1920</v>
      </c>
      <c r="X254" s="65" t="s">
        <v>2871</v>
      </c>
      <c r="Y254" s="65" t="s">
        <v>4</v>
      </c>
      <c r="Z254" s="65" t="s">
        <v>4</v>
      </c>
      <c r="AA254" s="65" t="s">
        <v>2871</v>
      </c>
    </row>
    <row r="255" spans="1:27" ht="17.45" hidden="1" customHeight="1">
      <c r="A255" s="100" t="str">
        <f>IF(priority(Main[[#This Row],[Comments]])&lt;&gt;0, priority(Main[[#This Row],[Comments]]),"")</f>
        <v/>
      </c>
      <c r="B255" s="77" t="s">
        <v>1236</v>
      </c>
      <c r="C255" s="65" t="s">
        <v>63</v>
      </c>
      <c r="D255" s="66" t="s">
        <v>298</v>
      </c>
      <c r="E255" s="67"/>
      <c r="F255" s="67">
        <v>40513</v>
      </c>
      <c r="G255" s="64" t="str">
        <f>IF(stdProdLT(Main[[#This Row],[Comments]])=0.1,"N/A",IF(stdProdLT(Main[[#This Row],[Comments]])=0,"",stdProdLT(Main[[#This Row],[Comments]])))</f>
        <v/>
      </c>
      <c r="H255" s="68" t="str">
        <f>IF(AND(Main[[#This Row],[In Stock Date]]&lt;&gt;"",Main[[#This Row],[Revised Due Date]]&lt;&gt;""),Main[[#This Row],[In Stock Date]]-Main[[#This Row],[Revised Due Date]],"")</f>
        <v/>
      </c>
      <c r="I255" s="65" t="s">
        <v>65</v>
      </c>
      <c r="J255" s="65" t="s">
        <v>28</v>
      </c>
      <c r="K255" s="65" t="s">
        <v>4</v>
      </c>
      <c r="L255" s="67"/>
      <c r="M255" s="69" t="str">
        <f>IF(Main[[#This Row],[Tech Start Date]]&lt;1/1/1990,"",IF(Main[[#This Row],[Class]]="C",WORKDAY(Main[[#This Row],[Tech Start Date]],9),IF(Main[[#This Row],[Class]]="B", WORKDAY(Main[[#This Row],[Tech Start Date]],6),IF(Main[[#This Row],[Class]]="A",WORKDAY(Main[[#This Row],[Tech Start Date]],2),""))))</f>
        <v/>
      </c>
      <c r="N255" s="69" t="str">
        <f>IF(Main[[#This Row],[Tech Start Date]]&lt;1/1/1990,"",IF(Main[[#This Row],[Class]]="C",WORKDAY(Main[[#This Row],[Tech Start Date]],19),IF(Main[[#This Row],[Class]]="B", WORKDAY(Main[[#This Row],[Tech Start Date]],12),IF(Main[[#This Row],[Class]]="A",WORKDAY(Main[[#This Row],[Tech Start Date]],4),""))))</f>
        <v/>
      </c>
      <c r="O255" s="69" t="str">
        <f>IF(Main[[#This Row],[Tech Start Date]]&lt;1/1/1990,"",IF(Main[[#This Row],[Class]]="C",WORKDAY(Main[[#This Row],[Tech Start Date]],23),IF(Main[[#This Row],[Class]]="B", WORKDAY(Main[[#This Row],[Tech Start Date]],15),IF(Main[[#This Row],[Class]]="A",WORKDAY(Main[[#This Row],[Tech Start Date]],5),""))))</f>
        <v/>
      </c>
      <c r="P255" s="69" t="str">
        <f>IF(Main[[#This Row],[Tech Start Date]]&lt;1/1/1990,"",IF(Main[[#This Row],[Class]]="C",WORKDAY(Main[[#This Row],[Tech Start Date]],28),IF(Main[[#This Row],[Class]]="B", WORKDAY(Main[[#This Row],[Tech Start Date]],19),IF(Main[[#This Row],[Class]]="A",WORKDAY(Main[[#This Row],[Tech Start Date]],9),""))))</f>
        <v/>
      </c>
      <c r="Q255" s="67">
        <v>40513</v>
      </c>
      <c r="R255" s="67"/>
      <c r="S255" s="65" t="s">
        <v>11</v>
      </c>
      <c r="T255" s="70" t="s">
        <v>4</v>
      </c>
      <c r="U255" s="65" t="s">
        <v>14</v>
      </c>
      <c r="V255" s="65" t="s">
        <v>1917</v>
      </c>
      <c r="W255" s="65" t="s">
        <v>1922</v>
      </c>
      <c r="X255" s="65" t="s">
        <v>2815</v>
      </c>
      <c r="Y255" s="65" t="s">
        <v>2927</v>
      </c>
      <c r="Z255" s="65" t="s">
        <v>530</v>
      </c>
      <c r="AA255" s="65" t="s">
        <v>2815</v>
      </c>
    </row>
    <row r="256" spans="1:27" ht="17.45" hidden="1" customHeight="1">
      <c r="A256" s="100" t="str">
        <f>IF(priority(Main[[#This Row],[Comments]])&lt;&gt;0, priority(Main[[#This Row],[Comments]]),"")</f>
        <v/>
      </c>
      <c r="B256" s="77" t="s">
        <v>1237</v>
      </c>
      <c r="C256" s="65" t="s">
        <v>4</v>
      </c>
      <c r="D256" s="66" t="s">
        <v>300</v>
      </c>
      <c r="E256" s="67"/>
      <c r="F256" s="67"/>
      <c r="G256" s="64" t="str">
        <f>IF(stdProdLT(Main[[#This Row],[Comments]])=0.1,"N/A",IF(stdProdLT(Main[[#This Row],[Comments]])=0,"",stdProdLT(Main[[#This Row],[Comments]])))</f>
        <v/>
      </c>
      <c r="H256" s="68" t="str">
        <f>IF(AND(Main[[#This Row],[In Stock Date]]&lt;&gt;"",Main[[#This Row],[Revised Due Date]]&lt;&gt;""),Main[[#This Row],[In Stock Date]]-Main[[#This Row],[Revised Due Date]],"")</f>
        <v/>
      </c>
      <c r="I256" s="65" t="s">
        <v>4</v>
      </c>
      <c r="J256" s="65" t="s">
        <v>28</v>
      </c>
      <c r="K256" s="71" t="s">
        <v>1923</v>
      </c>
      <c r="L256" s="67"/>
      <c r="M256" s="69" t="str">
        <f>IF(Main[[#This Row],[Tech Start Date]]&lt;1/1/1990,"",IF(Main[[#This Row],[Class]]="C",WORKDAY(Main[[#This Row],[Tech Start Date]],9),IF(Main[[#This Row],[Class]]="B", WORKDAY(Main[[#This Row],[Tech Start Date]],6),IF(Main[[#This Row],[Class]]="A",WORKDAY(Main[[#This Row],[Tech Start Date]],2),""))))</f>
        <v/>
      </c>
      <c r="N256" s="69" t="str">
        <f>IF(Main[[#This Row],[Tech Start Date]]&lt;1/1/1990,"",IF(Main[[#This Row],[Class]]="C",WORKDAY(Main[[#This Row],[Tech Start Date]],19),IF(Main[[#This Row],[Class]]="B", WORKDAY(Main[[#This Row],[Tech Start Date]],12),IF(Main[[#This Row],[Class]]="A",WORKDAY(Main[[#This Row],[Tech Start Date]],4),""))))</f>
        <v/>
      </c>
      <c r="O256" s="69" t="str">
        <f>IF(Main[[#This Row],[Tech Start Date]]&lt;1/1/1990,"",IF(Main[[#This Row],[Class]]="C",WORKDAY(Main[[#This Row],[Tech Start Date]],23),IF(Main[[#This Row],[Class]]="B", WORKDAY(Main[[#This Row],[Tech Start Date]],15),IF(Main[[#This Row],[Class]]="A",WORKDAY(Main[[#This Row],[Tech Start Date]],5),""))))</f>
        <v/>
      </c>
      <c r="P256" s="69" t="str">
        <f>IF(Main[[#This Row],[Tech Start Date]]&lt;1/1/1990,"",IF(Main[[#This Row],[Class]]="C",WORKDAY(Main[[#This Row],[Tech Start Date]],28),IF(Main[[#This Row],[Class]]="B", WORKDAY(Main[[#This Row],[Tech Start Date]],19),IF(Main[[#This Row],[Class]]="A",WORKDAY(Main[[#This Row],[Tech Start Date]],9),""))))</f>
        <v/>
      </c>
      <c r="Q256" s="67">
        <v>40661</v>
      </c>
      <c r="R256" s="67"/>
      <c r="S256" s="65" t="s">
        <v>6</v>
      </c>
      <c r="T256" s="70" t="s">
        <v>4</v>
      </c>
      <c r="U256" s="65" t="s">
        <v>14</v>
      </c>
      <c r="V256" s="65" t="s">
        <v>1917</v>
      </c>
      <c r="W256" s="65" t="s">
        <v>1918</v>
      </c>
      <c r="X256" s="65" t="s">
        <v>2822</v>
      </c>
      <c r="Y256" s="65" t="s">
        <v>2938</v>
      </c>
      <c r="Z256" s="65" t="s">
        <v>530</v>
      </c>
      <c r="AA256" s="65" t="s">
        <v>2822</v>
      </c>
    </row>
    <row r="257" spans="1:27" ht="17.45" hidden="1" customHeight="1">
      <c r="A257" s="100" t="str">
        <f>IF(priority(Main[[#This Row],[Comments]])&lt;&gt;0, priority(Main[[#This Row],[Comments]]),"")</f>
        <v/>
      </c>
      <c r="B257" s="77" t="s">
        <v>1238</v>
      </c>
      <c r="C257" s="65" t="s">
        <v>4</v>
      </c>
      <c r="D257" s="66" t="s">
        <v>301</v>
      </c>
      <c r="E257" s="67"/>
      <c r="F257" s="67"/>
      <c r="G257" s="64" t="str">
        <f>IF(stdProdLT(Main[[#This Row],[Comments]])=0.1,"N/A",IF(stdProdLT(Main[[#This Row],[Comments]])=0,"",stdProdLT(Main[[#This Row],[Comments]])))</f>
        <v/>
      </c>
      <c r="H257" s="68" t="str">
        <f>IF(AND(Main[[#This Row],[In Stock Date]]&lt;&gt;"",Main[[#This Row],[Revised Due Date]]&lt;&gt;""),Main[[#This Row],[In Stock Date]]-Main[[#This Row],[Revised Due Date]],"")</f>
        <v/>
      </c>
      <c r="I257" s="65" t="s">
        <v>4</v>
      </c>
      <c r="J257" s="65" t="s">
        <v>4</v>
      </c>
      <c r="K257" s="65" t="s">
        <v>4</v>
      </c>
      <c r="L257" s="67"/>
      <c r="M257" s="69" t="str">
        <f>IF(Main[[#This Row],[Tech Start Date]]&lt;1/1/1990,"",IF(Main[[#This Row],[Class]]="C",WORKDAY(Main[[#This Row],[Tech Start Date]],9),IF(Main[[#This Row],[Class]]="B", WORKDAY(Main[[#This Row],[Tech Start Date]],6),IF(Main[[#This Row],[Class]]="A",WORKDAY(Main[[#This Row],[Tech Start Date]],2),""))))</f>
        <v/>
      </c>
      <c r="N257" s="69" t="str">
        <f>IF(Main[[#This Row],[Tech Start Date]]&lt;1/1/1990,"",IF(Main[[#This Row],[Class]]="C",WORKDAY(Main[[#This Row],[Tech Start Date]],19),IF(Main[[#This Row],[Class]]="B", WORKDAY(Main[[#This Row],[Tech Start Date]],12),IF(Main[[#This Row],[Class]]="A",WORKDAY(Main[[#This Row],[Tech Start Date]],4),""))))</f>
        <v/>
      </c>
      <c r="O257" s="69" t="str">
        <f>IF(Main[[#This Row],[Tech Start Date]]&lt;1/1/1990,"",IF(Main[[#This Row],[Class]]="C",WORKDAY(Main[[#This Row],[Tech Start Date]],23),IF(Main[[#This Row],[Class]]="B", WORKDAY(Main[[#This Row],[Tech Start Date]],15),IF(Main[[#This Row],[Class]]="A",WORKDAY(Main[[#This Row],[Tech Start Date]],5),""))))</f>
        <v/>
      </c>
      <c r="P257" s="69" t="str">
        <f>IF(Main[[#This Row],[Tech Start Date]]&lt;1/1/1990,"",IF(Main[[#This Row],[Class]]="C",WORKDAY(Main[[#This Row],[Tech Start Date]],28),IF(Main[[#This Row],[Class]]="B", WORKDAY(Main[[#This Row],[Tech Start Date]],19),IF(Main[[#This Row],[Class]]="A",WORKDAY(Main[[#This Row],[Tech Start Date]],9),""))))</f>
        <v/>
      </c>
      <c r="Q257" s="67">
        <v>40287</v>
      </c>
      <c r="R257" s="67"/>
      <c r="S257" s="65" t="s">
        <v>11</v>
      </c>
      <c r="T257" s="70" t="s">
        <v>4</v>
      </c>
      <c r="U257" s="65" t="s">
        <v>14</v>
      </c>
      <c r="V257" s="65" t="s">
        <v>1914</v>
      </c>
      <c r="W257" s="65" t="s">
        <v>1920</v>
      </c>
      <c r="X257" s="65" t="s">
        <v>883</v>
      </c>
      <c r="Y257" s="65" t="s">
        <v>2963</v>
      </c>
      <c r="Z257" s="65" t="s">
        <v>4</v>
      </c>
      <c r="AA257" s="65" t="s">
        <v>883</v>
      </c>
    </row>
    <row r="258" spans="1:27" ht="17.45" hidden="1" customHeight="1">
      <c r="A258" s="100" t="str">
        <f>IF(priority(Main[[#This Row],[Comments]])&lt;&gt;0, priority(Main[[#This Row],[Comments]]),"")</f>
        <v/>
      </c>
      <c r="B258" s="77" t="s">
        <v>1239</v>
      </c>
      <c r="C258" s="65" t="s">
        <v>93</v>
      </c>
      <c r="D258" s="66" t="s">
        <v>302</v>
      </c>
      <c r="E258" s="67"/>
      <c r="F258" s="67">
        <v>40210</v>
      </c>
      <c r="G258" s="64" t="str">
        <f>IF(stdProdLT(Main[[#This Row],[Comments]])=0.1,"N/A",IF(stdProdLT(Main[[#This Row],[Comments]])=0,"",stdProdLT(Main[[#This Row],[Comments]])))</f>
        <v/>
      </c>
      <c r="H258" s="68" t="str">
        <f>IF(AND(Main[[#This Row],[In Stock Date]]&lt;&gt;"",Main[[#This Row],[Revised Due Date]]&lt;&gt;""),Main[[#This Row],[In Stock Date]]-Main[[#This Row],[Revised Due Date]],"")</f>
        <v/>
      </c>
      <c r="I258" s="65" t="s">
        <v>4</v>
      </c>
      <c r="J258" s="65" t="s">
        <v>4</v>
      </c>
      <c r="K258" s="65" t="s">
        <v>4</v>
      </c>
      <c r="L258" s="67"/>
      <c r="M258" s="69" t="str">
        <f>IF(Main[[#This Row],[Tech Start Date]]&lt;1/1/1990,"",IF(Main[[#This Row],[Class]]="C",WORKDAY(Main[[#This Row],[Tech Start Date]],9),IF(Main[[#This Row],[Class]]="B", WORKDAY(Main[[#This Row],[Tech Start Date]],6),IF(Main[[#This Row],[Class]]="A",WORKDAY(Main[[#This Row],[Tech Start Date]],2),""))))</f>
        <v/>
      </c>
      <c r="N258" s="69" t="str">
        <f>IF(Main[[#This Row],[Tech Start Date]]&lt;1/1/1990,"",IF(Main[[#This Row],[Class]]="C",WORKDAY(Main[[#This Row],[Tech Start Date]],19),IF(Main[[#This Row],[Class]]="B", WORKDAY(Main[[#This Row],[Tech Start Date]],12),IF(Main[[#This Row],[Class]]="A",WORKDAY(Main[[#This Row],[Tech Start Date]],4),""))))</f>
        <v/>
      </c>
      <c r="O258" s="69" t="str">
        <f>IF(Main[[#This Row],[Tech Start Date]]&lt;1/1/1990,"",IF(Main[[#This Row],[Class]]="C",WORKDAY(Main[[#This Row],[Tech Start Date]],23),IF(Main[[#This Row],[Class]]="B", WORKDAY(Main[[#This Row],[Tech Start Date]],15),IF(Main[[#This Row],[Class]]="A",WORKDAY(Main[[#This Row],[Tech Start Date]],5),""))))</f>
        <v/>
      </c>
      <c r="P258" s="69" t="str">
        <f>IF(Main[[#This Row],[Tech Start Date]]&lt;1/1/1990,"",IF(Main[[#This Row],[Class]]="C",WORKDAY(Main[[#This Row],[Tech Start Date]],28),IF(Main[[#This Row],[Class]]="B", WORKDAY(Main[[#This Row],[Tech Start Date]],19),IF(Main[[#This Row],[Class]]="A",WORKDAY(Main[[#This Row],[Tech Start Date]],9),""))))</f>
        <v/>
      </c>
      <c r="Q258" s="67">
        <v>40210</v>
      </c>
      <c r="R258" s="67"/>
      <c r="S258" s="65" t="s">
        <v>11</v>
      </c>
      <c r="T258" s="70" t="s">
        <v>4</v>
      </c>
      <c r="U258" s="65" t="s">
        <v>12</v>
      </c>
      <c r="V258" s="65" t="s">
        <v>1924</v>
      </c>
      <c r="W258" s="65" t="s">
        <v>1925</v>
      </c>
      <c r="X258" s="65" t="s">
        <v>2845</v>
      </c>
      <c r="Y258" s="65" t="s">
        <v>4</v>
      </c>
      <c r="Z258" s="65" t="s">
        <v>4</v>
      </c>
      <c r="AA258" s="65" t="s">
        <v>2845</v>
      </c>
    </row>
    <row r="259" spans="1:27" ht="17.45" hidden="1" customHeight="1">
      <c r="A259" s="100" t="str">
        <f>IF(priority(Main[[#This Row],[Comments]])&lt;&gt;0, priority(Main[[#This Row],[Comments]]),"")</f>
        <v/>
      </c>
      <c r="B259" s="77" t="s">
        <v>2710</v>
      </c>
      <c r="C259" s="65" t="s">
        <v>4</v>
      </c>
      <c r="D259" s="66" t="s">
        <v>2711</v>
      </c>
      <c r="E259" s="67">
        <v>40897.76525462963</v>
      </c>
      <c r="F259" s="67"/>
      <c r="G259" s="64" t="str">
        <f>IF(stdProdLT(Main[[#This Row],[Comments]])=0.1,"N/A",IF(stdProdLT(Main[[#This Row],[Comments]])=0,"",stdProdLT(Main[[#This Row],[Comments]])))</f>
        <v/>
      </c>
      <c r="H259" s="68" t="str">
        <f>IF(AND(Main[[#This Row],[In Stock Date]]&lt;&gt;"",Main[[#This Row],[Revised Due Date]]&lt;&gt;""),Main[[#This Row],[In Stock Date]]-Main[[#This Row],[Revised Due Date]],"")</f>
        <v/>
      </c>
      <c r="I259" s="65" t="s">
        <v>4</v>
      </c>
      <c r="J259" s="65" t="s">
        <v>4</v>
      </c>
      <c r="K259" s="71" t="s">
        <v>4</v>
      </c>
      <c r="L259" s="67"/>
      <c r="M259" s="69" t="str">
        <f>IF(Main[[#This Row],[Tech Start Date]]&lt;1/1/1990,"",IF(Main[[#This Row],[Class]]="C",WORKDAY(Main[[#This Row],[Tech Start Date]],9),IF(Main[[#This Row],[Class]]="B", WORKDAY(Main[[#This Row],[Tech Start Date]],6),IF(Main[[#This Row],[Class]]="A",WORKDAY(Main[[#This Row],[Tech Start Date]],2),""))))</f>
        <v/>
      </c>
      <c r="N259" s="69" t="str">
        <f>IF(Main[[#This Row],[Tech Start Date]]&lt;1/1/1990,"",IF(Main[[#This Row],[Class]]="C",WORKDAY(Main[[#This Row],[Tech Start Date]],19),IF(Main[[#This Row],[Class]]="B", WORKDAY(Main[[#This Row],[Tech Start Date]],12),IF(Main[[#This Row],[Class]]="A",WORKDAY(Main[[#This Row],[Tech Start Date]],4),""))))</f>
        <v/>
      </c>
      <c r="O259" s="69" t="str">
        <f>IF(Main[[#This Row],[Tech Start Date]]&lt;1/1/1990,"",IF(Main[[#This Row],[Class]]="C",WORKDAY(Main[[#This Row],[Tech Start Date]],23),IF(Main[[#This Row],[Class]]="B", WORKDAY(Main[[#This Row],[Tech Start Date]],15),IF(Main[[#This Row],[Class]]="A",WORKDAY(Main[[#This Row],[Tech Start Date]],5),""))))</f>
        <v/>
      </c>
      <c r="P259" s="69" t="str">
        <f>IF(Main[[#This Row],[Tech Start Date]]&lt;1/1/1990,"",IF(Main[[#This Row],[Class]]="C",WORKDAY(Main[[#This Row],[Tech Start Date]],28),IF(Main[[#This Row],[Class]]="B", WORKDAY(Main[[#This Row],[Tech Start Date]],19),IF(Main[[#This Row],[Class]]="A",WORKDAY(Main[[#This Row],[Tech Start Date]],9),""))))</f>
        <v/>
      </c>
      <c r="Q259" s="67">
        <v>40907</v>
      </c>
      <c r="R259" s="67"/>
      <c r="S259" s="65" t="s">
        <v>6</v>
      </c>
      <c r="T259" s="70" t="s">
        <v>4</v>
      </c>
      <c r="U259" s="65" t="s">
        <v>7</v>
      </c>
      <c r="V259" s="65" t="s">
        <v>1914</v>
      </c>
      <c r="W259" s="65" t="s">
        <v>4</v>
      </c>
      <c r="X259" s="65" t="s">
        <v>2819</v>
      </c>
      <c r="Y259" s="65" t="s">
        <v>2932</v>
      </c>
      <c r="Z259" s="65" t="s">
        <v>4</v>
      </c>
      <c r="AA259" s="65" t="s">
        <v>2819</v>
      </c>
    </row>
    <row r="260" spans="1:27" ht="17.45" hidden="1" customHeight="1">
      <c r="A260" s="100" t="str">
        <f>IF(priority(Main[[#This Row],[Comments]])&lt;&gt;0, priority(Main[[#This Row],[Comments]]),"")</f>
        <v/>
      </c>
      <c r="B260" s="77" t="s">
        <v>1240</v>
      </c>
      <c r="C260" s="65" t="s">
        <v>31</v>
      </c>
      <c r="D260" s="66" t="s">
        <v>303</v>
      </c>
      <c r="E260" s="67"/>
      <c r="F260" s="67">
        <v>40269</v>
      </c>
      <c r="G260" s="64" t="str">
        <f>IF(stdProdLT(Main[[#This Row],[Comments]])=0.1,"N/A",IF(stdProdLT(Main[[#This Row],[Comments]])=0,"",stdProdLT(Main[[#This Row],[Comments]])))</f>
        <v/>
      </c>
      <c r="H260" s="68" t="str">
        <f>IF(AND(Main[[#This Row],[In Stock Date]]&lt;&gt;"",Main[[#This Row],[Revised Due Date]]&lt;&gt;""),Main[[#This Row],[In Stock Date]]-Main[[#This Row],[Revised Due Date]],"")</f>
        <v/>
      </c>
      <c r="I260" s="65" t="s">
        <v>4</v>
      </c>
      <c r="J260" s="65" t="s">
        <v>4</v>
      </c>
      <c r="K260" s="65" t="s">
        <v>4</v>
      </c>
      <c r="L260" s="67"/>
      <c r="M260" s="69" t="str">
        <f>IF(Main[[#This Row],[Tech Start Date]]&lt;1/1/1990,"",IF(Main[[#This Row],[Class]]="C",WORKDAY(Main[[#This Row],[Tech Start Date]],9),IF(Main[[#This Row],[Class]]="B", WORKDAY(Main[[#This Row],[Tech Start Date]],6),IF(Main[[#This Row],[Class]]="A",WORKDAY(Main[[#This Row],[Tech Start Date]],2),""))))</f>
        <v/>
      </c>
      <c r="N260" s="69" t="str">
        <f>IF(Main[[#This Row],[Tech Start Date]]&lt;1/1/1990,"",IF(Main[[#This Row],[Class]]="C",WORKDAY(Main[[#This Row],[Tech Start Date]],19),IF(Main[[#This Row],[Class]]="B", WORKDAY(Main[[#This Row],[Tech Start Date]],12),IF(Main[[#This Row],[Class]]="A",WORKDAY(Main[[#This Row],[Tech Start Date]],4),""))))</f>
        <v/>
      </c>
      <c r="O260" s="69" t="str">
        <f>IF(Main[[#This Row],[Tech Start Date]]&lt;1/1/1990,"",IF(Main[[#This Row],[Class]]="C",WORKDAY(Main[[#This Row],[Tech Start Date]],23),IF(Main[[#This Row],[Class]]="B", WORKDAY(Main[[#This Row],[Tech Start Date]],15),IF(Main[[#This Row],[Class]]="A",WORKDAY(Main[[#This Row],[Tech Start Date]],5),""))))</f>
        <v/>
      </c>
      <c r="P260" s="69" t="str">
        <f>IF(Main[[#This Row],[Tech Start Date]]&lt;1/1/1990,"",IF(Main[[#This Row],[Class]]="C",WORKDAY(Main[[#This Row],[Tech Start Date]],28),IF(Main[[#This Row],[Class]]="B", WORKDAY(Main[[#This Row],[Tech Start Date]],19),IF(Main[[#This Row],[Class]]="A",WORKDAY(Main[[#This Row],[Tech Start Date]],9),""))))</f>
        <v/>
      </c>
      <c r="Q260" s="67">
        <v>40274</v>
      </c>
      <c r="R260" s="67"/>
      <c r="S260" s="65" t="s">
        <v>11</v>
      </c>
      <c r="T260" s="70" t="s">
        <v>4</v>
      </c>
      <c r="U260" s="65" t="s">
        <v>14</v>
      </c>
      <c r="V260" s="65" t="s">
        <v>1914</v>
      </c>
      <c r="W260" s="65" t="s">
        <v>1920</v>
      </c>
      <c r="X260" s="65" t="s">
        <v>2871</v>
      </c>
      <c r="Y260" s="65" t="s">
        <v>4</v>
      </c>
      <c r="Z260" s="65" t="s">
        <v>4</v>
      </c>
      <c r="AA260" s="65" t="s">
        <v>2871</v>
      </c>
    </row>
    <row r="261" spans="1:27" ht="17.45" hidden="1" customHeight="1">
      <c r="A261" s="100" t="str">
        <f>IF(priority(Main[[#This Row],[Comments]])&lt;&gt;0, priority(Main[[#This Row],[Comments]]),"")</f>
        <v/>
      </c>
      <c r="B261" s="77" t="s">
        <v>1241</v>
      </c>
      <c r="C261" s="65" t="s">
        <v>4</v>
      </c>
      <c r="D261" s="66" t="s">
        <v>304</v>
      </c>
      <c r="E261" s="67"/>
      <c r="F261" s="67">
        <v>40390</v>
      </c>
      <c r="G261" s="64" t="str">
        <f>IF(stdProdLT(Main[[#This Row],[Comments]])=0.1,"N/A",IF(stdProdLT(Main[[#This Row],[Comments]])=0,"",stdProdLT(Main[[#This Row],[Comments]])))</f>
        <v/>
      </c>
      <c r="H261" s="68" t="str">
        <f>IF(AND(Main[[#This Row],[In Stock Date]]&lt;&gt;"",Main[[#This Row],[Revised Due Date]]&lt;&gt;""),Main[[#This Row],[In Stock Date]]-Main[[#This Row],[Revised Due Date]],"")</f>
        <v/>
      </c>
      <c r="I261" s="65" t="s">
        <v>4</v>
      </c>
      <c r="J261" s="65" t="s">
        <v>4</v>
      </c>
      <c r="K261" s="65" t="s">
        <v>4</v>
      </c>
      <c r="L261" s="67"/>
      <c r="M261" s="69" t="str">
        <f>IF(Main[[#This Row],[Tech Start Date]]&lt;1/1/1990,"",IF(Main[[#This Row],[Class]]="C",WORKDAY(Main[[#This Row],[Tech Start Date]],9),IF(Main[[#This Row],[Class]]="B", WORKDAY(Main[[#This Row],[Tech Start Date]],6),IF(Main[[#This Row],[Class]]="A",WORKDAY(Main[[#This Row],[Tech Start Date]],2),""))))</f>
        <v/>
      </c>
      <c r="N261" s="69" t="str">
        <f>IF(Main[[#This Row],[Tech Start Date]]&lt;1/1/1990,"",IF(Main[[#This Row],[Class]]="C",WORKDAY(Main[[#This Row],[Tech Start Date]],19),IF(Main[[#This Row],[Class]]="B", WORKDAY(Main[[#This Row],[Tech Start Date]],12),IF(Main[[#This Row],[Class]]="A",WORKDAY(Main[[#This Row],[Tech Start Date]],4),""))))</f>
        <v/>
      </c>
      <c r="O261" s="69" t="str">
        <f>IF(Main[[#This Row],[Tech Start Date]]&lt;1/1/1990,"",IF(Main[[#This Row],[Class]]="C",WORKDAY(Main[[#This Row],[Tech Start Date]],23),IF(Main[[#This Row],[Class]]="B", WORKDAY(Main[[#This Row],[Tech Start Date]],15),IF(Main[[#This Row],[Class]]="A",WORKDAY(Main[[#This Row],[Tech Start Date]],5),""))))</f>
        <v/>
      </c>
      <c r="P261" s="69" t="str">
        <f>IF(Main[[#This Row],[Tech Start Date]]&lt;1/1/1990,"",IF(Main[[#This Row],[Class]]="C",WORKDAY(Main[[#This Row],[Tech Start Date]],28),IF(Main[[#This Row],[Class]]="B", WORKDAY(Main[[#This Row],[Tech Start Date]],19),IF(Main[[#This Row],[Class]]="A",WORKDAY(Main[[#This Row],[Tech Start Date]],9),""))))</f>
        <v/>
      </c>
      <c r="Q261" s="67">
        <v>40329</v>
      </c>
      <c r="R261" s="67"/>
      <c r="S261" s="65" t="s">
        <v>11</v>
      </c>
      <c r="T261" s="70" t="s">
        <v>4</v>
      </c>
      <c r="U261" s="65" t="s">
        <v>12</v>
      </c>
      <c r="V261" s="65" t="s">
        <v>1924</v>
      </c>
      <c r="W261" s="65" t="s">
        <v>1920</v>
      </c>
      <c r="X261" s="65" t="s">
        <v>2872</v>
      </c>
      <c r="Y261" s="65" t="s">
        <v>2996</v>
      </c>
      <c r="Z261" s="65" t="s">
        <v>4</v>
      </c>
      <c r="AA261" s="65" t="s">
        <v>2872</v>
      </c>
    </row>
    <row r="262" spans="1:27" ht="17.45" hidden="1" customHeight="1">
      <c r="A262" s="100" t="str">
        <f>IF(priority(Main[[#This Row],[Comments]])&lt;&gt;0, priority(Main[[#This Row],[Comments]]),"")</f>
        <v/>
      </c>
      <c r="B262" s="77" t="s">
        <v>1242</v>
      </c>
      <c r="C262" s="65" t="s">
        <v>4</v>
      </c>
      <c r="D262" s="66" t="s">
        <v>305</v>
      </c>
      <c r="E262" s="67"/>
      <c r="F262" s="67">
        <v>40574</v>
      </c>
      <c r="G262" s="64" t="str">
        <f>IF(stdProdLT(Main[[#This Row],[Comments]])=0.1,"N/A",IF(stdProdLT(Main[[#This Row],[Comments]])=0,"",stdProdLT(Main[[#This Row],[Comments]])))</f>
        <v/>
      </c>
      <c r="H262" s="68" t="str">
        <f>IF(AND(Main[[#This Row],[In Stock Date]]&lt;&gt;"",Main[[#This Row],[Revised Due Date]]&lt;&gt;""),Main[[#This Row],[In Stock Date]]-Main[[#This Row],[Revised Due Date]],"")</f>
        <v/>
      </c>
      <c r="I262" s="65" t="s">
        <v>306</v>
      </c>
      <c r="J262" s="65" t="s">
        <v>75</v>
      </c>
      <c r="K262" s="65" t="s">
        <v>1923</v>
      </c>
      <c r="L262" s="67"/>
      <c r="M262" s="69" t="str">
        <f>IF(Main[[#This Row],[Tech Start Date]]&lt;1/1/1990,"",IF(Main[[#This Row],[Class]]="C",WORKDAY(Main[[#This Row],[Tech Start Date]],9),IF(Main[[#This Row],[Class]]="B", WORKDAY(Main[[#This Row],[Tech Start Date]],6),IF(Main[[#This Row],[Class]]="A",WORKDAY(Main[[#This Row],[Tech Start Date]],2),""))))</f>
        <v/>
      </c>
      <c r="N262" s="69" t="str">
        <f>IF(Main[[#This Row],[Tech Start Date]]&lt;1/1/1990,"",IF(Main[[#This Row],[Class]]="C",WORKDAY(Main[[#This Row],[Tech Start Date]],19),IF(Main[[#This Row],[Class]]="B", WORKDAY(Main[[#This Row],[Tech Start Date]],12),IF(Main[[#This Row],[Class]]="A",WORKDAY(Main[[#This Row],[Tech Start Date]],4),""))))</f>
        <v/>
      </c>
      <c r="O262" s="69" t="str">
        <f>IF(Main[[#This Row],[Tech Start Date]]&lt;1/1/1990,"",IF(Main[[#This Row],[Class]]="C",WORKDAY(Main[[#This Row],[Tech Start Date]],23),IF(Main[[#This Row],[Class]]="B", WORKDAY(Main[[#This Row],[Tech Start Date]],15),IF(Main[[#This Row],[Class]]="A",WORKDAY(Main[[#This Row],[Tech Start Date]],5),""))))</f>
        <v/>
      </c>
      <c r="P262" s="69" t="str">
        <f>IF(Main[[#This Row],[Tech Start Date]]&lt;1/1/1990,"",IF(Main[[#This Row],[Class]]="C",WORKDAY(Main[[#This Row],[Tech Start Date]],28),IF(Main[[#This Row],[Class]]="B", WORKDAY(Main[[#This Row],[Tech Start Date]],19),IF(Main[[#This Row],[Class]]="A",WORKDAY(Main[[#This Row],[Tech Start Date]],9),""))))</f>
        <v/>
      </c>
      <c r="Q262" s="67">
        <v>40574</v>
      </c>
      <c r="R262" s="67"/>
      <c r="S262" s="65" t="s">
        <v>6</v>
      </c>
      <c r="T262" s="70" t="s">
        <v>4</v>
      </c>
      <c r="U262" s="65" t="s">
        <v>14</v>
      </c>
      <c r="V262" s="65" t="s">
        <v>1924</v>
      </c>
      <c r="W262" s="65" t="s">
        <v>1916</v>
      </c>
      <c r="X262" s="65" t="s">
        <v>2818</v>
      </c>
      <c r="Y262" s="65" t="s">
        <v>2929</v>
      </c>
      <c r="Z262" s="65" t="s">
        <v>30</v>
      </c>
      <c r="AA262" s="65" t="s">
        <v>2818</v>
      </c>
    </row>
    <row r="263" spans="1:27" ht="17.45" hidden="1" customHeight="1">
      <c r="A263" s="100" t="str">
        <f>IF(priority(Main[[#This Row],[Comments]])&lt;&gt;0, priority(Main[[#This Row],[Comments]]),"")</f>
        <v/>
      </c>
      <c r="B263" s="77" t="s">
        <v>1243</v>
      </c>
      <c r="C263" s="65" t="s">
        <v>169</v>
      </c>
      <c r="D263" s="66" t="s">
        <v>307</v>
      </c>
      <c r="E263" s="67"/>
      <c r="F263" s="67">
        <v>40237</v>
      </c>
      <c r="G263" s="64" t="str">
        <f>IF(stdProdLT(Main[[#This Row],[Comments]])=0.1,"N/A",IF(stdProdLT(Main[[#This Row],[Comments]])=0,"",stdProdLT(Main[[#This Row],[Comments]])))</f>
        <v/>
      </c>
      <c r="H263" s="68" t="str">
        <f>IF(AND(Main[[#This Row],[In Stock Date]]&lt;&gt;"",Main[[#This Row],[Revised Due Date]]&lt;&gt;""),Main[[#This Row],[In Stock Date]]-Main[[#This Row],[Revised Due Date]],"")</f>
        <v/>
      </c>
      <c r="I263" s="65" t="s">
        <v>4</v>
      </c>
      <c r="J263" s="65" t="s">
        <v>4</v>
      </c>
      <c r="K263" s="65" t="s">
        <v>4</v>
      </c>
      <c r="L263" s="67"/>
      <c r="M263" s="69" t="str">
        <f>IF(Main[[#This Row],[Tech Start Date]]&lt;1/1/1990,"",IF(Main[[#This Row],[Class]]="C",WORKDAY(Main[[#This Row],[Tech Start Date]],9),IF(Main[[#This Row],[Class]]="B", WORKDAY(Main[[#This Row],[Tech Start Date]],6),IF(Main[[#This Row],[Class]]="A",WORKDAY(Main[[#This Row],[Tech Start Date]],2),""))))</f>
        <v/>
      </c>
      <c r="N263" s="69" t="str">
        <f>IF(Main[[#This Row],[Tech Start Date]]&lt;1/1/1990,"",IF(Main[[#This Row],[Class]]="C",WORKDAY(Main[[#This Row],[Tech Start Date]],19),IF(Main[[#This Row],[Class]]="B", WORKDAY(Main[[#This Row],[Tech Start Date]],12),IF(Main[[#This Row],[Class]]="A",WORKDAY(Main[[#This Row],[Tech Start Date]],4),""))))</f>
        <v/>
      </c>
      <c r="O263" s="69" t="str">
        <f>IF(Main[[#This Row],[Tech Start Date]]&lt;1/1/1990,"",IF(Main[[#This Row],[Class]]="C",WORKDAY(Main[[#This Row],[Tech Start Date]],23),IF(Main[[#This Row],[Class]]="B", WORKDAY(Main[[#This Row],[Tech Start Date]],15),IF(Main[[#This Row],[Class]]="A",WORKDAY(Main[[#This Row],[Tech Start Date]],5),""))))</f>
        <v/>
      </c>
      <c r="P263" s="69" t="str">
        <f>IF(Main[[#This Row],[Tech Start Date]]&lt;1/1/1990,"",IF(Main[[#This Row],[Class]]="C",WORKDAY(Main[[#This Row],[Tech Start Date]],28),IF(Main[[#This Row],[Class]]="B", WORKDAY(Main[[#This Row],[Tech Start Date]],19),IF(Main[[#This Row],[Class]]="A",WORKDAY(Main[[#This Row],[Tech Start Date]],9),""))))</f>
        <v/>
      </c>
      <c r="Q263" s="67">
        <v>40132</v>
      </c>
      <c r="R263" s="67"/>
      <c r="S263" s="65" t="s">
        <v>11</v>
      </c>
      <c r="T263" s="70" t="s">
        <v>4</v>
      </c>
      <c r="U263" s="65" t="s">
        <v>14</v>
      </c>
      <c r="V263" s="65" t="s">
        <v>1914</v>
      </c>
      <c r="W263" s="65" t="s">
        <v>1919</v>
      </c>
      <c r="X263" s="65" t="s">
        <v>2858</v>
      </c>
      <c r="Y263" s="65" t="s">
        <v>4</v>
      </c>
      <c r="Z263" s="65" t="s">
        <v>4</v>
      </c>
      <c r="AA263" s="65" t="s">
        <v>2858</v>
      </c>
    </row>
    <row r="264" spans="1:27" ht="17.45" hidden="1" customHeight="1">
      <c r="A264" s="100" t="str">
        <f>IF(priority(Main[[#This Row],[Comments]])&lt;&gt;0, priority(Main[[#This Row],[Comments]]),"")</f>
        <v/>
      </c>
      <c r="B264" s="77" t="s">
        <v>1244</v>
      </c>
      <c r="C264" s="65" t="s">
        <v>4</v>
      </c>
      <c r="D264" s="66" t="s">
        <v>308</v>
      </c>
      <c r="E264" s="67"/>
      <c r="F264" s="67"/>
      <c r="G264" s="64" t="str">
        <f>IF(stdProdLT(Main[[#This Row],[Comments]])=0.1,"N/A",IF(stdProdLT(Main[[#This Row],[Comments]])=0,"",stdProdLT(Main[[#This Row],[Comments]])))</f>
        <v/>
      </c>
      <c r="H264" s="68" t="str">
        <f>IF(AND(Main[[#This Row],[In Stock Date]]&lt;&gt;"",Main[[#This Row],[Revised Due Date]]&lt;&gt;""),Main[[#This Row],[In Stock Date]]-Main[[#This Row],[Revised Due Date]],"")</f>
        <v/>
      </c>
      <c r="I264" s="65" t="s">
        <v>4</v>
      </c>
      <c r="J264" s="65" t="s">
        <v>4</v>
      </c>
      <c r="K264" s="65" t="s">
        <v>4</v>
      </c>
      <c r="L264" s="67"/>
      <c r="M264" s="69" t="str">
        <f>IF(Main[[#This Row],[Tech Start Date]]&lt;1/1/1990,"",IF(Main[[#This Row],[Class]]="C",WORKDAY(Main[[#This Row],[Tech Start Date]],9),IF(Main[[#This Row],[Class]]="B", WORKDAY(Main[[#This Row],[Tech Start Date]],6),IF(Main[[#This Row],[Class]]="A",WORKDAY(Main[[#This Row],[Tech Start Date]],2),""))))</f>
        <v/>
      </c>
      <c r="N264" s="69" t="str">
        <f>IF(Main[[#This Row],[Tech Start Date]]&lt;1/1/1990,"",IF(Main[[#This Row],[Class]]="C",WORKDAY(Main[[#This Row],[Tech Start Date]],19),IF(Main[[#This Row],[Class]]="B", WORKDAY(Main[[#This Row],[Tech Start Date]],12),IF(Main[[#This Row],[Class]]="A",WORKDAY(Main[[#This Row],[Tech Start Date]],4),""))))</f>
        <v/>
      </c>
      <c r="O264" s="69" t="str">
        <f>IF(Main[[#This Row],[Tech Start Date]]&lt;1/1/1990,"",IF(Main[[#This Row],[Class]]="C",WORKDAY(Main[[#This Row],[Tech Start Date]],23),IF(Main[[#This Row],[Class]]="B", WORKDAY(Main[[#This Row],[Tech Start Date]],15),IF(Main[[#This Row],[Class]]="A",WORKDAY(Main[[#This Row],[Tech Start Date]],5),""))))</f>
        <v/>
      </c>
      <c r="P264" s="69" t="str">
        <f>IF(Main[[#This Row],[Tech Start Date]]&lt;1/1/1990,"",IF(Main[[#This Row],[Class]]="C",WORKDAY(Main[[#This Row],[Tech Start Date]],28),IF(Main[[#This Row],[Class]]="B", WORKDAY(Main[[#This Row],[Tech Start Date]],19),IF(Main[[#This Row],[Class]]="A",WORKDAY(Main[[#This Row],[Tech Start Date]],9),""))))</f>
        <v/>
      </c>
      <c r="Q264" s="67">
        <v>40390</v>
      </c>
      <c r="R264" s="67"/>
      <c r="S264" s="65" t="s">
        <v>6</v>
      </c>
      <c r="T264" s="70" t="s">
        <v>4</v>
      </c>
      <c r="U264" s="65" t="s">
        <v>14</v>
      </c>
      <c r="V264" s="65" t="s">
        <v>1917</v>
      </c>
      <c r="W264" s="65" t="s">
        <v>4</v>
      </c>
      <c r="X264" s="65" t="s">
        <v>2819</v>
      </c>
      <c r="Y264" s="65" t="s">
        <v>2932</v>
      </c>
      <c r="Z264" s="65" t="s">
        <v>4</v>
      </c>
      <c r="AA264" s="65" t="s">
        <v>2819</v>
      </c>
    </row>
    <row r="265" spans="1:27" ht="17.45" hidden="1" customHeight="1">
      <c r="A265" s="100" t="str">
        <f>IF(priority(Main[[#This Row],[Comments]])&lt;&gt;0, priority(Main[[#This Row],[Comments]]),"")</f>
        <v/>
      </c>
      <c r="B265" s="77" t="s">
        <v>1246</v>
      </c>
      <c r="C265" s="65" t="s">
        <v>310</v>
      </c>
      <c r="D265" s="66" t="s">
        <v>311</v>
      </c>
      <c r="E265" s="67"/>
      <c r="F265" s="67">
        <v>40179</v>
      </c>
      <c r="G265" s="64" t="str">
        <f>IF(stdProdLT(Main[[#This Row],[Comments]])=0.1,"N/A",IF(stdProdLT(Main[[#This Row],[Comments]])=0,"",stdProdLT(Main[[#This Row],[Comments]])))</f>
        <v/>
      </c>
      <c r="H265" s="68" t="str">
        <f>IF(AND(Main[[#This Row],[In Stock Date]]&lt;&gt;"",Main[[#This Row],[Revised Due Date]]&lt;&gt;""),Main[[#This Row],[In Stock Date]]-Main[[#This Row],[Revised Due Date]],"")</f>
        <v/>
      </c>
      <c r="I265" s="65" t="s">
        <v>4</v>
      </c>
      <c r="J265" s="65" t="s">
        <v>4</v>
      </c>
      <c r="K265" s="65" t="s">
        <v>4</v>
      </c>
      <c r="L265" s="67"/>
      <c r="M265" s="69" t="str">
        <f>IF(Main[[#This Row],[Tech Start Date]]&lt;1/1/1990,"",IF(Main[[#This Row],[Class]]="C",WORKDAY(Main[[#This Row],[Tech Start Date]],9),IF(Main[[#This Row],[Class]]="B", WORKDAY(Main[[#This Row],[Tech Start Date]],6),IF(Main[[#This Row],[Class]]="A",WORKDAY(Main[[#This Row],[Tech Start Date]],2),""))))</f>
        <v/>
      </c>
      <c r="N265" s="69" t="str">
        <f>IF(Main[[#This Row],[Tech Start Date]]&lt;1/1/1990,"",IF(Main[[#This Row],[Class]]="C",WORKDAY(Main[[#This Row],[Tech Start Date]],19),IF(Main[[#This Row],[Class]]="B", WORKDAY(Main[[#This Row],[Tech Start Date]],12),IF(Main[[#This Row],[Class]]="A",WORKDAY(Main[[#This Row],[Tech Start Date]],4),""))))</f>
        <v/>
      </c>
      <c r="O265" s="69" t="str">
        <f>IF(Main[[#This Row],[Tech Start Date]]&lt;1/1/1990,"",IF(Main[[#This Row],[Class]]="C",WORKDAY(Main[[#This Row],[Tech Start Date]],23),IF(Main[[#This Row],[Class]]="B", WORKDAY(Main[[#This Row],[Tech Start Date]],15),IF(Main[[#This Row],[Class]]="A",WORKDAY(Main[[#This Row],[Tech Start Date]],5),""))))</f>
        <v/>
      </c>
      <c r="P265" s="69" t="str">
        <f>IF(Main[[#This Row],[Tech Start Date]]&lt;1/1/1990,"",IF(Main[[#This Row],[Class]]="C",WORKDAY(Main[[#This Row],[Tech Start Date]],28),IF(Main[[#This Row],[Class]]="B", WORKDAY(Main[[#This Row],[Tech Start Date]],19),IF(Main[[#This Row],[Class]]="A",WORKDAY(Main[[#This Row],[Tech Start Date]],9),""))))</f>
        <v/>
      </c>
      <c r="Q265" s="67">
        <v>40174</v>
      </c>
      <c r="R265" s="67"/>
      <c r="S265" s="65" t="s">
        <v>11</v>
      </c>
      <c r="T265" s="70" t="s">
        <v>4</v>
      </c>
      <c r="U265" s="65" t="s">
        <v>12</v>
      </c>
      <c r="V265" s="65" t="s">
        <v>1914</v>
      </c>
      <c r="W265" s="65" t="s">
        <v>1922</v>
      </c>
      <c r="X265" s="65" t="s">
        <v>2873</v>
      </c>
      <c r="Y265" s="65" t="s">
        <v>4</v>
      </c>
      <c r="Z265" s="65" t="s">
        <v>4</v>
      </c>
      <c r="AA265" s="65" t="s">
        <v>2873</v>
      </c>
    </row>
    <row r="266" spans="1:27" ht="17.45" hidden="1" customHeight="1">
      <c r="A266" s="100" t="str">
        <f>IF(priority(Main[[#This Row],[Comments]])&lt;&gt;0, priority(Main[[#This Row],[Comments]]),"")</f>
        <v/>
      </c>
      <c r="B266" s="77" t="s">
        <v>1247</v>
      </c>
      <c r="C266" s="65" t="s">
        <v>4</v>
      </c>
      <c r="D266" s="66" t="s">
        <v>312</v>
      </c>
      <c r="E266" s="67">
        <v>40701.550486111111</v>
      </c>
      <c r="F266" s="67"/>
      <c r="G266" s="64" t="str">
        <f>IF(stdProdLT(Main[[#This Row],[Comments]])=0.1,"N/A",IF(stdProdLT(Main[[#This Row],[Comments]])=0,"",stdProdLT(Main[[#This Row],[Comments]])))</f>
        <v/>
      </c>
      <c r="H266" s="68" t="str">
        <f>IF(AND(Main[[#This Row],[In Stock Date]]&lt;&gt;"",Main[[#This Row],[Revised Due Date]]&lt;&gt;""),Main[[#This Row],[In Stock Date]]-Main[[#This Row],[Revised Due Date]],"")</f>
        <v/>
      </c>
      <c r="I266" s="65" t="s">
        <v>4</v>
      </c>
      <c r="J266" s="65" t="s">
        <v>4</v>
      </c>
      <c r="K266" s="65" t="s">
        <v>4</v>
      </c>
      <c r="L266" s="67"/>
      <c r="M266" s="69" t="str">
        <f>IF(Main[[#This Row],[Tech Start Date]]&lt;1/1/1990,"",IF(Main[[#This Row],[Class]]="C",WORKDAY(Main[[#This Row],[Tech Start Date]],9),IF(Main[[#This Row],[Class]]="B", WORKDAY(Main[[#This Row],[Tech Start Date]],6),IF(Main[[#This Row],[Class]]="A",WORKDAY(Main[[#This Row],[Tech Start Date]],2),""))))</f>
        <v/>
      </c>
      <c r="N266" s="69" t="str">
        <f>IF(Main[[#This Row],[Tech Start Date]]&lt;1/1/1990,"",IF(Main[[#This Row],[Class]]="C",WORKDAY(Main[[#This Row],[Tech Start Date]],19),IF(Main[[#This Row],[Class]]="B", WORKDAY(Main[[#This Row],[Tech Start Date]],12),IF(Main[[#This Row],[Class]]="A",WORKDAY(Main[[#This Row],[Tech Start Date]],4),""))))</f>
        <v/>
      </c>
      <c r="O266" s="69" t="str">
        <f>IF(Main[[#This Row],[Tech Start Date]]&lt;1/1/1990,"",IF(Main[[#This Row],[Class]]="C",WORKDAY(Main[[#This Row],[Tech Start Date]],23),IF(Main[[#This Row],[Class]]="B", WORKDAY(Main[[#This Row],[Tech Start Date]],15),IF(Main[[#This Row],[Class]]="A",WORKDAY(Main[[#This Row],[Tech Start Date]],5),""))))</f>
        <v/>
      </c>
      <c r="P266" s="69" t="str">
        <f>IF(Main[[#This Row],[Tech Start Date]]&lt;1/1/1990,"",IF(Main[[#This Row],[Class]]="C",WORKDAY(Main[[#This Row],[Tech Start Date]],28),IF(Main[[#This Row],[Class]]="B", WORKDAY(Main[[#This Row],[Tech Start Date]],19),IF(Main[[#This Row],[Class]]="A",WORKDAY(Main[[#This Row],[Tech Start Date]],9),""))))</f>
        <v/>
      </c>
      <c r="Q266" s="67"/>
      <c r="R266" s="67"/>
      <c r="S266" s="65" t="s">
        <v>6</v>
      </c>
      <c r="T266" s="70" t="s">
        <v>4</v>
      </c>
      <c r="U266" s="65" t="s">
        <v>7</v>
      </c>
      <c r="V266" s="65" t="s">
        <v>1914</v>
      </c>
      <c r="W266" s="65" t="s">
        <v>4</v>
      </c>
      <c r="X266" s="65" t="s">
        <v>907</v>
      </c>
      <c r="Y266" s="65" t="s">
        <v>3017</v>
      </c>
      <c r="Z266" s="65" t="s">
        <v>4</v>
      </c>
      <c r="AA266" s="65" t="s">
        <v>907</v>
      </c>
    </row>
    <row r="267" spans="1:27" ht="17.45" hidden="1" customHeight="1">
      <c r="A267" s="100" t="str">
        <f>IF(priority(Main[[#This Row],[Comments]])&lt;&gt;0, priority(Main[[#This Row],[Comments]]),"")</f>
        <v/>
      </c>
      <c r="B267" s="77" t="s">
        <v>1248</v>
      </c>
      <c r="C267" s="65" t="s">
        <v>4</v>
      </c>
      <c r="D267" s="66" t="s">
        <v>313</v>
      </c>
      <c r="E267" s="67"/>
      <c r="F267" s="67"/>
      <c r="G267" s="64" t="str">
        <f>IF(stdProdLT(Main[[#This Row],[Comments]])=0.1,"N/A",IF(stdProdLT(Main[[#This Row],[Comments]])=0,"",stdProdLT(Main[[#This Row],[Comments]])))</f>
        <v/>
      </c>
      <c r="H267" s="68" t="str">
        <f>IF(AND(Main[[#This Row],[In Stock Date]]&lt;&gt;"",Main[[#This Row],[Revised Due Date]]&lt;&gt;""),Main[[#This Row],[In Stock Date]]-Main[[#This Row],[Revised Due Date]],"")</f>
        <v/>
      </c>
      <c r="I267" s="65" t="s">
        <v>4</v>
      </c>
      <c r="J267" s="65" t="s">
        <v>4</v>
      </c>
      <c r="K267" s="65" t="s">
        <v>4</v>
      </c>
      <c r="L267" s="67"/>
      <c r="M267" s="69" t="str">
        <f>IF(Main[[#This Row],[Tech Start Date]]&lt;1/1/1990,"",IF(Main[[#This Row],[Class]]="C",WORKDAY(Main[[#This Row],[Tech Start Date]],9),IF(Main[[#This Row],[Class]]="B", WORKDAY(Main[[#This Row],[Tech Start Date]],6),IF(Main[[#This Row],[Class]]="A",WORKDAY(Main[[#This Row],[Tech Start Date]],2),""))))</f>
        <v/>
      </c>
      <c r="N267" s="69" t="str">
        <f>IF(Main[[#This Row],[Tech Start Date]]&lt;1/1/1990,"",IF(Main[[#This Row],[Class]]="C",WORKDAY(Main[[#This Row],[Tech Start Date]],19),IF(Main[[#This Row],[Class]]="B", WORKDAY(Main[[#This Row],[Tech Start Date]],12),IF(Main[[#This Row],[Class]]="A",WORKDAY(Main[[#This Row],[Tech Start Date]],4),""))))</f>
        <v/>
      </c>
      <c r="O267" s="69" t="str">
        <f>IF(Main[[#This Row],[Tech Start Date]]&lt;1/1/1990,"",IF(Main[[#This Row],[Class]]="C",WORKDAY(Main[[#This Row],[Tech Start Date]],23),IF(Main[[#This Row],[Class]]="B", WORKDAY(Main[[#This Row],[Tech Start Date]],15),IF(Main[[#This Row],[Class]]="A",WORKDAY(Main[[#This Row],[Tech Start Date]],5),""))))</f>
        <v/>
      </c>
      <c r="P267" s="69" t="str">
        <f>IF(Main[[#This Row],[Tech Start Date]]&lt;1/1/1990,"",IF(Main[[#This Row],[Class]]="C",WORKDAY(Main[[#This Row],[Tech Start Date]],28),IF(Main[[#This Row],[Class]]="B", WORKDAY(Main[[#This Row],[Tech Start Date]],19),IF(Main[[#This Row],[Class]]="A",WORKDAY(Main[[#This Row],[Tech Start Date]],9),""))))</f>
        <v/>
      </c>
      <c r="Q267" s="67">
        <v>40374</v>
      </c>
      <c r="R267" s="67"/>
      <c r="S267" s="65" t="s">
        <v>11</v>
      </c>
      <c r="T267" s="70" t="s">
        <v>4</v>
      </c>
      <c r="U267" s="65" t="s">
        <v>12</v>
      </c>
      <c r="V267" s="65" t="s">
        <v>1915</v>
      </c>
      <c r="W267" s="65" t="s">
        <v>1916</v>
      </c>
      <c r="X267" s="65" t="s">
        <v>2872</v>
      </c>
      <c r="Y267" s="65" t="s">
        <v>2996</v>
      </c>
      <c r="Z267" s="65" t="s">
        <v>4</v>
      </c>
      <c r="AA267" s="65" t="s">
        <v>2872</v>
      </c>
    </row>
    <row r="268" spans="1:27" ht="17.45" hidden="1" customHeight="1">
      <c r="A268" s="100" t="str">
        <f>IF(priority(Main[[#This Row],[Comments]])&lt;&gt;0, priority(Main[[#This Row],[Comments]]),"")</f>
        <v/>
      </c>
      <c r="B268" s="77" t="s">
        <v>1249</v>
      </c>
      <c r="C268" s="65" t="s">
        <v>4</v>
      </c>
      <c r="D268" s="66" t="s">
        <v>314</v>
      </c>
      <c r="E268" s="67"/>
      <c r="F268" s="67"/>
      <c r="G268" s="64" t="str">
        <f>IF(stdProdLT(Main[[#This Row],[Comments]])=0.1,"N/A",IF(stdProdLT(Main[[#This Row],[Comments]])=0,"",stdProdLT(Main[[#This Row],[Comments]])))</f>
        <v/>
      </c>
      <c r="H268" s="68" t="str">
        <f>IF(AND(Main[[#This Row],[In Stock Date]]&lt;&gt;"",Main[[#This Row],[Revised Due Date]]&lt;&gt;""),Main[[#This Row],[In Stock Date]]-Main[[#This Row],[Revised Due Date]],"")</f>
        <v/>
      </c>
      <c r="I268" s="65" t="s">
        <v>4</v>
      </c>
      <c r="J268" s="65" t="s">
        <v>4</v>
      </c>
      <c r="K268" s="65" t="s">
        <v>4</v>
      </c>
      <c r="L268" s="67"/>
      <c r="M268" s="69" t="str">
        <f>IF(Main[[#This Row],[Tech Start Date]]&lt;1/1/1990,"",IF(Main[[#This Row],[Class]]="C",WORKDAY(Main[[#This Row],[Tech Start Date]],9),IF(Main[[#This Row],[Class]]="B", WORKDAY(Main[[#This Row],[Tech Start Date]],6),IF(Main[[#This Row],[Class]]="A",WORKDAY(Main[[#This Row],[Tech Start Date]],2),""))))</f>
        <v/>
      </c>
      <c r="N268" s="69" t="str">
        <f>IF(Main[[#This Row],[Tech Start Date]]&lt;1/1/1990,"",IF(Main[[#This Row],[Class]]="C",WORKDAY(Main[[#This Row],[Tech Start Date]],19),IF(Main[[#This Row],[Class]]="B", WORKDAY(Main[[#This Row],[Tech Start Date]],12),IF(Main[[#This Row],[Class]]="A",WORKDAY(Main[[#This Row],[Tech Start Date]],4),""))))</f>
        <v/>
      </c>
      <c r="O268" s="69" t="str">
        <f>IF(Main[[#This Row],[Tech Start Date]]&lt;1/1/1990,"",IF(Main[[#This Row],[Class]]="C",WORKDAY(Main[[#This Row],[Tech Start Date]],23),IF(Main[[#This Row],[Class]]="B", WORKDAY(Main[[#This Row],[Tech Start Date]],15),IF(Main[[#This Row],[Class]]="A",WORKDAY(Main[[#This Row],[Tech Start Date]],5),""))))</f>
        <v/>
      </c>
      <c r="P268" s="69" t="str">
        <f>IF(Main[[#This Row],[Tech Start Date]]&lt;1/1/1990,"",IF(Main[[#This Row],[Class]]="C",WORKDAY(Main[[#This Row],[Tech Start Date]],28),IF(Main[[#This Row],[Class]]="B", WORKDAY(Main[[#This Row],[Tech Start Date]],19),IF(Main[[#This Row],[Class]]="A",WORKDAY(Main[[#This Row],[Tech Start Date]],9),""))))</f>
        <v/>
      </c>
      <c r="Q268" s="67"/>
      <c r="R268" s="67"/>
      <c r="S268" s="65" t="s">
        <v>6</v>
      </c>
      <c r="T268" s="70" t="s">
        <v>4</v>
      </c>
      <c r="U268" s="65" t="s">
        <v>14</v>
      </c>
      <c r="V268" s="65" t="s">
        <v>1915</v>
      </c>
      <c r="W268" s="65" t="s">
        <v>1916</v>
      </c>
      <c r="X268" s="65" t="s">
        <v>2862</v>
      </c>
      <c r="Y268" s="65" t="s">
        <v>3006</v>
      </c>
      <c r="Z268" s="65" t="s">
        <v>4</v>
      </c>
      <c r="AA268" s="65" t="s">
        <v>2862</v>
      </c>
    </row>
    <row r="269" spans="1:27" ht="17.45" hidden="1" customHeight="1">
      <c r="A269" s="100" t="str">
        <f>IF(priority(Main[[#This Row],[Comments]])&lt;&gt;0, priority(Main[[#This Row],[Comments]]),"")</f>
        <v/>
      </c>
      <c r="B269" s="77" t="s">
        <v>1250</v>
      </c>
      <c r="C269" s="65" t="s">
        <v>197</v>
      </c>
      <c r="D269" s="66" t="s">
        <v>315</v>
      </c>
      <c r="E269" s="67"/>
      <c r="F269" s="67"/>
      <c r="G269" s="64" t="str">
        <f>IF(stdProdLT(Main[[#This Row],[Comments]])=0.1,"N/A",IF(stdProdLT(Main[[#This Row],[Comments]])=0,"",stdProdLT(Main[[#This Row],[Comments]])))</f>
        <v/>
      </c>
      <c r="H269" s="68" t="str">
        <f>IF(AND(Main[[#This Row],[In Stock Date]]&lt;&gt;"",Main[[#This Row],[Revised Due Date]]&lt;&gt;""),Main[[#This Row],[In Stock Date]]-Main[[#This Row],[Revised Due Date]],"")</f>
        <v/>
      </c>
      <c r="I269" s="65" t="s">
        <v>4</v>
      </c>
      <c r="J269" s="65" t="s">
        <v>4</v>
      </c>
      <c r="K269" s="65" t="s">
        <v>4</v>
      </c>
      <c r="L269" s="67"/>
      <c r="M269" s="69" t="str">
        <f>IF(Main[[#This Row],[Tech Start Date]]&lt;1/1/1990,"",IF(Main[[#This Row],[Class]]="C",WORKDAY(Main[[#This Row],[Tech Start Date]],9),IF(Main[[#This Row],[Class]]="B", WORKDAY(Main[[#This Row],[Tech Start Date]],6),IF(Main[[#This Row],[Class]]="A",WORKDAY(Main[[#This Row],[Tech Start Date]],2),""))))</f>
        <v/>
      </c>
      <c r="N269" s="69" t="str">
        <f>IF(Main[[#This Row],[Tech Start Date]]&lt;1/1/1990,"",IF(Main[[#This Row],[Class]]="C",WORKDAY(Main[[#This Row],[Tech Start Date]],19),IF(Main[[#This Row],[Class]]="B", WORKDAY(Main[[#This Row],[Tech Start Date]],12),IF(Main[[#This Row],[Class]]="A",WORKDAY(Main[[#This Row],[Tech Start Date]],4),""))))</f>
        <v/>
      </c>
      <c r="O269" s="69" t="str">
        <f>IF(Main[[#This Row],[Tech Start Date]]&lt;1/1/1990,"",IF(Main[[#This Row],[Class]]="C",WORKDAY(Main[[#This Row],[Tech Start Date]],23),IF(Main[[#This Row],[Class]]="B", WORKDAY(Main[[#This Row],[Tech Start Date]],15),IF(Main[[#This Row],[Class]]="A",WORKDAY(Main[[#This Row],[Tech Start Date]],5),""))))</f>
        <v/>
      </c>
      <c r="P269" s="69" t="str">
        <f>IF(Main[[#This Row],[Tech Start Date]]&lt;1/1/1990,"",IF(Main[[#This Row],[Class]]="C",WORKDAY(Main[[#This Row],[Tech Start Date]],28),IF(Main[[#This Row],[Class]]="B", WORKDAY(Main[[#This Row],[Tech Start Date]],19),IF(Main[[#This Row],[Class]]="A",WORKDAY(Main[[#This Row],[Tech Start Date]],9),""))))</f>
        <v/>
      </c>
      <c r="Q269" s="67">
        <v>40165</v>
      </c>
      <c r="R269" s="67"/>
      <c r="S269" s="65" t="s">
        <v>11</v>
      </c>
      <c r="T269" s="70" t="s">
        <v>4</v>
      </c>
      <c r="U269" s="65" t="s">
        <v>14</v>
      </c>
      <c r="V269" s="65" t="s">
        <v>1924</v>
      </c>
      <c r="W269" s="65" t="s">
        <v>1920</v>
      </c>
      <c r="X269" s="65" t="s">
        <v>306</v>
      </c>
      <c r="Y269" s="65" t="s">
        <v>2963</v>
      </c>
      <c r="Z269" s="65" t="s">
        <v>4</v>
      </c>
      <c r="AA269" s="65" t="s">
        <v>883</v>
      </c>
    </row>
    <row r="270" spans="1:27" ht="17.45" hidden="1" customHeight="1">
      <c r="A270" s="100" t="str">
        <f>IF(priority(Main[[#This Row],[Comments]])&lt;&gt;0, priority(Main[[#This Row],[Comments]]),"")</f>
        <v/>
      </c>
      <c r="B270" s="77" t="s">
        <v>1252</v>
      </c>
      <c r="C270" s="65" t="s">
        <v>4</v>
      </c>
      <c r="D270" s="66" t="s">
        <v>317</v>
      </c>
      <c r="E270" s="67">
        <v>40275.49355324074</v>
      </c>
      <c r="F270" s="67"/>
      <c r="G270" s="64" t="str">
        <f>IF(stdProdLT(Main[[#This Row],[Comments]])=0.1,"N/A",IF(stdProdLT(Main[[#This Row],[Comments]])=0,"",stdProdLT(Main[[#This Row],[Comments]])))</f>
        <v/>
      </c>
      <c r="H270" s="68" t="str">
        <f>IF(AND(Main[[#This Row],[In Stock Date]]&lt;&gt;"",Main[[#This Row],[Revised Due Date]]&lt;&gt;""),Main[[#This Row],[In Stock Date]]-Main[[#This Row],[Revised Due Date]],"")</f>
        <v/>
      </c>
      <c r="I270" s="65" t="s">
        <v>4</v>
      </c>
      <c r="J270" s="65" t="s">
        <v>4</v>
      </c>
      <c r="K270" s="65" t="s">
        <v>4</v>
      </c>
      <c r="L270" s="67"/>
      <c r="M270" s="69" t="str">
        <f>IF(Main[[#This Row],[Tech Start Date]]&lt;1/1/1990,"",IF(Main[[#This Row],[Class]]="C",WORKDAY(Main[[#This Row],[Tech Start Date]],9),IF(Main[[#This Row],[Class]]="B", WORKDAY(Main[[#This Row],[Tech Start Date]],6),IF(Main[[#This Row],[Class]]="A",WORKDAY(Main[[#This Row],[Tech Start Date]],2),""))))</f>
        <v/>
      </c>
      <c r="N270" s="69" t="str">
        <f>IF(Main[[#This Row],[Tech Start Date]]&lt;1/1/1990,"",IF(Main[[#This Row],[Class]]="C",WORKDAY(Main[[#This Row],[Tech Start Date]],19),IF(Main[[#This Row],[Class]]="B", WORKDAY(Main[[#This Row],[Tech Start Date]],12),IF(Main[[#This Row],[Class]]="A",WORKDAY(Main[[#This Row],[Tech Start Date]],4),""))))</f>
        <v/>
      </c>
      <c r="O270" s="69" t="str">
        <f>IF(Main[[#This Row],[Tech Start Date]]&lt;1/1/1990,"",IF(Main[[#This Row],[Class]]="C",WORKDAY(Main[[#This Row],[Tech Start Date]],23),IF(Main[[#This Row],[Class]]="B", WORKDAY(Main[[#This Row],[Tech Start Date]],15),IF(Main[[#This Row],[Class]]="A",WORKDAY(Main[[#This Row],[Tech Start Date]],5),""))))</f>
        <v/>
      </c>
      <c r="P270" s="69" t="str">
        <f>IF(Main[[#This Row],[Tech Start Date]]&lt;1/1/1990,"",IF(Main[[#This Row],[Class]]="C",WORKDAY(Main[[#This Row],[Tech Start Date]],28),IF(Main[[#This Row],[Class]]="B", WORKDAY(Main[[#This Row],[Tech Start Date]],19),IF(Main[[#This Row],[Class]]="A",WORKDAY(Main[[#This Row],[Tech Start Date]],9),""))))</f>
        <v/>
      </c>
      <c r="Q270" s="67">
        <v>40289</v>
      </c>
      <c r="R270" s="67"/>
      <c r="S270" s="65" t="s">
        <v>318</v>
      </c>
      <c r="T270" s="70" t="s">
        <v>4</v>
      </c>
      <c r="U270" s="65" t="s">
        <v>7</v>
      </c>
      <c r="V270" s="65" t="s">
        <v>1914</v>
      </c>
      <c r="W270" s="65" t="s">
        <v>1916</v>
      </c>
      <c r="X270" s="65" t="s">
        <v>2821</v>
      </c>
      <c r="Y270" s="65" t="s">
        <v>2936</v>
      </c>
      <c r="Z270" s="65" t="s">
        <v>4</v>
      </c>
      <c r="AA270" s="65" t="s">
        <v>2821</v>
      </c>
    </row>
    <row r="271" spans="1:27" ht="17.45" hidden="1" customHeight="1">
      <c r="A271" s="100" t="str">
        <f>IF(priority(Main[[#This Row],[Comments]])&lt;&gt;0, priority(Main[[#This Row],[Comments]]),"")</f>
        <v/>
      </c>
      <c r="B271" s="77" t="s">
        <v>1254</v>
      </c>
      <c r="C271" s="65" t="s">
        <v>4</v>
      </c>
      <c r="D271" s="66" t="s">
        <v>320</v>
      </c>
      <c r="E271" s="67"/>
      <c r="F271" s="67"/>
      <c r="G271" s="64" t="str">
        <f>IF(stdProdLT(Main[[#This Row],[Comments]])=0.1,"N/A",IF(stdProdLT(Main[[#This Row],[Comments]])=0,"",stdProdLT(Main[[#This Row],[Comments]])))</f>
        <v/>
      </c>
      <c r="H271" s="68" t="str">
        <f>IF(AND(Main[[#This Row],[In Stock Date]]&lt;&gt;"",Main[[#This Row],[Revised Due Date]]&lt;&gt;""),Main[[#This Row],[In Stock Date]]-Main[[#This Row],[Revised Due Date]],"")</f>
        <v/>
      </c>
      <c r="I271" s="65" t="s">
        <v>4</v>
      </c>
      <c r="J271" s="65" t="s">
        <v>28</v>
      </c>
      <c r="K271" s="65" t="s">
        <v>4</v>
      </c>
      <c r="L271" s="67"/>
      <c r="M271" s="69" t="str">
        <f>IF(Main[[#This Row],[Tech Start Date]]&lt;1/1/1990,"",IF(Main[[#This Row],[Class]]="C",WORKDAY(Main[[#This Row],[Tech Start Date]],9),IF(Main[[#This Row],[Class]]="B", WORKDAY(Main[[#This Row],[Tech Start Date]],6),IF(Main[[#This Row],[Class]]="A",WORKDAY(Main[[#This Row],[Tech Start Date]],2),""))))</f>
        <v/>
      </c>
      <c r="N271" s="69" t="str">
        <f>IF(Main[[#This Row],[Tech Start Date]]&lt;1/1/1990,"",IF(Main[[#This Row],[Class]]="C",WORKDAY(Main[[#This Row],[Tech Start Date]],19),IF(Main[[#This Row],[Class]]="B", WORKDAY(Main[[#This Row],[Tech Start Date]],12),IF(Main[[#This Row],[Class]]="A",WORKDAY(Main[[#This Row],[Tech Start Date]],4),""))))</f>
        <v/>
      </c>
      <c r="O271" s="69" t="str">
        <f>IF(Main[[#This Row],[Tech Start Date]]&lt;1/1/1990,"",IF(Main[[#This Row],[Class]]="C",WORKDAY(Main[[#This Row],[Tech Start Date]],23),IF(Main[[#This Row],[Class]]="B", WORKDAY(Main[[#This Row],[Tech Start Date]],15),IF(Main[[#This Row],[Class]]="A",WORKDAY(Main[[#This Row],[Tech Start Date]],5),""))))</f>
        <v/>
      </c>
      <c r="P271" s="69" t="str">
        <f>IF(Main[[#This Row],[Tech Start Date]]&lt;1/1/1990,"",IF(Main[[#This Row],[Class]]="C",WORKDAY(Main[[#This Row],[Tech Start Date]],28),IF(Main[[#This Row],[Class]]="B", WORKDAY(Main[[#This Row],[Tech Start Date]],19),IF(Main[[#This Row],[Class]]="A",WORKDAY(Main[[#This Row],[Tech Start Date]],9),""))))</f>
        <v/>
      </c>
      <c r="Q271" s="67"/>
      <c r="R271" s="67"/>
      <c r="S271" s="65" t="s">
        <v>17</v>
      </c>
      <c r="T271" s="70" t="s">
        <v>4</v>
      </c>
      <c r="U271" s="65" t="s">
        <v>14</v>
      </c>
      <c r="V271" s="65" t="s">
        <v>1914</v>
      </c>
      <c r="W271" s="65" t="s">
        <v>1918</v>
      </c>
      <c r="X271" s="65" t="s">
        <v>129</v>
      </c>
      <c r="Y271" s="65" t="s">
        <v>4</v>
      </c>
      <c r="Z271" s="65" t="s">
        <v>129</v>
      </c>
      <c r="AA271" s="65" t="s">
        <v>2821</v>
      </c>
    </row>
    <row r="272" spans="1:27" ht="17.45" hidden="1" customHeight="1">
      <c r="A272" s="100" t="str">
        <f>IF(priority(Main[[#This Row],[Comments]])&lt;&gt;0, priority(Main[[#This Row],[Comments]]),"")</f>
        <v/>
      </c>
      <c r="B272" s="77" t="s">
        <v>1255</v>
      </c>
      <c r="C272" s="65" t="s">
        <v>4</v>
      </c>
      <c r="D272" s="66" t="s">
        <v>321</v>
      </c>
      <c r="E272" s="67"/>
      <c r="F272" s="67"/>
      <c r="G272" s="64" t="str">
        <f>IF(stdProdLT(Main[[#This Row],[Comments]])=0.1,"N/A",IF(stdProdLT(Main[[#This Row],[Comments]])=0,"",stdProdLT(Main[[#This Row],[Comments]])))</f>
        <v/>
      </c>
      <c r="H272" s="68" t="str">
        <f>IF(AND(Main[[#This Row],[In Stock Date]]&lt;&gt;"",Main[[#This Row],[Revised Due Date]]&lt;&gt;""),Main[[#This Row],[In Stock Date]]-Main[[#This Row],[Revised Due Date]],"")</f>
        <v/>
      </c>
      <c r="I272" s="65" t="s">
        <v>4</v>
      </c>
      <c r="J272" s="65" t="s">
        <v>4</v>
      </c>
      <c r="K272" s="65" t="s">
        <v>4</v>
      </c>
      <c r="L272" s="67"/>
      <c r="M272" s="69" t="str">
        <f>IF(Main[[#This Row],[Tech Start Date]]&lt;1/1/1990,"",IF(Main[[#This Row],[Class]]="C",WORKDAY(Main[[#This Row],[Tech Start Date]],9),IF(Main[[#This Row],[Class]]="B", WORKDAY(Main[[#This Row],[Tech Start Date]],6),IF(Main[[#This Row],[Class]]="A",WORKDAY(Main[[#This Row],[Tech Start Date]],2),""))))</f>
        <v/>
      </c>
      <c r="N272" s="69" t="str">
        <f>IF(Main[[#This Row],[Tech Start Date]]&lt;1/1/1990,"",IF(Main[[#This Row],[Class]]="C",WORKDAY(Main[[#This Row],[Tech Start Date]],19),IF(Main[[#This Row],[Class]]="B", WORKDAY(Main[[#This Row],[Tech Start Date]],12),IF(Main[[#This Row],[Class]]="A",WORKDAY(Main[[#This Row],[Tech Start Date]],4),""))))</f>
        <v/>
      </c>
      <c r="O272" s="69" t="str">
        <f>IF(Main[[#This Row],[Tech Start Date]]&lt;1/1/1990,"",IF(Main[[#This Row],[Class]]="C",WORKDAY(Main[[#This Row],[Tech Start Date]],23),IF(Main[[#This Row],[Class]]="B", WORKDAY(Main[[#This Row],[Tech Start Date]],15),IF(Main[[#This Row],[Class]]="A",WORKDAY(Main[[#This Row],[Tech Start Date]],5),""))))</f>
        <v/>
      </c>
      <c r="P272" s="69" t="str">
        <f>IF(Main[[#This Row],[Tech Start Date]]&lt;1/1/1990,"",IF(Main[[#This Row],[Class]]="C",WORKDAY(Main[[#This Row],[Tech Start Date]],28),IF(Main[[#This Row],[Class]]="B", WORKDAY(Main[[#This Row],[Tech Start Date]],19),IF(Main[[#This Row],[Class]]="A",WORKDAY(Main[[#This Row],[Tech Start Date]],9),""))))</f>
        <v/>
      </c>
      <c r="Q272" s="67">
        <v>40725</v>
      </c>
      <c r="R272" s="67"/>
      <c r="S272" s="65" t="s">
        <v>17</v>
      </c>
      <c r="T272" s="70" t="s">
        <v>4</v>
      </c>
      <c r="U272" s="65" t="s">
        <v>14</v>
      </c>
      <c r="V272" s="65" t="s">
        <v>1914</v>
      </c>
      <c r="W272" s="65" t="s">
        <v>1916</v>
      </c>
      <c r="X272" s="65" t="s">
        <v>907</v>
      </c>
      <c r="Y272" s="65" t="s">
        <v>3017</v>
      </c>
      <c r="Z272" s="65" t="s">
        <v>4</v>
      </c>
      <c r="AA272" s="65" t="s">
        <v>907</v>
      </c>
    </row>
    <row r="273" spans="1:27" ht="17.45" hidden="1" customHeight="1">
      <c r="A273" s="100" t="str">
        <f>IF(priority(Main[[#This Row],[Comments]])&lt;&gt;0, priority(Main[[#This Row],[Comments]]),"")</f>
        <v/>
      </c>
      <c r="B273" s="77" t="s">
        <v>1256</v>
      </c>
      <c r="C273" s="65" t="s">
        <v>93</v>
      </c>
      <c r="D273" s="66" t="s">
        <v>322</v>
      </c>
      <c r="E273" s="67"/>
      <c r="F273" s="67">
        <v>40168</v>
      </c>
      <c r="G273" s="64" t="str">
        <f>IF(stdProdLT(Main[[#This Row],[Comments]])=0.1,"N/A",IF(stdProdLT(Main[[#This Row],[Comments]])=0,"",stdProdLT(Main[[#This Row],[Comments]])))</f>
        <v/>
      </c>
      <c r="H273" s="68" t="str">
        <f>IF(AND(Main[[#This Row],[In Stock Date]]&lt;&gt;"",Main[[#This Row],[Revised Due Date]]&lt;&gt;""),Main[[#This Row],[In Stock Date]]-Main[[#This Row],[Revised Due Date]],"")</f>
        <v/>
      </c>
      <c r="I273" s="65" t="s">
        <v>4</v>
      </c>
      <c r="J273" s="65" t="s">
        <v>4</v>
      </c>
      <c r="K273" s="65" t="s">
        <v>4</v>
      </c>
      <c r="L273" s="67"/>
      <c r="M273" s="69" t="str">
        <f>IF(Main[[#This Row],[Tech Start Date]]&lt;1/1/1990,"",IF(Main[[#This Row],[Class]]="C",WORKDAY(Main[[#This Row],[Tech Start Date]],9),IF(Main[[#This Row],[Class]]="B", WORKDAY(Main[[#This Row],[Tech Start Date]],6),IF(Main[[#This Row],[Class]]="A",WORKDAY(Main[[#This Row],[Tech Start Date]],2),""))))</f>
        <v/>
      </c>
      <c r="N273" s="69" t="str">
        <f>IF(Main[[#This Row],[Tech Start Date]]&lt;1/1/1990,"",IF(Main[[#This Row],[Class]]="C",WORKDAY(Main[[#This Row],[Tech Start Date]],19),IF(Main[[#This Row],[Class]]="B", WORKDAY(Main[[#This Row],[Tech Start Date]],12),IF(Main[[#This Row],[Class]]="A",WORKDAY(Main[[#This Row],[Tech Start Date]],4),""))))</f>
        <v/>
      </c>
      <c r="O273" s="69" t="str">
        <f>IF(Main[[#This Row],[Tech Start Date]]&lt;1/1/1990,"",IF(Main[[#This Row],[Class]]="C",WORKDAY(Main[[#This Row],[Tech Start Date]],23),IF(Main[[#This Row],[Class]]="B", WORKDAY(Main[[#This Row],[Tech Start Date]],15),IF(Main[[#This Row],[Class]]="A",WORKDAY(Main[[#This Row],[Tech Start Date]],5),""))))</f>
        <v/>
      </c>
      <c r="P273" s="69" t="str">
        <f>IF(Main[[#This Row],[Tech Start Date]]&lt;1/1/1990,"",IF(Main[[#This Row],[Class]]="C",WORKDAY(Main[[#This Row],[Tech Start Date]],28),IF(Main[[#This Row],[Class]]="B", WORKDAY(Main[[#This Row],[Tech Start Date]],19),IF(Main[[#This Row],[Class]]="A",WORKDAY(Main[[#This Row],[Tech Start Date]],9),""))))</f>
        <v/>
      </c>
      <c r="Q273" s="67">
        <v>39993</v>
      </c>
      <c r="R273" s="67"/>
      <c r="S273" s="65" t="s">
        <v>11</v>
      </c>
      <c r="T273" s="70" t="s">
        <v>4</v>
      </c>
      <c r="U273" s="65" t="s">
        <v>14</v>
      </c>
      <c r="V273" s="65" t="s">
        <v>1915</v>
      </c>
      <c r="W273" s="65" t="s">
        <v>1922</v>
      </c>
      <c r="X273" s="65" t="s">
        <v>2853</v>
      </c>
      <c r="Y273" s="65" t="s">
        <v>2991</v>
      </c>
      <c r="Z273" s="65" t="s">
        <v>4</v>
      </c>
      <c r="AA273" s="65" t="s">
        <v>2853</v>
      </c>
    </row>
    <row r="274" spans="1:27" ht="17.45" hidden="1" customHeight="1">
      <c r="A274" s="100" t="str">
        <f>IF(priority(Main[[#This Row],[Comments]])&lt;&gt;0, priority(Main[[#This Row],[Comments]]),"")</f>
        <v/>
      </c>
      <c r="B274" s="77" t="s">
        <v>1257</v>
      </c>
      <c r="C274" s="65" t="s">
        <v>93</v>
      </c>
      <c r="D274" s="66" t="s">
        <v>323</v>
      </c>
      <c r="E274" s="67"/>
      <c r="F274" s="67">
        <v>40299</v>
      </c>
      <c r="G274" s="64" t="str">
        <f>IF(stdProdLT(Main[[#This Row],[Comments]])=0.1,"N/A",IF(stdProdLT(Main[[#This Row],[Comments]])=0,"",stdProdLT(Main[[#This Row],[Comments]])))</f>
        <v/>
      </c>
      <c r="H274" s="68" t="str">
        <f>IF(AND(Main[[#This Row],[In Stock Date]]&lt;&gt;"",Main[[#This Row],[Revised Due Date]]&lt;&gt;""),Main[[#This Row],[In Stock Date]]-Main[[#This Row],[Revised Due Date]],"")</f>
        <v/>
      </c>
      <c r="I274" s="65" t="s">
        <v>4</v>
      </c>
      <c r="J274" s="65" t="s">
        <v>4</v>
      </c>
      <c r="K274" s="65" t="s">
        <v>4</v>
      </c>
      <c r="L274" s="67"/>
      <c r="M274" s="69" t="str">
        <f>IF(Main[[#This Row],[Tech Start Date]]&lt;1/1/1990,"",IF(Main[[#This Row],[Class]]="C",WORKDAY(Main[[#This Row],[Tech Start Date]],9),IF(Main[[#This Row],[Class]]="B", WORKDAY(Main[[#This Row],[Tech Start Date]],6),IF(Main[[#This Row],[Class]]="A",WORKDAY(Main[[#This Row],[Tech Start Date]],2),""))))</f>
        <v/>
      </c>
      <c r="N274" s="69" t="str">
        <f>IF(Main[[#This Row],[Tech Start Date]]&lt;1/1/1990,"",IF(Main[[#This Row],[Class]]="C",WORKDAY(Main[[#This Row],[Tech Start Date]],19),IF(Main[[#This Row],[Class]]="B", WORKDAY(Main[[#This Row],[Tech Start Date]],12),IF(Main[[#This Row],[Class]]="A",WORKDAY(Main[[#This Row],[Tech Start Date]],4),""))))</f>
        <v/>
      </c>
      <c r="O274" s="69" t="str">
        <f>IF(Main[[#This Row],[Tech Start Date]]&lt;1/1/1990,"",IF(Main[[#This Row],[Class]]="C",WORKDAY(Main[[#This Row],[Tech Start Date]],23),IF(Main[[#This Row],[Class]]="B", WORKDAY(Main[[#This Row],[Tech Start Date]],15),IF(Main[[#This Row],[Class]]="A",WORKDAY(Main[[#This Row],[Tech Start Date]],5),""))))</f>
        <v/>
      </c>
      <c r="P274" s="69" t="str">
        <f>IF(Main[[#This Row],[Tech Start Date]]&lt;1/1/1990,"",IF(Main[[#This Row],[Class]]="C",WORKDAY(Main[[#This Row],[Tech Start Date]],28),IF(Main[[#This Row],[Class]]="B", WORKDAY(Main[[#This Row],[Tech Start Date]],19),IF(Main[[#This Row],[Class]]="A",WORKDAY(Main[[#This Row],[Tech Start Date]],9),""))))</f>
        <v/>
      </c>
      <c r="Q274" s="67">
        <v>40214</v>
      </c>
      <c r="R274" s="67"/>
      <c r="S274" s="65" t="s">
        <v>11</v>
      </c>
      <c r="T274" s="70" t="s">
        <v>4</v>
      </c>
      <c r="U274" s="65" t="s">
        <v>12</v>
      </c>
      <c r="V274" s="65" t="s">
        <v>1914</v>
      </c>
      <c r="W274" s="65" t="s">
        <v>1920</v>
      </c>
      <c r="X274" s="65" t="s">
        <v>2845</v>
      </c>
      <c r="Y274" s="65" t="s">
        <v>4</v>
      </c>
      <c r="Z274" s="65" t="s">
        <v>4</v>
      </c>
      <c r="AA274" s="65" t="s">
        <v>2845</v>
      </c>
    </row>
    <row r="275" spans="1:27" ht="17.45" hidden="1" customHeight="1">
      <c r="A275" s="100" t="str">
        <f>IF(priority(Main[[#This Row],[Comments]])&lt;&gt;0, priority(Main[[#This Row],[Comments]]),"")</f>
        <v/>
      </c>
      <c r="B275" s="77" t="s">
        <v>1258</v>
      </c>
      <c r="C275" s="65" t="s">
        <v>4</v>
      </c>
      <c r="D275" s="66" t="s">
        <v>328</v>
      </c>
      <c r="E275" s="67"/>
      <c r="F275" s="67"/>
      <c r="G275" s="64" t="str">
        <f>IF(stdProdLT(Main[[#This Row],[Comments]])=0.1,"N/A",IF(stdProdLT(Main[[#This Row],[Comments]])=0,"",stdProdLT(Main[[#This Row],[Comments]])))</f>
        <v/>
      </c>
      <c r="H275" s="68" t="str">
        <f>IF(AND(Main[[#This Row],[In Stock Date]]&lt;&gt;"",Main[[#This Row],[Revised Due Date]]&lt;&gt;""),Main[[#This Row],[In Stock Date]]-Main[[#This Row],[Revised Due Date]],"")</f>
        <v/>
      </c>
      <c r="I275" s="65" t="s">
        <v>4</v>
      </c>
      <c r="J275" s="65" t="s">
        <v>4</v>
      </c>
      <c r="K275" s="65" t="s">
        <v>4</v>
      </c>
      <c r="L275" s="67"/>
      <c r="M275" s="69" t="str">
        <f>IF(Main[[#This Row],[Tech Start Date]]&lt;1/1/1990,"",IF(Main[[#This Row],[Class]]="C",WORKDAY(Main[[#This Row],[Tech Start Date]],9),IF(Main[[#This Row],[Class]]="B", WORKDAY(Main[[#This Row],[Tech Start Date]],6),IF(Main[[#This Row],[Class]]="A",WORKDAY(Main[[#This Row],[Tech Start Date]],2),""))))</f>
        <v/>
      </c>
      <c r="N275" s="69" t="str">
        <f>IF(Main[[#This Row],[Tech Start Date]]&lt;1/1/1990,"",IF(Main[[#This Row],[Class]]="C",WORKDAY(Main[[#This Row],[Tech Start Date]],19),IF(Main[[#This Row],[Class]]="B", WORKDAY(Main[[#This Row],[Tech Start Date]],12),IF(Main[[#This Row],[Class]]="A",WORKDAY(Main[[#This Row],[Tech Start Date]],4),""))))</f>
        <v/>
      </c>
      <c r="O275" s="69" t="str">
        <f>IF(Main[[#This Row],[Tech Start Date]]&lt;1/1/1990,"",IF(Main[[#This Row],[Class]]="C",WORKDAY(Main[[#This Row],[Tech Start Date]],23),IF(Main[[#This Row],[Class]]="B", WORKDAY(Main[[#This Row],[Tech Start Date]],15),IF(Main[[#This Row],[Class]]="A",WORKDAY(Main[[#This Row],[Tech Start Date]],5),""))))</f>
        <v/>
      </c>
      <c r="P275" s="69" t="str">
        <f>IF(Main[[#This Row],[Tech Start Date]]&lt;1/1/1990,"",IF(Main[[#This Row],[Class]]="C",WORKDAY(Main[[#This Row],[Tech Start Date]],28),IF(Main[[#This Row],[Class]]="B", WORKDAY(Main[[#This Row],[Tech Start Date]],19),IF(Main[[#This Row],[Class]]="A",WORKDAY(Main[[#This Row],[Tech Start Date]],9),""))))</f>
        <v/>
      </c>
      <c r="Q275" s="67"/>
      <c r="R275" s="67"/>
      <c r="S275" s="65" t="s">
        <v>17</v>
      </c>
      <c r="T275" s="70" t="s">
        <v>4</v>
      </c>
      <c r="U275" s="65" t="s">
        <v>14</v>
      </c>
      <c r="V275" s="65" t="s">
        <v>1914</v>
      </c>
      <c r="W275" s="65" t="s">
        <v>1916</v>
      </c>
      <c r="X275" s="65" t="s">
        <v>907</v>
      </c>
      <c r="Y275" s="65" t="s">
        <v>3017</v>
      </c>
      <c r="Z275" s="65" t="s">
        <v>4</v>
      </c>
      <c r="AA275" s="65" t="s">
        <v>907</v>
      </c>
    </row>
    <row r="276" spans="1:27" ht="17.45" hidden="1" customHeight="1">
      <c r="A276" s="100" t="str">
        <f>IF(priority(Main[[#This Row],[Comments]])&lt;&gt;0, priority(Main[[#This Row],[Comments]]),"")</f>
        <v/>
      </c>
      <c r="B276" s="77" t="s">
        <v>3596</v>
      </c>
      <c r="C276" s="65" t="s">
        <v>4</v>
      </c>
      <c r="D276" s="66" t="s">
        <v>3597</v>
      </c>
      <c r="E276" s="67">
        <v>40967.694027777776</v>
      </c>
      <c r="F276" s="67"/>
      <c r="G276" s="64" t="str">
        <f>IF(stdProdLT(Main[[#This Row],[Comments]])=0.1,"N/A",IF(stdProdLT(Main[[#This Row],[Comments]])=0,"",stdProdLT(Main[[#This Row],[Comments]])))</f>
        <v/>
      </c>
      <c r="H276" s="68" t="str">
        <f>IF(AND(Main[[#This Row],[In Stock Date]]&lt;&gt;"",Main[[#This Row],[Revised Due Date]]&lt;&gt;""),Main[[#This Row],[In Stock Date]]-Main[[#This Row],[Revised Due Date]],"")</f>
        <v/>
      </c>
      <c r="I276" s="65" t="s">
        <v>4</v>
      </c>
      <c r="J276" s="65" t="s">
        <v>4</v>
      </c>
      <c r="K276" s="65" t="s">
        <v>4</v>
      </c>
      <c r="L276" s="67"/>
      <c r="M276" s="69" t="str">
        <f>IF(Main[[#This Row],[Tech Start Date]]&lt;1/1/1990,"",IF(Main[[#This Row],[Class]]="C",WORKDAY(Main[[#This Row],[Tech Start Date]],9),IF(Main[[#This Row],[Class]]="B", WORKDAY(Main[[#This Row],[Tech Start Date]],6),IF(Main[[#This Row],[Class]]="A",WORKDAY(Main[[#This Row],[Tech Start Date]],2),""))))</f>
        <v/>
      </c>
      <c r="N276" s="69" t="str">
        <f>IF(Main[[#This Row],[Tech Start Date]]&lt;1/1/1990,"",IF(Main[[#This Row],[Class]]="C",WORKDAY(Main[[#This Row],[Tech Start Date]],19),IF(Main[[#This Row],[Class]]="B", WORKDAY(Main[[#This Row],[Tech Start Date]],12),IF(Main[[#This Row],[Class]]="A",WORKDAY(Main[[#This Row],[Tech Start Date]],4),""))))</f>
        <v/>
      </c>
      <c r="O276" s="69" t="str">
        <f>IF(Main[[#This Row],[Tech Start Date]]&lt;1/1/1990,"",IF(Main[[#This Row],[Class]]="C",WORKDAY(Main[[#This Row],[Tech Start Date]],23),IF(Main[[#This Row],[Class]]="B", WORKDAY(Main[[#This Row],[Tech Start Date]],15),IF(Main[[#This Row],[Class]]="A",WORKDAY(Main[[#This Row],[Tech Start Date]],5),""))))</f>
        <v/>
      </c>
      <c r="P276" s="69" t="str">
        <f>IF(Main[[#This Row],[Tech Start Date]]&lt;1/1/1990,"",IF(Main[[#This Row],[Class]]="C",WORKDAY(Main[[#This Row],[Tech Start Date]],28),IF(Main[[#This Row],[Class]]="B", WORKDAY(Main[[#This Row],[Tech Start Date]],19),IF(Main[[#This Row],[Class]]="A",WORKDAY(Main[[#This Row],[Tech Start Date]],9),""))))</f>
        <v/>
      </c>
      <c r="Q276" s="67"/>
      <c r="R276" s="67"/>
      <c r="S276" s="65" t="s">
        <v>6</v>
      </c>
      <c r="T276" s="70" t="s">
        <v>4</v>
      </c>
      <c r="U276" s="65" t="s">
        <v>7</v>
      </c>
      <c r="V276" s="65" t="s">
        <v>1917</v>
      </c>
      <c r="W276" s="65" t="s">
        <v>1918</v>
      </c>
      <c r="X276" s="65" t="s">
        <v>69</v>
      </c>
      <c r="Y276" s="65" t="s">
        <v>4</v>
      </c>
      <c r="Z276" s="65" t="s">
        <v>4</v>
      </c>
      <c r="AA276" s="65" t="s">
        <v>4</v>
      </c>
    </row>
    <row r="277" spans="1:27" ht="17.45" hidden="1" customHeight="1">
      <c r="A277" s="100" t="str">
        <f>IF(priority(Main[[#This Row],[Comments]])&lt;&gt;0, priority(Main[[#This Row],[Comments]]),"")</f>
        <v/>
      </c>
      <c r="B277" s="77" t="s">
        <v>1259</v>
      </c>
      <c r="C277" s="65" t="s">
        <v>4</v>
      </c>
      <c r="D277" s="66" t="s">
        <v>329</v>
      </c>
      <c r="E277" s="67">
        <v>40519.3518287037</v>
      </c>
      <c r="F277" s="67"/>
      <c r="G277" s="64" t="str">
        <f>IF(stdProdLT(Main[[#This Row],[Comments]])=0.1,"N/A",IF(stdProdLT(Main[[#This Row],[Comments]])=0,"",stdProdLT(Main[[#This Row],[Comments]])))</f>
        <v/>
      </c>
      <c r="H277" s="68" t="str">
        <f>IF(AND(Main[[#This Row],[In Stock Date]]&lt;&gt;"",Main[[#This Row],[Revised Due Date]]&lt;&gt;""),Main[[#This Row],[In Stock Date]]-Main[[#This Row],[Revised Due Date]],"")</f>
        <v/>
      </c>
      <c r="I277" s="65" t="s">
        <v>4</v>
      </c>
      <c r="J277" s="65" t="s">
        <v>4</v>
      </c>
      <c r="K277" s="65" t="s">
        <v>4</v>
      </c>
      <c r="L277" s="67"/>
      <c r="M277" s="69" t="str">
        <f>IF(Main[[#This Row],[Tech Start Date]]&lt;1/1/1990,"",IF(Main[[#This Row],[Class]]="C",WORKDAY(Main[[#This Row],[Tech Start Date]],9),IF(Main[[#This Row],[Class]]="B", WORKDAY(Main[[#This Row],[Tech Start Date]],6),IF(Main[[#This Row],[Class]]="A",WORKDAY(Main[[#This Row],[Tech Start Date]],2),""))))</f>
        <v/>
      </c>
      <c r="N277" s="69" t="str">
        <f>IF(Main[[#This Row],[Tech Start Date]]&lt;1/1/1990,"",IF(Main[[#This Row],[Class]]="C",WORKDAY(Main[[#This Row],[Tech Start Date]],19),IF(Main[[#This Row],[Class]]="B", WORKDAY(Main[[#This Row],[Tech Start Date]],12),IF(Main[[#This Row],[Class]]="A",WORKDAY(Main[[#This Row],[Tech Start Date]],4),""))))</f>
        <v/>
      </c>
      <c r="O277" s="69" t="str">
        <f>IF(Main[[#This Row],[Tech Start Date]]&lt;1/1/1990,"",IF(Main[[#This Row],[Class]]="C",WORKDAY(Main[[#This Row],[Tech Start Date]],23),IF(Main[[#This Row],[Class]]="B", WORKDAY(Main[[#This Row],[Tech Start Date]],15),IF(Main[[#This Row],[Class]]="A",WORKDAY(Main[[#This Row],[Tech Start Date]],5),""))))</f>
        <v/>
      </c>
      <c r="P277" s="69" t="str">
        <f>IF(Main[[#This Row],[Tech Start Date]]&lt;1/1/1990,"",IF(Main[[#This Row],[Class]]="C",WORKDAY(Main[[#This Row],[Tech Start Date]],28),IF(Main[[#This Row],[Class]]="B", WORKDAY(Main[[#This Row],[Tech Start Date]],19),IF(Main[[#This Row],[Class]]="A",WORKDAY(Main[[#This Row],[Tech Start Date]],9),""))))</f>
        <v/>
      </c>
      <c r="Q277" s="67">
        <v>40536</v>
      </c>
      <c r="R277" s="67"/>
      <c r="S277" s="65" t="s">
        <v>4</v>
      </c>
      <c r="T277" s="70" t="s">
        <v>4</v>
      </c>
      <c r="U277" s="65" t="s">
        <v>7</v>
      </c>
      <c r="V277" s="65" t="s">
        <v>1914</v>
      </c>
      <c r="W277" s="65" t="s">
        <v>4</v>
      </c>
      <c r="X277" s="65" t="s">
        <v>2818</v>
      </c>
      <c r="Y277" s="65" t="s">
        <v>2929</v>
      </c>
      <c r="Z277" s="65" t="s">
        <v>4</v>
      </c>
      <c r="AA277" s="65" t="s">
        <v>2818</v>
      </c>
    </row>
    <row r="278" spans="1:27" ht="17.45" hidden="1" customHeight="1">
      <c r="A278" s="100" t="str">
        <f>IF(priority(Main[[#This Row],[Comments]])&lt;&gt;0, priority(Main[[#This Row],[Comments]]),"")</f>
        <v/>
      </c>
      <c r="B278" s="77" t="s">
        <v>1260</v>
      </c>
      <c r="C278" s="65" t="s">
        <v>72</v>
      </c>
      <c r="D278" s="66" t="s">
        <v>330</v>
      </c>
      <c r="E278" s="67"/>
      <c r="F278" s="67">
        <v>40313</v>
      </c>
      <c r="G278" s="64" t="str">
        <f>IF(stdProdLT(Main[[#This Row],[Comments]])=0.1,"N/A",IF(stdProdLT(Main[[#This Row],[Comments]])=0,"",stdProdLT(Main[[#This Row],[Comments]])))</f>
        <v/>
      </c>
      <c r="H278" s="68" t="str">
        <f>IF(AND(Main[[#This Row],[In Stock Date]]&lt;&gt;"",Main[[#This Row],[Revised Due Date]]&lt;&gt;""),Main[[#This Row],[In Stock Date]]-Main[[#This Row],[Revised Due Date]],"")</f>
        <v/>
      </c>
      <c r="I278" s="65" t="s">
        <v>4</v>
      </c>
      <c r="J278" s="65" t="s">
        <v>4</v>
      </c>
      <c r="K278" s="65" t="s">
        <v>4</v>
      </c>
      <c r="L278" s="67"/>
      <c r="M278" s="69" t="str">
        <f>IF(Main[[#This Row],[Tech Start Date]]&lt;1/1/1990,"",IF(Main[[#This Row],[Class]]="C",WORKDAY(Main[[#This Row],[Tech Start Date]],9),IF(Main[[#This Row],[Class]]="B", WORKDAY(Main[[#This Row],[Tech Start Date]],6),IF(Main[[#This Row],[Class]]="A",WORKDAY(Main[[#This Row],[Tech Start Date]],2),""))))</f>
        <v/>
      </c>
      <c r="N278" s="69" t="str">
        <f>IF(Main[[#This Row],[Tech Start Date]]&lt;1/1/1990,"",IF(Main[[#This Row],[Class]]="C",WORKDAY(Main[[#This Row],[Tech Start Date]],19),IF(Main[[#This Row],[Class]]="B", WORKDAY(Main[[#This Row],[Tech Start Date]],12),IF(Main[[#This Row],[Class]]="A",WORKDAY(Main[[#This Row],[Tech Start Date]],4),""))))</f>
        <v/>
      </c>
      <c r="O278" s="69" t="str">
        <f>IF(Main[[#This Row],[Tech Start Date]]&lt;1/1/1990,"",IF(Main[[#This Row],[Class]]="C",WORKDAY(Main[[#This Row],[Tech Start Date]],23),IF(Main[[#This Row],[Class]]="B", WORKDAY(Main[[#This Row],[Tech Start Date]],15),IF(Main[[#This Row],[Class]]="A",WORKDAY(Main[[#This Row],[Tech Start Date]],5),""))))</f>
        <v/>
      </c>
      <c r="P278" s="69" t="str">
        <f>IF(Main[[#This Row],[Tech Start Date]]&lt;1/1/1990,"",IF(Main[[#This Row],[Class]]="C",WORKDAY(Main[[#This Row],[Tech Start Date]],28),IF(Main[[#This Row],[Class]]="B", WORKDAY(Main[[#This Row],[Tech Start Date]],19),IF(Main[[#This Row],[Class]]="A",WORKDAY(Main[[#This Row],[Tech Start Date]],9),""))))</f>
        <v/>
      </c>
      <c r="Q278" s="67">
        <v>40233</v>
      </c>
      <c r="R278" s="67"/>
      <c r="S278" s="65" t="s">
        <v>11</v>
      </c>
      <c r="T278" s="70" t="s">
        <v>4</v>
      </c>
      <c r="U278" s="65" t="s">
        <v>14</v>
      </c>
      <c r="V278" s="65" t="s">
        <v>1917</v>
      </c>
      <c r="W278" s="65" t="s">
        <v>1922</v>
      </c>
      <c r="X278" s="65" t="s">
        <v>2824</v>
      </c>
      <c r="Y278" s="65" t="s">
        <v>2943</v>
      </c>
      <c r="Z278" s="65" t="s">
        <v>4</v>
      </c>
      <c r="AA278" s="65" t="s">
        <v>2824</v>
      </c>
    </row>
    <row r="279" spans="1:27" ht="17.45" hidden="1" customHeight="1">
      <c r="A279" s="100" t="str">
        <f>IF(priority(Main[[#This Row],[Comments]])&lt;&gt;0, priority(Main[[#This Row],[Comments]]),"")</f>
        <v/>
      </c>
      <c r="B279" s="77" t="s">
        <v>1261</v>
      </c>
      <c r="C279" s="65" t="s">
        <v>4</v>
      </c>
      <c r="D279" s="66" t="s">
        <v>331</v>
      </c>
      <c r="E279" s="67"/>
      <c r="F279" s="67"/>
      <c r="G279" s="64" t="str">
        <f>IF(stdProdLT(Main[[#This Row],[Comments]])=0.1,"N/A",IF(stdProdLT(Main[[#This Row],[Comments]])=0,"",stdProdLT(Main[[#This Row],[Comments]])))</f>
        <v/>
      </c>
      <c r="H279" s="68" t="str">
        <f>IF(AND(Main[[#This Row],[In Stock Date]]&lt;&gt;"",Main[[#This Row],[Revised Due Date]]&lt;&gt;""),Main[[#This Row],[In Stock Date]]-Main[[#This Row],[Revised Due Date]],"")</f>
        <v/>
      </c>
      <c r="I279" s="65" t="s">
        <v>4</v>
      </c>
      <c r="J279" s="65" t="s">
        <v>4</v>
      </c>
      <c r="K279" s="71" t="s">
        <v>4</v>
      </c>
      <c r="L279" s="67"/>
      <c r="M279" s="69" t="str">
        <f>IF(Main[[#This Row],[Tech Start Date]]&lt;1/1/1990,"",IF(Main[[#This Row],[Class]]="C",WORKDAY(Main[[#This Row],[Tech Start Date]],9),IF(Main[[#This Row],[Class]]="B", WORKDAY(Main[[#This Row],[Tech Start Date]],6),IF(Main[[#This Row],[Class]]="A",WORKDAY(Main[[#This Row],[Tech Start Date]],2),""))))</f>
        <v/>
      </c>
      <c r="N279" s="69" t="str">
        <f>IF(Main[[#This Row],[Tech Start Date]]&lt;1/1/1990,"",IF(Main[[#This Row],[Class]]="C",WORKDAY(Main[[#This Row],[Tech Start Date]],19),IF(Main[[#This Row],[Class]]="B", WORKDAY(Main[[#This Row],[Tech Start Date]],12),IF(Main[[#This Row],[Class]]="A",WORKDAY(Main[[#This Row],[Tech Start Date]],4),""))))</f>
        <v/>
      </c>
      <c r="O279" s="69" t="str">
        <f>IF(Main[[#This Row],[Tech Start Date]]&lt;1/1/1990,"",IF(Main[[#This Row],[Class]]="C",WORKDAY(Main[[#This Row],[Tech Start Date]],23),IF(Main[[#This Row],[Class]]="B", WORKDAY(Main[[#This Row],[Tech Start Date]],15),IF(Main[[#This Row],[Class]]="A",WORKDAY(Main[[#This Row],[Tech Start Date]],5),""))))</f>
        <v/>
      </c>
      <c r="P279" s="69" t="str">
        <f>IF(Main[[#This Row],[Tech Start Date]]&lt;1/1/1990,"",IF(Main[[#This Row],[Class]]="C",WORKDAY(Main[[#This Row],[Tech Start Date]],28),IF(Main[[#This Row],[Class]]="B", WORKDAY(Main[[#This Row],[Tech Start Date]],19),IF(Main[[#This Row],[Class]]="A",WORKDAY(Main[[#This Row],[Tech Start Date]],9),""))))</f>
        <v/>
      </c>
      <c r="Q279" s="67"/>
      <c r="R279" s="67"/>
      <c r="S279" s="65" t="s">
        <v>11</v>
      </c>
      <c r="T279" s="70" t="s">
        <v>4</v>
      </c>
      <c r="U279" s="65" t="s">
        <v>12</v>
      </c>
      <c r="V279" s="65" t="s">
        <v>1914</v>
      </c>
      <c r="W279" s="65" t="s">
        <v>1928</v>
      </c>
      <c r="X279" s="65" t="s">
        <v>922</v>
      </c>
      <c r="Y279" s="65" t="s">
        <v>2982</v>
      </c>
      <c r="Z279" s="65" t="s">
        <v>4</v>
      </c>
      <c r="AA279" s="65" t="s">
        <v>922</v>
      </c>
    </row>
    <row r="280" spans="1:27" ht="17.45" hidden="1" customHeight="1">
      <c r="A280" s="100" t="str">
        <f>IF(priority(Main[[#This Row],[Comments]])&lt;&gt;0, priority(Main[[#This Row],[Comments]]),"")</f>
        <v/>
      </c>
      <c r="B280" s="77" t="s">
        <v>1262</v>
      </c>
      <c r="C280" s="65" t="s">
        <v>4</v>
      </c>
      <c r="D280" s="66" t="s">
        <v>332</v>
      </c>
      <c r="E280" s="67">
        <v>40322.153738425928</v>
      </c>
      <c r="F280" s="67"/>
      <c r="G280" s="64" t="str">
        <f>IF(stdProdLT(Main[[#This Row],[Comments]])=0.1,"N/A",IF(stdProdLT(Main[[#This Row],[Comments]])=0,"",stdProdLT(Main[[#This Row],[Comments]])))</f>
        <v/>
      </c>
      <c r="H280" s="68" t="str">
        <f>IF(AND(Main[[#This Row],[In Stock Date]]&lt;&gt;"",Main[[#This Row],[Revised Due Date]]&lt;&gt;""),Main[[#This Row],[In Stock Date]]-Main[[#This Row],[Revised Due Date]],"")</f>
        <v/>
      </c>
      <c r="I280" s="65" t="s">
        <v>129</v>
      </c>
      <c r="J280" s="65" t="s">
        <v>4</v>
      </c>
      <c r="K280" s="65" t="s">
        <v>4</v>
      </c>
      <c r="L280" s="67"/>
      <c r="M280" s="69" t="str">
        <f>IF(Main[[#This Row],[Tech Start Date]]&lt;1/1/1990,"",IF(Main[[#This Row],[Class]]="C",WORKDAY(Main[[#This Row],[Tech Start Date]],9),IF(Main[[#This Row],[Class]]="B", WORKDAY(Main[[#This Row],[Tech Start Date]],6),IF(Main[[#This Row],[Class]]="A",WORKDAY(Main[[#This Row],[Tech Start Date]],2),""))))</f>
        <v/>
      </c>
      <c r="N280" s="69" t="str">
        <f>IF(Main[[#This Row],[Tech Start Date]]&lt;1/1/1990,"",IF(Main[[#This Row],[Class]]="C",WORKDAY(Main[[#This Row],[Tech Start Date]],19),IF(Main[[#This Row],[Class]]="B", WORKDAY(Main[[#This Row],[Tech Start Date]],12),IF(Main[[#This Row],[Class]]="A",WORKDAY(Main[[#This Row],[Tech Start Date]],4),""))))</f>
        <v/>
      </c>
      <c r="O280" s="69" t="str">
        <f>IF(Main[[#This Row],[Tech Start Date]]&lt;1/1/1990,"",IF(Main[[#This Row],[Class]]="C",WORKDAY(Main[[#This Row],[Tech Start Date]],23),IF(Main[[#This Row],[Class]]="B", WORKDAY(Main[[#This Row],[Tech Start Date]],15),IF(Main[[#This Row],[Class]]="A",WORKDAY(Main[[#This Row],[Tech Start Date]],5),""))))</f>
        <v/>
      </c>
      <c r="P280" s="69" t="str">
        <f>IF(Main[[#This Row],[Tech Start Date]]&lt;1/1/1990,"",IF(Main[[#This Row],[Class]]="C",WORKDAY(Main[[#This Row],[Tech Start Date]],28),IF(Main[[#This Row],[Class]]="B", WORKDAY(Main[[#This Row],[Tech Start Date]],19),IF(Main[[#This Row],[Class]]="A",WORKDAY(Main[[#This Row],[Tech Start Date]],9),""))))</f>
        <v/>
      </c>
      <c r="Q280" s="67">
        <v>40353</v>
      </c>
      <c r="R280" s="67"/>
      <c r="S280" s="65" t="s">
        <v>6</v>
      </c>
      <c r="T280" s="70" t="s">
        <v>4</v>
      </c>
      <c r="U280" s="65" t="s">
        <v>7</v>
      </c>
      <c r="V280" s="65" t="s">
        <v>1914</v>
      </c>
      <c r="W280" s="65" t="s">
        <v>1916</v>
      </c>
      <c r="X280" s="65" t="s">
        <v>2822</v>
      </c>
      <c r="Y280" s="65" t="s">
        <v>2938</v>
      </c>
      <c r="Z280" s="65" t="s">
        <v>4</v>
      </c>
      <c r="AA280" s="65" t="s">
        <v>2822</v>
      </c>
    </row>
    <row r="281" spans="1:27" ht="17.45" hidden="1" customHeight="1">
      <c r="A281" s="100" t="str">
        <f>IF(priority(Main[[#This Row],[Comments]])&lt;&gt;0, priority(Main[[#This Row],[Comments]]),"")</f>
        <v/>
      </c>
      <c r="B281" s="77" t="s">
        <v>1263</v>
      </c>
      <c r="C281" s="65" t="s">
        <v>169</v>
      </c>
      <c r="D281" s="66" t="s">
        <v>333</v>
      </c>
      <c r="E281" s="67"/>
      <c r="F281" s="67">
        <v>40237</v>
      </c>
      <c r="G281" s="64" t="str">
        <f>IF(stdProdLT(Main[[#This Row],[Comments]])=0.1,"N/A",IF(stdProdLT(Main[[#This Row],[Comments]])=0,"",stdProdLT(Main[[#This Row],[Comments]])))</f>
        <v/>
      </c>
      <c r="H281" s="68" t="str">
        <f>IF(AND(Main[[#This Row],[In Stock Date]]&lt;&gt;"",Main[[#This Row],[Revised Due Date]]&lt;&gt;""),Main[[#This Row],[In Stock Date]]-Main[[#This Row],[Revised Due Date]],"")</f>
        <v/>
      </c>
      <c r="I281" s="65" t="s">
        <v>4</v>
      </c>
      <c r="J281" s="65" t="s">
        <v>4</v>
      </c>
      <c r="K281" s="65" t="s">
        <v>4</v>
      </c>
      <c r="L281" s="67"/>
      <c r="M281" s="69" t="str">
        <f>IF(Main[[#This Row],[Tech Start Date]]&lt;1/1/1990,"",IF(Main[[#This Row],[Class]]="C",WORKDAY(Main[[#This Row],[Tech Start Date]],9),IF(Main[[#This Row],[Class]]="B", WORKDAY(Main[[#This Row],[Tech Start Date]],6),IF(Main[[#This Row],[Class]]="A",WORKDAY(Main[[#This Row],[Tech Start Date]],2),""))))</f>
        <v/>
      </c>
      <c r="N281" s="69" t="str">
        <f>IF(Main[[#This Row],[Tech Start Date]]&lt;1/1/1990,"",IF(Main[[#This Row],[Class]]="C",WORKDAY(Main[[#This Row],[Tech Start Date]],19),IF(Main[[#This Row],[Class]]="B", WORKDAY(Main[[#This Row],[Tech Start Date]],12),IF(Main[[#This Row],[Class]]="A",WORKDAY(Main[[#This Row],[Tech Start Date]],4),""))))</f>
        <v/>
      </c>
      <c r="O281" s="69" t="str">
        <f>IF(Main[[#This Row],[Tech Start Date]]&lt;1/1/1990,"",IF(Main[[#This Row],[Class]]="C",WORKDAY(Main[[#This Row],[Tech Start Date]],23),IF(Main[[#This Row],[Class]]="B", WORKDAY(Main[[#This Row],[Tech Start Date]],15),IF(Main[[#This Row],[Class]]="A",WORKDAY(Main[[#This Row],[Tech Start Date]],5),""))))</f>
        <v/>
      </c>
      <c r="P281" s="69" t="str">
        <f>IF(Main[[#This Row],[Tech Start Date]]&lt;1/1/1990,"",IF(Main[[#This Row],[Class]]="C",WORKDAY(Main[[#This Row],[Tech Start Date]],28),IF(Main[[#This Row],[Class]]="B", WORKDAY(Main[[#This Row],[Tech Start Date]],19),IF(Main[[#This Row],[Class]]="A",WORKDAY(Main[[#This Row],[Tech Start Date]],9),""))))</f>
        <v/>
      </c>
      <c r="Q281" s="67">
        <v>40132</v>
      </c>
      <c r="R281" s="67"/>
      <c r="S281" s="65" t="s">
        <v>11</v>
      </c>
      <c r="T281" s="70" t="s">
        <v>4</v>
      </c>
      <c r="U281" s="65" t="s">
        <v>14</v>
      </c>
      <c r="V281" s="65" t="s">
        <v>1914</v>
      </c>
      <c r="W281" s="65" t="s">
        <v>1919</v>
      </c>
      <c r="X281" s="65" t="s">
        <v>2858</v>
      </c>
      <c r="Y281" s="65" t="s">
        <v>4</v>
      </c>
      <c r="Z281" s="65" t="s">
        <v>4</v>
      </c>
      <c r="AA281" s="65" t="s">
        <v>2858</v>
      </c>
    </row>
    <row r="282" spans="1:27" ht="17.45" hidden="1" customHeight="1">
      <c r="A282" s="100" t="str">
        <f>IF(priority(Main[[#This Row],[Comments]])&lt;&gt;0, priority(Main[[#This Row],[Comments]]),"")</f>
        <v/>
      </c>
      <c r="B282" s="77" t="s">
        <v>1264</v>
      </c>
      <c r="C282" s="65" t="s">
        <v>4</v>
      </c>
      <c r="D282" s="66" t="s">
        <v>341</v>
      </c>
      <c r="E282" s="67"/>
      <c r="F282" s="67"/>
      <c r="G282" s="64" t="str">
        <f>IF(stdProdLT(Main[[#This Row],[Comments]])=0.1,"N/A",IF(stdProdLT(Main[[#This Row],[Comments]])=0,"",stdProdLT(Main[[#This Row],[Comments]])))</f>
        <v/>
      </c>
      <c r="H282" s="68" t="str">
        <f>IF(AND(Main[[#This Row],[In Stock Date]]&lt;&gt;"",Main[[#This Row],[Revised Due Date]]&lt;&gt;""),Main[[#This Row],[In Stock Date]]-Main[[#This Row],[Revised Due Date]],"")</f>
        <v/>
      </c>
      <c r="I282" s="65" t="s">
        <v>4</v>
      </c>
      <c r="J282" s="65" t="s">
        <v>4</v>
      </c>
      <c r="K282" s="65" t="s">
        <v>4</v>
      </c>
      <c r="L282" s="67"/>
      <c r="M282" s="69" t="str">
        <f>IF(Main[[#This Row],[Tech Start Date]]&lt;1/1/1990,"",IF(Main[[#This Row],[Class]]="C",WORKDAY(Main[[#This Row],[Tech Start Date]],9),IF(Main[[#This Row],[Class]]="B", WORKDAY(Main[[#This Row],[Tech Start Date]],6),IF(Main[[#This Row],[Class]]="A",WORKDAY(Main[[#This Row],[Tech Start Date]],2),""))))</f>
        <v/>
      </c>
      <c r="N282" s="69" t="str">
        <f>IF(Main[[#This Row],[Tech Start Date]]&lt;1/1/1990,"",IF(Main[[#This Row],[Class]]="C",WORKDAY(Main[[#This Row],[Tech Start Date]],19),IF(Main[[#This Row],[Class]]="B", WORKDAY(Main[[#This Row],[Tech Start Date]],12),IF(Main[[#This Row],[Class]]="A",WORKDAY(Main[[#This Row],[Tech Start Date]],4),""))))</f>
        <v/>
      </c>
      <c r="O282" s="69" t="str">
        <f>IF(Main[[#This Row],[Tech Start Date]]&lt;1/1/1990,"",IF(Main[[#This Row],[Class]]="C",WORKDAY(Main[[#This Row],[Tech Start Date]],23),IF(Main[[#This Row],[Class]]="B", WORKDAY(Main[[#This Row],[Tech Start Date]],15),IF(Main[[#This Row],[Class]]="A",WORKDAY(Main[[#This Row],[Tech Start Date]],5),""))))</f>
        <v/>
      </c>
      <c r="P282" s="69" t="str">
        <f>IF(Main[[#This Row],[Tech Start Date]]&lt;1/1/1990,"",IF(Main[[#This Row],[Class]]="C",WORKDAY(Main[[#This Row],[Tech Start Date]],28),IF(Main[[#This Row],[Class]]="B", WORKDAY(Main[[#This Row],[Tech Start Date]],19),IF(Main[[#This Row],[Class]]="A",WORKDAY(Main[[#This Row],[Tech Start Date]],9),""))))</f>
        <v/>
      </c>
      <c r="Q282" s="67"/>
      <c r="R282" s="67"/>
      <c r="S282" s="65" t="s">
        <v>11</v>
      </c>
      <c r="T282" s="70" t="s">
        <v>4</v>
      </c>
      <c r="U282" s="65" t="s">
        <v>14</v>
      </c>
      <c r="V282" s="65" t="s">
        <v>1915</v>
      </c>
      <c r="W282" s="65" t="s">
        <v>1922</v>
      </c>
      <c r="X282" s="65" t="s">
        <v>2862</v>
      </c>
      <c r="Y282" s="65" t="s">
        <v>3006</v>
      </c>
      <c r="Z282" s="65" t="s">
        <v>4</v>
      </c>
      <c r="AA282" s="65" t="s">
        <v>2862</v>
      </c>
    </row>
    <row r="283" spans="1:27" ht="17.45" hidden="1" customHeight="1">
      <c r="A283" s="100" t="str">
        <f>IF(priority(Main[[#This Row],[Comments]])&lt;&gt;0, priority(Main[[#This Row],[Comments]]),"")</f>
        <v/>
      </c>
      <c r="B283" s="77" t="s">
        <v>1203</v>
      </c>
      <c r="C283" s="65" t="s">
        <v>4</v>
      </c>
      <c r="D283" s="66" t="s">
        <v>261</v>
      </c>
      <c r="E283" s="67"/>
      <c r="F283" s="67"/>
      <c r="G283" s="64" t="str">
        <f>IF(stdProdLT(Main[[#This Row],[Comments]])=0.1,"N/A",IF(stdProdLT(Main[[#This Row],[Comments]])=0,"",stdProdLT(Main[[#This Row],[Comments]])))</f>
        <v/>
      </c>
      <c r="H283" s="68" t="str">
        <f>IF(AND(Main[[#This Row],[In Stock Date]]&lt;&gt;"",Main[[#This Row],[Revised Due Date]]&lt;&gt;""),Main[[#This Row],[In Stock Date]]-Main[[#This Row],[Revised Due Date]],"")</f>
        <v/>
      </c>
      <c r="I283" s="65" t="s">
        <v>4</v>
      </c>
      <c r="J283" s="65" t="s">
        <v>4</v>
      </c>
      <c r="K283" s="65" t="s">
        <v>4</v>
      </c>
      <c r="L283" s="67"/>
      <c r="M283" s="69" t="str">
        <f>IF(Main[[#This Row],[Tech Start Date]]&lt;1/1/1990,"",IF(Main[[#This Row],[Class]]="C",WORKDAY(Main[[#This Row],[Tech Start Date]],9),IF(Main[[#This Row],[Class]]="B", WORKDAY(Main[[#This Row],[Tech Start Date]],6),IF(Main[[#This Row],[Class]]="A",WORKDAY(Main[[#This Row],[Tech Start Date]],2),""))))</f>
        <v/>
      </c>
      <c r="N283" s="69" t="str">
        <f>IF(Main[[#This Row],[Tech Start Date]]&lt;1/1/1990,"",IF(Main[[#This Row],[Class]]="C",WORKDAY(Main[[#This Row],[Tech Start Date]],19),IF(Main[[#This Row],[Class]]="B", WORKDAY(Main[[#This Row],[Tech Start Date]],12),IF(Main[[#This Row],[Class]]="A",WORKDAY(Main[[#This Row],[Tech Start Date]],4),""))))</f>
        <v/>
      </c>
      <c r="O283" s="69" t="str">
        <f>IF(Main[[#This Row],[Tech Start Date]]&lt;1/1/1990,"",IF(Main[[#This Row],[Class]]="C",WORKDAY(Main[[#This Row],[Tech Start Date]],23),IF(Main[[#This Row],[Class]]="B", WORKDAY(Main[[#This Row],[Tech Start Date]],15),IF(Main[[#This Row],[Class]]="A",WORKDAY(Main[[#This Row],[Tech Start Date]],5),""))))</f>
        <v/>
      </c>
      <c r="P283" s="69" t="str">
        <f>IF(Main[[#This Row],[Tech Start Date]]&lt;1/1/1990,"",IF(Main[[#This Row],[Class]]="C",WORKDAY(Main[[#This Row],[Tech Start Date]],28),IF(Main[[#This Row],[Class]]="B", WORKDAY(Main[[#This Row],[Tech Start Date]],19),IF(Main[[#This Row],[Class]]="A",WORKDAY(Main[[#This Row],[Tech Start Date]],9),""))))</f>
        <v/>
      </c>
      <c r="Q283" s="67">
        <v>40313</v>
      </c>
      <c r="R283" s="67"/>
      <c r="S283" s="65" t="s">
        <v>11</v>
      </c>
      <c r="T283" s="70" t="s">
        <v>4</v>
      </c>
      <c r="U283" s="65" t="s">
        <v>14</v>
      </c>
      <c r="V283" s="65" t="s">
        <v>1914</v>
      </c>
      <c r="W283" s="65" t="s">
        <v>1922</v>
      </c>
      <c r="X283" s="65" t="s">
        <v>129</v>
      </c>
      <c r="Y283" s="65" t="s">
        <v>2933</v>
      </c>
      <c r="Z283" s="65" t="s">
        <v>4</v>
      </c>
      <c r="AA283" s="65" t="s">
        <v>129</v>
      </c>
    </row>
    <row r="284" spans="1:27" ht="17.45" hidden="1" customHeight="1">
      <c r="A284" s="100" t="str">
        <f>IF(priority(Main[[#This Row],[Comments]])&lt;&gt;0, priority(Main[[#This Row],[Comments]]),"")</f>
        <v/>
      </c>
      <c r="B284" s="77" t="s">
        <v>1204</v>
      </c>
      <c r="C284" s="65" t="s">
        <v>4</v>
      </c>
      <c r="D284" s="66" t="s">
        <v>262</v>
      </c>
      <c r="E284" s="67"/>
      <c r="F284" s="67"/>
      <c r="G284" s="64" t="str">
        <f>IF(stdProdLT(Main[[#This Row],[Comments]])=0.1,"N/A",IF(stdProdLT(Main[[#This Row],[Comments]])=0,"",stdProdLT(Main[[#This Row],[Comments]])))</f>
        <v/>
      </c>
      <c r="H284" s="68" t="str">
        <f>IF(AND(Main[[#This Row],[In Stock Date]]&lt;&gt;"",Main[[#This Row],[Revised Due Date]]&lt;&gt;""),Main[[#This Row],[In Stock Date]]-Main[[#This Row],[Revised Due Date]],"")</f>
        <v/>
      </c>
      <c r="I284" s="65" t="s">
        <v>4</v>
      </c>
      <c r="J284" s="65" t="s">
        <v>4</v>
      </c>
      <c r="K284" s="65" t="s">
        <v>4</v>
      </c>
      <c r="L284" s="67"/>
      <c r="M284" s="69" t="str">
        <f>IF(Main[[#This Row],[Tech Start Date]]&lt;1/1/1990,"",IF(Main[[#This Row],[Class]]="C",WORKDAY(Main[[#This Row],[Tech Start Date]],9),IF(Main[[#This Row],[Class]]="B", WORKDAY(Main[[#This Row],[Tech Start Date]],6),IF(Main[[#This Row],[Class]]="A",WORKDAY(Main[[#This Row],[Tech Start Date]],2),""))))</f>
        <v/>
      </c>
      <c r="N284" s="69" t="str">
        <f>IF(Main[[#This Row],[Tech Start Date]]&lt;1/1/1990,"",IF(Main[[#This Row],[Class]]="C",WORKDAY(Main[[#This Row],[Tech Start Date]],19),IF(Main[[#This Row],[Class]]="B", WORKDAY(Main[[#This Row],[Tech Start Date]],12),IF(Main[[#This Row],[Class]]="A",WORKDAY(Main[[#This Row],[Tech Start Date]],4),""))))</f>
        <v/>
      </c>
      <c r="O284" s="69" t="str">
        <f>IF(Main[[#This Row],[Tech Start Date]]&lt;1/1/1990,"",IF(Main[[#This Row],[Class]]="C",WORKDAY(Main[[#This Row],[Tech Start Date]],23),IF(Main[[#This Row],[Class]]="B", WORKDAY(Main[[#This Row],[Tech Start Date]],15),IF(Main[[#This Row],[Class]]="A",WORKDAY(Main[[#This Row],[Tech Start Date]],5),""))))</f>
        <v/>
      </c>
      <c r="P284" s="69" t="str">
        <f>IF(Main[[#This Row],[Tech Start Date]]&lt;1/1/1990,"",IF(Main[[#This Row],[Class]]="C",WORKDAY(Main[[#This Row],[Tech Start Date]],28),IF(Main[[#This Row],[Class]]="B", WORKDAY(Main[[#This Row],[Tech Start Date]],19),IF(Main[[#This Row],[Class]]="A",WORKDAY(Main[[#This Row],[Tech Start Date]],9),""))))</f>
        <v/>
      </c>
      <c r="Q284" s="67"/>
      <c r="R284" s="67"/>
      <c r="S284" s="65" t="s">
        <v>11</v>
      </c>
      <c r="T284" s="70" t="s">
        <v>4</v>
      </c>
      <c r="U284" s="65" t="s">
        <v>12</v>
      </c>
      <c r="V284" s="65" t="s">
        <v>1915</v>
      </c>
      <c r="W284" s="65" t="s">
        <v>1918</v>
      </c>
      <c r="X284" s="65" t="s">
        <v>922</v>
      </c>
      <c r="Y284" s="65" t="s">
        <v>2982</v>
      </c>
      <c r="Z284" s="65" t="s">
        <v>4</v>
      </c>
      <c r="AA284" s="65" t="s">
        <v>922</v>
      </c>
    </row>
    <row r="285" spans="1:27" ht="17.45" hidden="1" customHeight="1">
      <c r="A285" s="100" t="str">
        <f>IF(priority(Main[[#This Row],[Comments]])&lt;&gt;0, priority(Main[[#This Row],[Comments]]),"")</f>
        <v/>
      </c>
      <c r="B285" s="77" t="s">
        <v>1973</v>
      </c>
      <c r="C285" s="65" t="s">
        <v>4</v>
      </c>
      <c r="D285" s="66" t="s">
        <v>1974</v>
      </c>
      <c r="E285" s="67">
        <v>40732.708599537036</v>
      </c>
      <c r="F285" s="67"/>
      <c r="G285" s="64" t="str">
        <f>IF(stdProdLT(Main[[#This Row],[Comments]])=0.1,"N/A",IF(stdProdLT(Main[[#This Row],[Comments]])=0,"",stdProdLT(Main[[#This Row],[Comments]])))</f>
        <v/>
      </c>
      <c r="H285" s="68" t="str">
        <f>IF(AND(Main[[#This Row],[In Stock Date]]&lt;&gt;"",Main[[#This Row],[Revised Due Date]]&lt;&gt;""),Main[[#This Row],[In Stock Date]]-Main[[#This Row],[Revised Due Date]],"")</f>
        <v/>
      </c>
      <c r="I285" s="65" t="s">
        <v>4</v>
      </c>
      <c r="J285" s="65" t="s">
        <v>4</v>
      </c>
      <c r="K285" s="65" t="s">
        <v>4</v>
      </c>
      <c r="L285" s="67"/>
      <c r="M285" s="69" t="str">
        <f>IF(Main[[#This Row],[Tech Start Date]]&lt;1/1/1990,"",IF(Main[[#This Row],[Class]]="C",WORKDAY(Main[[#This Row],[Tech Start Date]],9),IF(Main[[#This Row],[Class]]="B", WORKDAY(Main[[#This Row],[Tech Start Date]],6),IF(Main[[#This Row],[Class]]="A",WORKDAY(Main[[#This Row],[Tech Start Date]],2),""))))</f>
        <v/>
      </c>
      <c r="N285" s="69" t="str">
        <f>IF(Main[[#This Row],[Tech Start Date]]&lt;1/1/1990,"",IF(Main[[#This Row],[Class]]="C",WORKDAY(Main[[#This Row],[Tech Start Date]],19),IF(Main[[#This Row],[Class]]="B", WORKDAY(Main[[#This Row],[Tech Start Date]],12),IF(Main[[#This Row],[Class]]="A",WORKDAY(Main[[#This Row],[Tech Start Date]],4),""))))</f>
        <v/>
      </c>
      <c r="O285" s="69" t="str">
        <f>IF(Main[[#This Row],[Tech Start Date]]&lt;1/1/1990,"",IF(Main[[#This Row],[Class]]="C",WORKDAY(Main[[#This Row],[Tech Start Date]],23),IF(Main[[#This Row],[Class]]="B", WORKDAY(Main[[#This Row],[Tech Start Date]],15),IF(Main[[#This Row],[Class]]="A",WORKDAY(Main[[#This Row],[Tech Start Date]],5),""))))</f>
        <v/>
      </c>
      <c r="P285" s="69" t="str">
        <f>IF(Main[[#This Row],[Tech Start Date]]&lt;1/1/1990,"",IF(Main[[#This Row],[Class]]="C",WORKDAY(Main[[#This Row],[Tech Start Date]],28),IF(Main[[#This Row],[Class]]="B", WORKDAY(Main[[#This Row],[Tech Start Date]],19),IF(Main[[#This Row],[Class]]="A",WORKDAY(Main[[#This Row],[Tech Start Date]],9),""))))</f>
        <v/>
      </c>
      <c r="Q285" s="67">
        <v>40908</v>
      </c>
      <c r="R285" s="67"/>
      <c r="S285" s="65" t="s">
        <v>17</v>
      </c>
      <c r="T285" s="70" t="s">
        <v>4</v>
      </c>
      <c r="U285" s="65" t="s">
        <v>7</v>
      </c>
      <c r="V285" s="65" t="s">
        <v>1917</v>
      </c>
      <c r="W285" s="65" t="s">
        <v>1928</v>
      </c>
      <c r="X285" s="65" t="s">
        <v>553</v>
      </c>
      <c r="Y285" s="65" t="s">
        <v>2952</v>
      </c>
      <c r="Z285" s="65" t="s">
        <v>4</v>
      </c>
      <c r="AA285" s="65" t="s">
        <v>553</v>
      </c>
    </row>
    <row r="286" spans="1:27" ht="17.45" hidden="1" customHeight="1">
      <c r="A286" s="100" t="str">
        <f>IF(priority(Main[[#This Row],[Comments]])&lt;&gt;0, priority(Main[[#This Row],[Comments]]),"")</f>
        <v/>
      </c>
      <c r="B286" s="77" t="s">
        <v>1206</v>
      </c>
      <c r="C286" s="65" t="s">
        <v>4</v>
      </c>
      <c r="D286" s="66" t="s">
        <v>264</v>
      </c>
      <c r="E286" s="67">
        <v>40609.588946759257</v>
      </c>
      <c r="F286" s="67"/>
      <c r="G286" s="64" t="str">
        <f>IF(stdProdLT(Main[[#This Row],[Comments]])=0.1,"N/A",IF(stdProdLT(Main[[#This Row],[Comments]])=0,"",stdProdLT(Main[[#This Row],[Comments]])))</f>
        <v/>
      </c>
      <c r="H286" s="68" t="str">
        <f>IF(AND(Main[[#This Row],[In Stock Date]]&lt;&gt;"",Main[[#This Row],[Revised Due Date]]&lt;&gt;""),Main[[#This Row],[In Stock Date]]-Main[[#This Row],[Revised Due Date]],"")</f>
        <v/>
      </c>
      <c r="I286" s="65" t="s">
        <v>4</v>
      </c>
      <c r="J286" s="65" t="s">
        <v>28</v>
      </c>
      <c r="K286" s="65" t="s">
        <v>1923</v>
      </c>
      <c r="L286" s="67"/>
      <c r="M286" s="69" t="str">
        <f>IF(Main[[#This Row],[Tech Start Date]]&lt;1/1/1990,"",IF(Main[[#This Row],[Class]]="C",WORKDAY(Main[[#This Row],[Tech Start Date]],9),IF(Main[[#This Row],[Class]]="B", WORKDAY(Main[[#This Row],[Tech Start Date]],6),IF(Main[[#This Row],[Class]]="A",WORKDAY(Main[[#This Row],[Tech Start Date]],2),""))))</f>
        <v/>
      </c>
      <c r="N286" s="69" t="str">
        <f>IF(Main[[#This Row],[Tech Start Date]]&lt;1/1/1990,"",IF(Main[[#This Row],[Class]]="C",WORKDAY(Main[[#This Row],[Tech Start Date]],19),IF(Main[[#This Row],[Class]]="B", WORKDAY(Main[[#This Row],[Tech Start Date]],12),IF(Main[[#This Row],[Class]]="A",WORKDAY(Main[[#This Row],[Tech Start Date]],4),""))))</f>
        <v/>
      </c>
      <c r="O286" s="69" t="str">
        <f>IF(Main[[#This Row],[Tech Start Date]]&lt;1/1/1990,"",IF(Main[[#This Row],[Class]]="C",WORKDAY(Main[[#This Row],[Tech Start Date]],23),IF(Main[[#This Row],[Class]]="B", WORKDAY(Main[[#This Row],[Tech Start Date]],15),IF(Main[[#This Row],[Class]]="A",WORKDAY(Main[[#This Row],[Tech Start Date]],5),""))))</f>
        <v/>
      </c>
      <c r="P286" s="69" t="str">
        <f>IF(Main[[#This Row],[Tech Start Date]]&lt;1/1/1990,"",IF(Main[[#This Row],[Class]]="C",WORKDAY(Main[[#This Row],[Tech Start Date]],28),IF(Main[[#This Row],[Class]]="B", WORKDAY(Main[[#This Row],[Tech Start Date]],19),IF(Main[[#This Row],[Class]]="A",WORKDAY(Main[[#This Row],[Tech Start Date]],9),""))))</f>
        <v/>
      </c>
      <c r="Q286" s="67">
        <v>40640</v>
      </c>
      <c r="R286" s="67"/>
      <c r="S286" s="65" t="s">
        <v>6</v>
      </c>
      <c r="T286" s="70" t="s">
        <v>4</v>
      </c>
      <c r="U286" s="65" t="s">
        <v>7</v>
      </c>
      <c r="V286" s="65" t="s">
        <v>1914</v>
      </c>
      <c r="W286" s="65" t="s">
        <v>1916</v>
      </c>
      <c r="X286" s="65" t="s">
        <v>2819</v>
      </c>
      <c r="Y286" s="65" t="s">
        <v>2932</v>
      </c>
      <c r="Z286" s="65" t="s">
        <v>129</v>
      </c>
      <c r="AA286" s="65" t="s">
        <v>2819</v>
      </c>
    </row>
    <row r="287" spans="1:27" ht="17.45" hidden="1" customHeight="1">
      <c r="A287" s="100" t="str">
        <f>IF(priority(Main[[#This Row],[Comments]])&lt;&gt;0, priority(Main[[#This Row],[Comments]]),"")</f>
        <v/>
      </c>
      <c r="B287" s="77" t="s">
        <v>1207</v>
      </c>
      <c r="C287" s="65" t="s">
        <v>265</v>
      </c>
      <c r="D287" s="66" t="s">
        <v>266</v>
      </c>
      <c r="E287" s="67"/>
      <c r="F287" s="67"/>
      <c r="G287" s="64" t="str">
        <f>IF(stdProdLT(Main[[#This Row],[Comments]])=0.1,"N/A",IF(stdProdLT(Main[[#This Row],[Comments]])=0,"",stdProdLT(Main[[#This Row],[Comments]])))</f>
        <v/>
      </c>
      <c r="H287" s="68" t="str">
        <f>IF(AND(Main[[#This Row],[In Stock Date]]&lt;&gt;"",Main[[#This Row],[Revised Due Date]]&lt;&gt;""),Main[[#This Row],[In Stock Date]]-Main[[#This Row],[Revised Due Date]],"")</f>
        <v/>
      </c>
      <c r="I287" s="65" t="s">
        <v>4</v>
      </c>
      <c r="J287" s="65" t="s">
        <v>4</v>
      </c>
      <c r="K287" s="65" t="s">
        <v>4</v>
      </c>
      <c r="L287" s="67"/>
      <c r="M287" s="69" t="str">
        <f>IF(Main[[#This Row],[Tech Start Date]]&lt;1/1/1990,"",IF(Main[[#This Row],[Class]]="C",WORKDAY(Main[[#This Row],[Tech Start Date]],9),IF(Main[[#This Row],[Class]]="B", WORKDAY(Main[[#This Row],[Tech Start Date]],6),IF(Main[[#This Row],[Class]]="A",WORKDAY(Main[[#This Row],[Tech Start Date]],2),""))))</f>
        <v/>
      </c>
      <c r="N287" s="69" t="str">
        <f>IF(Main[[#This Row],[Tech Start Date]]&lt;1/1/1990,"",IF(Main[[#This Row],[Class]]="C",WORKDAY(Main[[#This Row],[Tech Start Date]],19),IF(Main[[#This Row],[Class]]="B", WORKDAY(Main[[#This Row],[Tech Start Date]],12),IF(Main[[#This Row],[Class]]="A",WORKDAY(Main[[#This Row],[Tech Start Date]],4),""))))</f>
        <v/>
      </c>
      <c r="O287" s="69" t="str">
        <f>IF(Main[[#This Row],[Tech Start Date]]&lt;1/1/1990,"",IF(Main[[#This Row],[Class]]="C",WORKDAY(Main[[#This Row],[Tech Start Date]],23),IF(Main[[#This Row],[Class]]="B", WORKDAY(Main[[#This Row],[Tech Start Date]],15),IF(Main[[#This Row],[Class]]="A",WORKDAY(Main[[#This Row],[Tech Start Date]],5),""))))</f>
        <v/>
      </c>
      <c r="P287" s="69" t="str">
        <f>IF(Main[[#This Row],[Tech Start Date]]&lt;1/1/1990,"",IF(Main[[#This Row],[Class]]="C",WORKDAY(Main[[#This Row],[Tech Start Date]],28),IF(Main[[#This Row],[Class]]="B", WORKDAY(Main[[#This Row],[Tech Start Date]],19),IF(Main[[#This Row],[Class]]="A",WORKDAY(Main[[#This Row],[Tech Start Date]],9),""))))</f>
        <v/>
      </c>
      <c r="Q287" s="67">
        <v>40497</v>
      </c>
      <c r="R287" s="67"/>
      <c r="S287" s="65" t="s">
        <v>11</v>
      </c>
      <c r="T287" s="70" t="s">
        <v>4</v>
      </c>
      <c r="U287" s="65" t="s">
        <v>12</v>
      </c>
      <c r="V287" s="65" t="s">
        <v>1914</v>
      </c>
      <c r="W287" s="65" t="s">
        <v>1916</v>
      </c>
      <c r="X287" s="65" t="s">
        <v>2855</v>
      </c>
      <c r="Y287" s="65" t="s">
        <v>4</v>
      </c>
      <c r="Z287" s="65" t="s">
        <v>4</v>
      </c>
      <c r="AA287" s="65" t="s">
        <v>2855</v>
      </c>
    </row>
    <row r="288" spans="1:27" ht="17.45" hidden="1" customHeight="1">
      <c r="A288" s="100" t="str">
        <f>IF(priority(Main[[#This Row],[Comments]])&lt;&gt;0, priority(Main[[#This Row],[Comments]]),"")</f>
        <v/>
      </c>
      <c r="B288" s="77" t="s">
        <v>1209</v>
      </c>
      <c r="C288" s="65" t="s">
        <v>268</v>
      </c>
      <c r="D288" s="66" t="s">
        <v>269</v>
      </c>
      <c r="E288" s="67"/>
      <c r="F288" s="67">
        <v>40399</v>
      </c>
      <c r="G288" s="64" t="str">
        <f>IF(stdProdLT(Main[[#This Row],[Comments]])=0.1,"N/A",IF(stdProdLT(Main[[#This Row],[Comments]])=0,"",stdProdLT(Main[[#This Row],[Comments]])))</f>
        <v/>
      </c>
      <c r="H288" s="68" t="str">
        <f>IF(AND(Main[[#This Row],[In Stock Date]]&lt;&gt;"",Main[[#This Row],[Revised Due Date]]&lt;&gt;""),Main[[#This Row],[In Stock Date]]-Main[[#This Row],[Revised Due Date]],"")</f>
        <v/>
      </c>
      <c r="I288" s="65" t="s">
        <v>129</v>
      </c>
      <c r="J288" s="65" t="s">
        <v>4</v>
      </c>
      <c r="K288" s="65" t="s">
        <v>4</v>
      </c>
      <c r="L288" s="67"/>
      <c r="M288" s="69" t="str">
        <f>IF(Main[[#This Row],[Tech Start Date]]&lt;1/1/1990,"",IF(Main[[#This Row],[Class]]="C",WORKDAY(Main[[#This Row],[Tech Start Date]],9),IF(Main[[#This Row],[Class]]="B", WORKDAY(Main[[#This Row],[Tech Start Date]],6),IF(Main[[#This Row],[Class]]="A",WORKDAY(Main[[#This Row],[Tech Start Date]],2),""))))</f>
        <v/>
      </c>
      <c r="N288" s="69" t="str">
        <f>IF(Main[[#This Row],[Tech Start Date]]&lt;1/1/1990,"",IF(Main[[#This Row],[Class]]="C",WORKDAY(Main[[#This Row],[Tech Start Date]],19),IF(Main[[#This Row],[Class]]="B", WORKDAY(Main[[#This Row],[Tech Start Date]],12),IF(Main[[#This Row],[Class]]="A",WORKDAY(Main[[#This Row],[Tech Start Date]],4),""))))</f>
        <v/>
      </c>
      <c r="O288" s="69" t="str">
        <f>IF(Main[[#This Row],[Tech Start Date]]&lt;1/1/1990,"",IF(Main[[#This Row],[Class]]="C",WORKDAY(Main[[#This Row],[Tech Start Date]],23),IF(Main[[#This Row],[Class]]="B", WORKDAY(Main[[#This Row],[Tech Start Date]],15),IF(Main[[#This Row],[Class]]="A",WORKDAY(Main[[#This Row],[Tech Start Date]],5),""))))</f>
        <v/>
      </c>
      <c r="P288" s="69" t="str">
        <f>IF(Main[[#This Row],[Tech Start Date]]&lt;1/1/1990,"",IF(Main[[#This Row],[Class]]="C",WORKDAY(Main[[#This Row],[Tech Start Date]],28),IF(Main[[#This Row],[Class]]="B", WORKDAY(Main[[#This Row],[Tech Start Date]],19),IF(Main[[#This Row],[Class]]="A",WORKDAY(Main[[#This Row],[Tech Start Date]],9),""))))</f>
        <v/>
      </c>
      <c r="Q288" s="67">
        <v>40344</v>
      </c>
      <c r="R288" s="67"/>
      <c r="S288" s="65" t="s">
        <v>11</v>
      </c>
      <c r="T288" s="70" t="s">
        <v>4</v>
      </c>
      <c r="U288" s="65" t="s">
        <v>14</v>
      </c>
      <c r="V288" s="65" t="s">
        <v>1914</v>
      </c>
      <c r="W288" s="65" t="s">
        <v>1919</v>
      </c>
      <c r="X288" s="65" t="s">
        <v>2854</v>
      </c>
      <c r="Y288" s="65" t="s">
        <v>4</v>
      </c>
      <c r="Z288" s="65" t="s">
        <v>4</v>
      </c>
      <c r="AA288" s="65" t="s">
        <v>2854</v>
      </c>
    </row>
    <row r="289" spans="1:27" ht="17.45" hidden="1" customHeight="1">
      <c r="A289" s="100" t="str">
        <f>IF(priority(Main[[#This Row],[Comments]])&lt;&gt;0, priority(Main[[#This Row],[Comments]]),"")</f>
        <v/>
      </c>
      <c r="B289" s="77" t="s">
        <v>1385</v>
      </c>
      <c r="C289" s="65" t="s">
        <v>4</v>
      </c>
      <c r="D289" s="66" t="s">
        <v>2359</v>
      </c>
      <c r="E289" s="67">
        <v>40407.653564814813</v>
      </c>
      <c r="F289" s="67"/>
      <c r="G289" s="64" t="str">
        <f>IF(stdProdLT(Main[[#This Row],[Comments]])=0.1,"N/A",IF(stdProdLT(Main[[#This Row],[Comments]])=0,"",stdProdLT(Main[[#This Row],[Comments]])))</f>
        <v/>
      </c>
      <c r="H289" s="68" t="str">
        <f>IF(AND(Main[[#This Row],[In Stock Date]]&lt;&gt;"",Main[[#This Row],[Revised Due Date]]&lt;&gt;""),Main[[#This Row],[In Stock Date]]-Main[[#This Row],[Revised Due Date]],"")</f>
        <v/>
      </c>
      <c r="I289" s="65" t="s">
        <v>4</v>
      </c>
      <c r="J289" s="65" t="s">
        <v>28</v>
      </c>
      <c r="K289" s="65" t="s">
        <v>4</v>
      </c>
      <c r="L289" s="67"/>
      <c r="M289" s="69" t="str">
        <f>IF(Main[[#This Row],[Tech Start Date]]&lt;1/1/1990,"",IF(Main[[#This Row],[Class]]="C",WORKDAY(Main[[#This Row],[Tech Start Date]],9),IF(Main[[#This Row],[Class]]="B", WORKDAY(Main[[#This Row],[Tech Start Date]],6),IF(Main[[#This Row],[Class]]="A",WORKDAY(Main[[#This Row],[Tech Start Date]],2),""))))</f>
        <v/>
      </c>
      <c r="N289" s="69" t="str">
        <f>IF(Main[[#This Row],[Tech Start Date]]&lt;1/1/1990,"",IF(Main[[#This Row],[Class]]="C",WORKDAY(Main[[#This Row],[Tech Start Date]],19),IF(Main[[#This Row],[Class]]="B", WORKDAY(Main[[#This Row],[Tech Start Date]],12),IF(Main[[#This Row],[Class]]="A",WORKDAY(Main[[#This Row],[Tech Start Date]],4),""))))</f>
        <v/>
      </c>
      <c r="O289" s="69" t="str">
        <f>IF(Main[[#This Row],[Tech Start Date]]&lt;1/1/1990,"",IF(Main[[#This Row],[Class]]="C",WORKDAY(Main[[#This Row],[Tech Start Date]],23),IF(Main[[#This Row],[Class]]="B", WORKDAY(Main[[#This Row],[Tech Start Date]],15),IF(Main[[#This Row],[Class]]="A",WORKDAY(Main[[#This Row],[Tech Start Date]],5),""))))</f>
        <v/>
      </c>
      <c r="P289" s="69" t="str">
        <f>IF(Main[[#This Row],[Tech Start Date]]&lt;1/1/1990,"",IF(Main[[#This Row],[Class]]="C",WORKDAY(Main[[#This Row],[Tech Start Date]],28),IF(Main[[#This Row],[Class]]="B", WORKDAY(Main[[#This Row],[Tech Start Date]],19),IF(Main[[#This Row],[Class]]="A",WORKDAY(Main[[#This Row],[Tech Start Date]],9),""))))</f>
        <v/>
      </c>
      <c r="Q289" s="67"/>
      <c r="R289" s="67"/>
      <c r="S289" s="65" t="s">
        <v>6</v>
      </c>
      <c r="T289" s="70" t="s">
        <v>4</v>
      </c>
      <c r="U289" s="65" t="s">
        <v>7</v>
      </c>
      <c r="V289" s="65" t="s">
        <v>1914</v>
      </c>
      <c r="W289" s="65" t="s">
        <v>1916</v>
      </c>
      <c r="X289" s="65" t="s">
        <v>877</v>
      </c>
      <c r="Y289" s="65" t="s">
        <v>3018</v>
      </c>
      <c r="Z289" s="65" t="s">
        <v>129</v>
      </c>
      <c r="AA289" s="65" t="s">
        <v>3403</v>
      </c>
    </row>
    <row r="290" spans="1:27" ht="17.45" hidden="1" customHeight="1">
      <c r="A290" s="100" t="str">
        <f>IF(priority(Main[[#This Row],[Comments]])&lt;&gt;0, priority(Main[[#This Row],[Comments]]),"")</f>
        <v/>
      </c>
      <c r="B290" s="77" t="s">
        <v>1210</v>
      </c>
      <c r="C290" s="65" t="s">
        <v>180</v>
      </c>
      <c r="D290" s="66" t="s">
        <v>270</v>
      </c>
      <c r="E290" s="67"/>
      <c r="F290" s="67">
        <v>40389</v>
      </c>
      <c r="G290" s="64" t="str">
        <f>IF(stdProdLT(Main[[#This Row],[Comments]])=0.1,"N/A",IF(stdProdLT(Main[[#This Row],[Comments]])=0,"",stdProdLT(Main[[#This Row],[Comments]])))</f>
        <v/>
      </c>
      <c r="H290" s="68" t="str">
        <f>IF(AND(Main[[#This Row],[In Stock Date]]&lt;&gt;"",Main[[#This Row],[Revised Due Date]]&lt;&gt;""),Main[[#This Row],[In Stock Date]]-Main[[#This Row],[Revised Due Date]],"")</f>
        <v/>
      </c>
      <c r="I290" s="65" t="s">
        <v>4</v>
      </c>
      <c r="J290" s="65" t="s">
        <v>4</v>
      </c>
      <c r="K290" s="71" t="s">
        <v>4</v>
      </c>
      <c r="L290" s="67"/>
      <c r="M290" s="69" t="str">
        <f>IF(Main[[#This Row],[Tech Start Date]]&lt;1/1/1990,"",IF(Main[[#This Row],[Class]]="C",WORKDAY(Main[[#This Row],[Tech Start Date]],9),IF(Main[[#This Row],[Class]]="B", WORKDAY(Main[[#This Row],[Tech Start Date]],6),IF(Main[[#This Row],[Class]]="A",WORKDAY(Main[[#This Row],[Tech Start Date]],2),""))))</f>
        <v/>
      </c>
      <c r="N290" s="69" t="str">
        <f>IF(Main[[#This Row],[Tech Start Date]]&lt;1/1/1990,"",IF(Main[[#This Row],[Class]]="C",WORKDAY(Main[[#This Row],[Tech Start Date]],19),IF(Main[[#This Row],[Class]]="B", WORKDAY(Main[[#This Row],[Tech Start Date]],12),IF(Main[[#This Row],[Class]]="A",WORKDAY(Main[[#This Row],[Tech Start Date]],4),""))))</f>
        <v/>
      </c>
      <c r="O290" s="69" t="str">
        <f>IF(Main[[#This Row],[Tech Start Date]]&lt;1/1/1990,"",IF(Main[[#This Row],[Class]]="C",WORKDAY(Main[[#This Row],[Tech Start Date]],23),IF(Main[[#This Row],[Class]]="B", WORKDAY(Main[[#This Row],[Tech Start Date]],15),IF(Main[[#This Row],[Class]]="A",WORKDAY(Main[[#This Row],[Tech Start Date]],5),""))))</f>
        <v/>
      </c>
      <c r="P290" s="69" t="str">
        <f>IF(Main[[#This Row],[Tech Start Date]]&lt;1/1/1990,"",IF(Main[[#This Row],[Class]]="C",WORKDAY(Main[[#This Row],[Tech Start Date]],28),IF(Main[[#This Row],[Class]]="B", WORKDAY(Main[[#This Row],[Tech Start Date]],19),IF(Main[[#This Row],[Class]]="A",WORKDAY(Main[[#This Row],[Tech Start Date]],9),""))))</f>
        <v/>
      </c>
      <c r="Q290" s="67">
        <v>40298</v>
      </c>
      <c r="R290" s="67"/>
      <c r="S290" s="65" t="s">
        <v>11</v>
      </c>
      <c r="T290" s="70" t="s">
        <v>4</v>
      </c>
      <c r="U290" s="65" t="s">
        <v>14</v>
      </c>
      <c r="V290" s="65" t="s">
        <v>1914</v>
      </c>
      <c r="W290" s="65" t="s">
        <v>1920</v>
      </c>
      <c r="X290" s="65" t="s">
        <v>2824</v>
      </c>
      <c r="Y290" s="65" t="s">
        <v>2943</v>
      </c>
      <c r="Z290" s="65" t="s">
        <v>4</v>
      </c>
      <c r="AA290" s="65" t="s">
        <v>2824</v>
      </c>
    </row>
    <row r="291" spans="1:27" ht="17.45" hidden="1" customHeight="1">
      <c r="A291" s="100" t="str">
        <f>IF(priority(Main[[#This Row],[Comments]])&lt;&gt;0, priority(Main[[#This Row],[Comments]]),"")</f>
        <v/>
      </c>
      <c r="B291" s="77" t="s">
        <v>1212</v>
      </c>
      <c r="C291" s="65" t="s">
        <v>273</v>
      </c>
      <c r="D291" s="66" t="s">
        <v>274</v>
      </c>
      <c r="E291" s="67"/>
      <c r="F291" s="67">
        <v>40262</v>
      </c>
      <c r="G291" s="64" t="str">
        <f>IF(stdProdLT(Main[[#This Row],[Comments]])=0.1,"N/A",IF(stdProdLT(Main[[#This Row],[Comments]])=0,"",stdProdLT(Main[[#This Row],[Comments]])))</f>
        <v/>
      </c>
      <c r="H291" s="68" t="str">
        <f>IF(AND(Main[[#This Row],[In Stock Date]]&lt;&gt;"",Main[[#This Row],[Revised Due Date]]&lt;&gt;""),Main[[#This Row],[In Stock Date]]-Main[[#This Row],[Revised Due Date]],"")</f>
        <v/>
      </c>
      <c r="I291" s="65" t="s">
        <v>4</v>
      </c>
      <c r="J291" s="65" t="s">
        <v>4</v>
      </c>
      <c r="K291" s="65" t="s">
        <v>4</v>
      </c>
      <c r="L291" s="67"/>
      <c r="M291" s="69" t="str">
        <f>IF(Main[[#This Row],[Tech Start Date]]&lt;1/1/1990,"",IF(Main[[#This Row],[Class]]="C",WORKDAY(Main[[#This Row],[Tech Start Date]],9),IF(Main[[#This Row],[Class]]="B", WORKDAY(Main[[#This Row],[Tech Start Date]],6),IF(Main[[#This Row],[Class]]="A",WORKDAY(Main[[#This Row],[Tech Start Date]],2),""))))</f>
        <v/>
      </c>
      <c r="N291" s="69" t="str">
        <f>IF(Main[[#This Row],[Tech Start Date]]&lt;1/1/1990,"",IF(Main[[#This Row],[Class]]="C",WORKDAY(Main[[#This Row],[Tech Start Date]],19),IF(Main[[#This Row],[Class]]="B", WORKDAY(Main[[#This Row],[Tech Start Date]],12),IF(Main[[#This Row],[Class]]="A",WORKDAY(Main[[#This Row],[Tech Start Date]],4),""))))</f>
        <v/>
      </c>
      <c r="O291" s="69" t="str">
        <f>IF(Main[[#This Row],[Tech Start Date]]&lt;1/1/1990,"",IF(Main[[#This Row],[Class]]="C",WORKDAY(Main[[#This Row],[Tech Start Date]],23),IF(Main[[#This Row],[Class]]="B", WORKDAY(Main[[#This Row],[Tech Start Date]],15),IF(Main[[#This Row],[Class]]="A",WORKDAY(Main[[#This Row],[Tech Start Date]],5),""))))</f>
        <v/>
      </c>
      <c r="P291" s="69" t="str">
        <f>IF(Main[[#This Row],[Tech Start Date]]&lt;1/1/1990,"",IF(Main[[#This Row],[Class]]="C",WORKDAY(Main[[#This Row],[Tech Start Date]],28),IF(Main[[#This Row],[Class]]="B", WORKDAY(Main[[#This Row],[Tech Start Date]],19),IF(Main[[#This Row],[Class]]="A",WORKDAY(Main[[#This Row],[Tech Start Date]],9),""))))</f>
        <v/>
      </c>
      <c r="Q291" s="67">
        <v>40242</v>
      </c>
      <c r="R291" s="67"/>
      <c r="S291" s="65" t="s">
        <v>11</v>
      </c>
      <c r="T291" s="70" t="s">
        <v>4</v>
      </c>
      <c r="U291" s="65" t="s">
        <v>14</v>
      </c>
      <c r="V291" s="65" t="s">
        <v>1924</v>
      </c>
      <c r="W291" s="65" t="s">
        <v>1918</v>
      </c>
      <c r="X291" s="65" t="s">
        <v>2868</v>
      </c>
      <c r="Y291" s="65" t="s">
        <v>3012</v>
      </c>
      <c r="Z291" s="65" t="s">
        <v>4</v>
      </c>
      <c r="AA291" s="65" t="s">
        <v>2868</v>
      </c>
    </row>
    <row r="292" spans="1:27" ht="17.45" hidden="1" customHeight="1">
      <c r="A292" s="100" t="str">
        <f>IF(priority(Main[[#This Row],[Comments]])&lt;&gt;0, priority(Main[[#This Row],[Comments]]),"")</f>
        <v/>
      </c>
      <c r="B292" s="77" t="s">
        <v>1213</v>
      </c>
      <c r="C292" s="65" t="s">
        <v>275</v>
      </c>
      <c r="D292" s="66" t="s">
        <v>276</v>
      </c>
      <c r="E292" s="67"/>
      <c r="F292" s="67">
        <v>40186</v>
      </c>
      <c r="G292" s="64" t="str">
        <f>IF(stdProdLT(Main[[#This Row],[Comments]])=0.1,"N/A",IF(stdProdLT(Main[[#This Row],[Comments]])=0,"",stdProdLT(Main[[#This Row],[Comments]])))</f>
        <v/>
      </c>
      <c r="H292" s="68" t="str">
        <f>IF(AND(Main[[#This Row],[In Stock Date]]&lt;&gt;"",Main[[#This Row],[Revised Due Date]]&lt;&gt;""),Main[[#This Row],[In Stock Date]]-Main[[#This Row],[Revised Due Date]],"")</f>
        <v/>
      </c>
      <c r="I292" s="65" t="s">
        <v>4</v>
      </c>
      <c r="J292" s="65" t="s">
        <v>4</v>
      </c>
      <c r="K292" s="65" t="s">
        <v>4</v>
      </c>
      <c r="L292" s="67"/>
      <c r="M292" s="69" t="str">
        <f>IF(Main[[#This Row],[Tech Start Date]]&lt;1/1/1990,"",IF(Main[[#This Row],[Class]]="C",WORKDAY(Main[[#This Row],[Tech Start Date]],9),IF(Main[[#This Row],[Class]]="B", WORKDAY(Main[[#This Row],[Tech Start Date]],6),IF(Main[[#This Row],[Class]]="A",WORKDAY(Main[[#This Row],[Tech Start Date]],2),""))))</f>
        <v/>
      </c>
      <c r="N292" s="69" t="str">
        <f>IF(Main[[#This Row],[Tech Start Date]]&lt;1/1/1990,"",IF(Main[[#This Row],[Class]]="C",WORKDAY(Main[[#This Row],[Tech Start Date]],19),IF(Main[[#This Row],[Class]]="B", WORKDAY(Main[[#This Row],[Tech Start Date]],12),IF(Main[[#This Row],[Class]]="A",WORKDAY(Main[[#This Row],[Tech Start Date]],4),""))))</f>
        <v/>
      </c>
      <c r="O292" s="69" t="str">
        <f>IF(Main[[#This Row],[Tech Start Date]]&lt;1/1/1990,"",IF(Main[[#This Row],[Class]]="C",WORKDAY(Main[[#This Row],[Tech Start Date]],23),IF(Main[[#This Row],[Class]]="B", WORKDAY(Main[[#This Row],[Tech Start Date]],15),IF(Main[[#This Row],[Class]]="A",WORKDAY(Main[[#This Row],[Tech Start Date]],5),""))))</f>
        <v/>
      </c>
      <c r="P292" s="69" t="str">
        <f>IF(Main[[#This Row],[Tech Start Date]]&lt;1/1/1990,"",IF(Main[[#This Row],[Class]]="C",WORKDAY(Main[[#This Row],[Tech Start Date]],28),IF(Main[[#This Row],[Class]]="B", WORKDAY(Main[[#This Row],[Tech Start Date]],19),IF(Main[[#This Row],[Class]]="A",WORKDAY(Main[[#This Row],[Tech Start Date]],9),""))))</f>
        <v/>
      </c>
      <c r="Q292" s="67">
        <v>40196</v>
      </c>
      <c r="R292" s="67"/>
      <c r="S292" s="65" t="s">
        <v>11</v>
      </c>
      <c r="T292" s="70" t="s">
        <v>4</v>
      </c>
      <c r="U292" s="65" t="s">
        <v>14</v>
      </c>
      <c r="V292" s="65" t="s">
        <v>1917</v>
      </c>
      <c r="W292" s="65" t="s">
        <v>1922</v>
      </c>
      <c r="X292" s="65" t="s">
        <v>2842</v>
      </c>
      <c r="Y292" s="65" t="s">
        <v>4</v>
      </c>
      <c r="Z292" s="65" t="s">
        <v>4</v>
      </c>
      <c r="AA292" s="65" t="s">
        <v>2842</v>
      </c>
    </row>
    <row r="293" spans="1:27" ht="17.45" hidden="1" customHeight="1">
      <c r="A293" s="100" t="str">
        <f>IF(priority(Main[[#This Row],[Comments]])&lt;&gt;0, priority(Main[[#This Row],[Comments]]),"")</f>
        <v/>
      </c>
      <c r="B293" s="77" t="s">
        <v>2221</v>
      </c>
      <c r="C293" s="65" t="s">
        <v>4</v>
      </c>
      <c r="D293" s="66" t="s">
        <v>2222</v>
      </c>
      <c r="E293" s="67"/>
      <c r="F293" s="67"/>
      <c r="G293" s="64" t="str">
        <f>IF(stdProdLT(Main[[#This Row],[Comments]])=0.1,"N/A",IF(stdProdLT(Main[[#This Row],[Comments]])=0,"",stdProdLT(Main[[#This Row],[Comments]])))</f>
        <v/>
      </c>
      <c r="H293" s="68" t="str">
        <f>IF(AND(Main[[#This Row],[In Stock Date]]&lt;&gt;"",Main[[#This Row],[Revised Due Date]]&lt;&gt;""),Main[[#This Row],[In Stock Date]]-Main[[#This Row],[Revised Due Date]],"")</f>
        <v/>
      </c>
      <c r="I293" s="65" t="s">
        <v>4</v>
      </c>
      <c r="J293" s="65" t="s">
        <v>4</v>
      </c>
      <c r="K293" s="65" t="s">
        <v>4</v>
      </c>
      <c r="L293" s="67"/>
      <c r="M293" s="69" t="str">
        <f>IF(Main[[#This Row],[Tech Start Date]]&lt;1/1/1990,"",IF(Main[[#This Row],[Class]]="C",WORKDAY(Main[[#This Row],[Tech Start Date]],9),IF(Main[[#This Row],[Class]]="B", WORKDAY(Main[[#This Row],[Tech Start Date]],6),IF(Main[[#This Row],[Class]]="A",WORKDAY(Main[[#This Row],[Tech Start Date]],2),""))))</f>
        <v/>
      </c>
      <c r="N293" s="69" t="str">
        <f>IF(Main[[#This Row],[Tech Start Date]]&lt;1/1/1990,"",IF(Main[[#This Row],[Class]]="C",WORKDAY(Main[[#This Row],[Tech Start Date]],19),IF(Main[[#This Row],[Class]]="B", WORKDAY(Main[[#This Row],[Tech Start Date]],12),IF(Main[[#This Row],[Class]]="A",WORKDAY(Main[[#This Row],[Tech Start Date]],4),""))))</f>
        <v/>
      </c>
      <c r="O293" s="69" t="str">
        <f>IF(Main[[#This Row],[Tech Start Date]]&lt;1/1/1990,"",IF(Main[[#This Row],[Class]]="C",WORKDAY(Main[[#This Row],[Tech Start Date]],23),IF(Main[[#This Row],[Class]]="B", WORKDAY(Main[[#This Row],[Tech Start Date]],15),IF(Main[[#This Row],[Class]]="A",WORKDAY(Main[[#This Row],[Tech Start Date]],5),""))))</f>
        <v/>
      </c>
      <c r="P293" s="69" t="str">
        <f>IF(Main[[#This Row],[Tech Start Date]]&lt;1/1/1990,"",IF(Main[[#This Row],[Class]]="C",WORKDAY(Main[[#This Row],[Tech Start Date]],28),IF(Main[[#This Row],[Class]]="B", WORKDAY(Main[[#This Row],[Tech Start Date]],19),IF(Main[[#This Row],[Class]]="A",WORKDAY(Main[[#This Row],[Tech Start Date]],9),""))))</f>
        <v/>
      </c>
      <c r="Q293" s="67">
        <v>40837</v>
      </c>
      <c r="R293" s="67"/>
      <c r="S293" s="65" t="s">
        <v>6</v>
      </c>
      <c r="T293" s="70" t="s">
        <v>4</v>
      </c>
      <c r="U293" s="65" t="s">
        <v>14</v>
      </c>
      <c r="V293" s="65" t="s">
        <v>1917</v>
      </c>
      <c r="W293" s="65" t="s">
        <v>4</v>
      </c>
      <c r="X293" s="65" t="s">
        <v>2818</v>
      </c>
      <c r="Y293" s="65" t="s">
        <v>2929</v>
      </c>
      <c r="Z293" s="65" t="s">
        <v>4</v>
      </c>
      <c r="AA293" s="65" t="s">
        <v>2818</v>
      </c>
    </row>
    <row r="294" spans="1:27" ht="17.45" hidden="1" customHeight="1">
      <c r="A294" s="100">
        <f>IF(priority(Main[[#This Row],[Comments]])&lt;&gt;0, priority(Main[[#This Row],[Comments]]),"")</f>
        <v>30</v>
      </c>
      <c r="B294" s="77" t="s">
        <v>1572</v>
      </c>
      <c r="C294" s="65" t="s">
        <v>1966</v>
      </c>
      <c r="D294" s="66" t="s">
        <v>653</v>
      </c>
      <c r="E294" s="67"/>
      <c r="F294" s="67"/>
      <c r="G294" s="64">
        <f>IF(stdProdLT(Main[[#This Row],[Comments]])=0.1,"N/A",IF(stdProdLT(Main[[#This Row],[Comments]])=0,"",stdProdLT(Main[[#This Row],[Comments]])))</f>
        <v>126</v>
      </c>
      <c r="H294" s="68" t="str">
        <f>IF(AND(Main[[#This Row],[In Stock Date]]&lt;&gt;"",Main[[#This Row],[Revised Due Date]]&lt;&gt;""),Main[[#This Row],[In Stock Date]]-Main[[#This Row],[Revised Due Date]],"")</f>
        <v/>
      </c>
      <c r="I294" s="65" t="s">
        <v>4</v>
      </c>
      <c r="J294" s="65" t="s">
        <v>4</v>
      </c>
      <c r="K294" s="71" t="s">
        <v>4</v>
      </c>
      <c r="L294" s="67"/>
      <c r="M294" s="69" t="str">
        <f>IF(Main[[#This Row],[Tech Start Date]]&lt;1/1/1990,"",IF(Main[[#This Row],[Class]]="C",WORKDAY(Main[[#This Row],[Tech Start Date]],9),IF(Main[[#This Row],[Class]]="B", WORKDAY(Main[[#This Row],[Tech Start Date]],6),IF(Main[[#This Row],[Class]]="A",WORKDAY(Main[[#This Row],[Tech Start Date]],2),""))))</f>
        <v/>
      </c>
      <c r="N294" s="69" t="str">
        <f>IF(Main[[#This Row],[Tech Start Date]]&lt;1/1/1990,"",IF(Main[[#This Row],[Class]]="C",WORKDAY(Main[[#This Row],[Tech Start Date]],19),IF(Main[[#This Row],[Class]]="B", WORKDAY(Main[[#This Row],[Tech Start Date]],12),IF(Main[[#This Row],[Class]]="A",WORKDAY(Main[[#This Row],[Tech Start Date]],4),""))))</f>
        <v/>
      </c>
      <c r="O294" s="69" t="str">
        <f>IF(Main[[#This Row],[Tech Start Date]]&lt;1/1/1990,"",IF(Main[[#This Row],[Class]]="C",WORKDAY(Main[[#This Row],[Tech Start Date]],23),IF(Main[[#This Row],[Class]]="B", WORKDAY(Main[[#This Row],[Tech Start Date]],15),IF(Main[[#This Row],[Class]]="A",WORKDAY(Main[[#This Row],[Tech Start Date]],5),""))))</f>
        <v/>
      </c>
      <c r="P294" s="69" t="str">
        <f>IF(Main[[#This Row],[Tech Start Date]]&lt;1/1/1990,"",IF(Main[[#This Row],[Class]]="C",WORKDAY(Main[[#This Row],[Tech Start Date]],28),IF(Main[[#This Row],[Class]]="B", WORKDAY(Main[[#This Row],[Tech Start Date]],19),IF(Main[[#This Row],[Class]]="A",WORKDAY(Main[[#This Row],[Tech Start Date]],9),""))))</f>
        <v/>
      </c>
      <c r="Q294" s="67">
        <v>40710</v>
      </c>
      <c r="R294" s="67">
        <v>40778</v>
      </c>
      <c r="S294" s="65" t="s">
        <v>11</v>
      </c>
      <c r="T294" s="70" t="s">
        <v>1967</v>
      </c>
      <c r="U294" s="65" t="s">
        <v>14</v>
      </c>
      <c r="V294" s="65" t="s">
        <v>1914</v>
      </c>
      <c r="W294" s="65" t="s">
        <v>1916</v>
      </c>
      <c r="X294" s="65" t="s">
        <v>2857</v>
      </c>
      <c r="Y294" s="65" t="s">
        <v>2998</v>
      </c>
      <c r="Z294" s="65" t="s">
        <v>4</v>
      </c>
      <c r="AA294" s="65" t="s">
        <v>2857</v>
      </c>
    </row>
    <row r="295" spans="1:27" ht="17.45" hidden="1" customHeight="1">
      <c r="A295" s="100" t="str">
        <f>IF(priority(Main[[#This Row],[Comments]])&lt;&gt;0, priority(Main[[#This Row],[Comments]]),"")</f>
        <v/>
      </c>
      <c r="B295" s="77" t="s">
        <v>1405</v>
      </c>
      <c r="C295" s="65" t="s">
        <v>4</v>
      </c>
      <c r="D295" s="66" t="s">
        <v>487</v>
      </c>
      <c r="E295" s="67">
        <v>40704.65116898148</v>
      </c>
      <c r="F295" s="67"/>
      <c r="G295" s="64" t="str">
        <f>IF(stdProdLT(Main[[#This Row],[Comments]])=0.1,"N/A",IF(stdProdLT(Main[[#This Row],[Comments]])=0,"",stdProdLT(Main[[#This Row],[Comments]])))</f>
        <v/>
      </c>
      <c r="H295" s="68" t="str">
        <f>IF(AND(Main[[#This Row],[In Stock Date]]&lt;&gt;"",Main[[#This Row],[Revised Due Date]]&lt;&gt;""),Main[[#This Row],[In Stock Date]]-Main[[#This Row],[Revised Due Date]],"")</f>
        <v/>
      </c>
      <c r="I295" s="65" t="s">
        <v>4</v>
      </c>
      <c r="J295" s="65" t="s">
        <v>4</v>
      </c>
      <c r="K295" s="65" t="s">
        <v>4</v>
      </c>
      <c r="L295" s="67"/>
      <c r="M295" s="69" t="str">
        <f>IF(Main[[#This Row],[Tech Start Date]]&lt;1/1/1990,"",IF(Main[[#This Row],[Class]]="C",WORKDAY(Main[[#This Row],[Tech Start Date]],9),IF(Main[[#This Row],[Class]]="B", WORKDAY(Main[[#This Row],[Tech Start Date]],6),IF(Main[[#This Row],[Class]]="A",WORKDAY(Main[[#This Row],[Tech Start Date]],2),""))))</f>
        <v/>
      </c>
      <c r="N295" s="69" t="str">
        <f>IF(Main[[#This Row],[Tech Start Date]]&lt;1/1/1990,"",IF(Main[[#This Row],[Class]]="C",WORKDAY(Main[[#This Row],[Tech Start Date]],19),IF(Main[[#This Row],[Class]]="B", WORKDAY(Main[[#This Row],[Tech Start Date]],12),IF(Main[[#This Row],[Class]]="A",WORKDAY(Main[[#This Row],[Tech Start Date]],4),""))))</f>
        <v/>
      </c>
      <c r="O295" s="69" t="str">
        <f>IF(Main[[#This Row],[Tech Start Date]]&lt;1/1/1990,"",IF(Main[[#This Row],[Class]]="C",WORKDAY(Main[[#This Row],[Tech Start Date]],23),IF(Main[[#This Row],[Class]]="B", WORKDAY(Main[[#This Row],[Tech Start Date]],15),IF(Main[[#This Row],[Class]]="A",WORKDAY(Main[[#This Row],[Tech Start Date]],5),""))))</f>
        <v/>
      </c>
      <c r="P295" s="69" t="str">
        <f>IF(Main[[#This Row],[Tech Start Date]]&lt;1/1/1990,"",IF(Main[[#This Row],[Class]]="C",WORKDAY(Main[[#This Row],[Tech Start Date]],28),IF(Main[[#This Row],[Class]]="B", WORKDAY(Main[[#This Row],[Tech Start Date]],19),IF(Main[[#This Row],[Class]]="A",WORKDAY(Main[[#This Row],[Tech Start Date]],9),""))))</f>
        <v/>
      </c>
      <c r="Q295" s="67"/>
      <c r="R295" s="67"/>
      <c r="S295" s="65" t="s">
        <v>6</v>
      </c>
      <c r="T295" s="70" t="s">
        <v>4</v>
      </c>
      <c r="U295" s="65" t="s">
        <v>29</v>
      </c>
      <c r="V295" s="65" t="s">
        <v>1914</v>
      </c>
      <c r="W295" s="65" t="s">
        <v>1918</v>
      </c>
      <c r="X295" s="65" t="s">
        <v>399</v>
      </c>
      <c r="Y295" s="65" t="s">
        <v>4</v>
      </c>
      <c r="Z295" s="65" t="s">
        <v>4</v>
      </c>
      <c r="AA295" s="65" t="s">
        <v>3379</v>
      </c>
    </row>
    <row r="296" spans="1:27" ht="17.45" hidden="1" customHeight="1">
      <c r="A296" s="100" t="str">
        <f>IF(priority(Main[[#This Row],[Comments]])&lt;&gt;0, priority(Main[[#This Row],[Comments]]),"")</f>
        <v/>
      </c>
      <c r="B296" s="77" t="s">
        <v>1214</v>
      </c>
      <c r="C296" s="65" t="s">
        <v>4</v>
      </c>
      <c r="D296" s="66" t="s">
        <v>281</v>
      </c>
      <c r="E296" s="67">
        <v>40297.413148148145</v>
      </c>
      <c r="F296" s="67"/>
      <c r="G296" s="64" t="str">
        <f>IF(stdProdLT(Main[[#This Row],[Comments]])=0.1,"N/A",IF(stdProdLT(Main[[#This Row],[Comments]])=0,"",stdProdLT(Main[[#This Row],[Comments]])))</f>
        <v/>
      </c>
      <c r="H296" s="68" t="str">
        <f>IF(AND(Main[[#This Row],[In Stock Date]]&lt;&gt;"",Main[[#This Row],[Revised Due Date]]&lt;&gt;""),Main[[#This Row],[In Stock Date]]-Main[[#This Row],[Revised Due Date]],"")</f>
        <v/>
      </c>
      <c r="I296" s="65" t="s">
        <v>4</v>
      </c>
      <c r="J296" s="65" t="s">
        <v>4</v>
      </c>
      <c r="K296" s="65" t="s">
        <v>4</v>
      </c>
      <c r="L296" s="67"/>
      <c r="M296" s="69" t="str">
        <f>IF(Main[[#This Row],[Tech Start Date]]&lt;1/1/1990,"",IF(Main[[#This Row],[Class]]="C",WORKDAY(Main[[#This Row],[Tech Start Date]],9),IF(Main[[#This Row],[Class]]="B", WORKDAY(Main[[#This Row],[Tech Start Date]],6),IF(Main[[#This Row],[Class]]="A",WORKDAY(Main[[#This Row],[Tech Start Date]],2),""))))</f>
        <v/>
      </c>
      <c r="N296" s="69" t="str">
        <f>IF(Main[[#This Row],[Tech Start Date]]&lt;1/1/1990,"",IF(Main[[#This Row],[Class]]="C",WORKDAY(Main[[#This Row],[Tech Start Date]],19),IF(Main[[#This Row],[Class]]="B", WORKDAY(Main[[#This Row],[Tech Start Date]],12),IF(Main[[#This Row],[Class]]="A",WORKDAY(Main[[#This Row],[Tech Start Date]],4),""))))</f>
        <v/>
      </c>
      <c r="O296" s="69" t="str">
        <f>IF(Main[[#This Row],[Tech Start Date]]&lt;1/1/1990,"",IF(Main[[#This Row],[Class]]="C",WORKDAY(Main[[#This Row],[Tech Start Date]],23),IF(Main[[#This Row],[Class]]="B", WORKDAY(Main[[#This Row],[Tech Start Date]],15),IF(Main[[#This Row],[Class]]="A",WORKDAY(Main[[#This Row],[Tech Start Date]],5),""))))</f>
        <v/>
      </c>
      <c r="P296" s="69" t="str">
        <f>IF(Main[[#This Row],[Tech Start Date]]&lt;1/1/1990,"",IF(Main[[#This Row],[Class]]="C",WORKDAY(Main[[#This Row],[Tech Start Date]],28),IF(Main[[#This Row],[Class]]="B", WORKDAY(Main[[#This Row],[Tech Start Date]],19),IF(Main[[#This Row],[Class]]="A",WORKDAY(Main[[#This Row],[Tech Start Date]],9),""))))</f>
        <v/>
      </c>
      <c r="Q296" s="67">
        <v>40319</v>
      </c>
      <c r="R296" s="67"/>
      <c r="S296" s="65" t="s">
        <v>17</v>
      </c>
      <c r="T296" s="70" t="s">
        <v>4</v>
      </c>
      <c r="U296" s="65" t="s">
        <v>29</v>
      </c>
      <c r="V296" s="65" t="s">
        <v>1915</v>
      </c>
      <c r="W296" s="65" t="s">
        <v>1918</v>
      </c>
      <c r="X296" s="65" t="s">
        <v>2862</v>
      </c>
      <c r="Y296" s="65" t="s">
        <v>4</v>
      </c>
      <c r="Z296" s="65" t="s">
        <v>4</v>
      </c>
      <c r="AA296" s="65" t="s">
        <v>2835</v>
      </c>
    </row>
    <row r="297" spans="1:27" ht="17.45" hidden="1" customHeight="1">
      <c r="A297" s="100" t="str">
        <f>IF(priority(Main[[#This Row],[Comments]])&lt;&gt;0, priority(Main[[#This Row],[Comments]]),"")</f>
        <v/>
      </c>
      <c r="B297" s="77" t="s">
        <v>1215</v>
      </c>
      <c r="C297" s="65" t="s">
        <v>282</v>
      </c>
      <c r="D297" s="66" t="s">
        <v>283</v>
      </c>
      <c r="E297" s="67"/>
      <c r="F297" s="67">
        <v>40391</v>
      </c>
      <c r="G297" s="64" t="str">
        <f>IF(stdProdLT(Main[[#This Row],[Comments]])=0.1,"N/A",IF(stdProdLT(Main[[#This Row],[Comments]])=0,"",stdProdLT(Main[[#This Row],[Comments]])))</f>
        <v/>
      </c>
      <c r="H297" s="68" t="str">
        <f>IF(AND(Main[[#This Row],[In Stock Date]]&lt;&gt;"",Main[[#This Row],[Revised Due Date]]&lt;&gt;""),Main[[#This Row],[In Stock Date]]-Main[[#This Row],[Revised Due Date]],"")</f>
        <v/>
      </c>
      <c r="I297" s="65" t="s">
        <v>4</v>
      </c>
      <c r="J297" s="65" t="s">
        <v>4</v>
      </c>
      <c r="K297" s="65" t="s">
        <v>4</v>
      </c>
      <c r="L297" s="67"/>
      <c r="M297" s="69" t="str">
        <f>IF(Main[[#This Row],[Tech Start Date]]&lt;1/1/1990,"",IF(Main[[#This Row],[Class]]="C",WORKDAY(Main[[#This Row],[Tech Start Date]],9),IF(Main[[#This Row],[Class]]="B", WORKDAY(Main[[#This Row],[Tech Start Date]],6),IF(Main[[#This Row],[Class]]="A",WORKDAY(Main[[#This Row],[Tech Start Date]],2),""))))</f>
        <v/>
      </c>
      <c r="N297" s="69" t="str">
        <f>IF(Main[[#This Row],[Tech Start Date]]&lt;1/1/1990,"",IF(Main[[#This Row],[Class]]="C",WORKDAY(Main[[#This Row],[Tech Start Date]],19),IF(Main[[#This Row],[Class]]="B", WORKDAY(Main[[#This Row],[Tech Start Date]],12),IF(Main[[#This Row],[Class]]="A",WORKDAY(Main[[#This Row],[Tech Start Date]],4),""))))</f>
        <v/>
      </c>
      <c r="O297" s="69" t="str">
        <f>IF(Main[[#This Row],[Tech Start Date]]&lt;1/1/1990,"",IF(Main[[#This Row],[Class]]="C",WORKDAY(Main[[#This Row],[Tech Start Date]],23),IF(Main[[#This Row],[Class]]="B", WORKDAY(Main[[#This Row],[Tech Start Date]],15),IF(Main[[#This Row],[Class]]="A",WORKDAY(Main[[#This Row],[Tech Start Date]],5),""))))</f>
        <v/>
      </c>
      <c r="P297" s="69" t="str">
        <f>IF(Main[[#This Row],[Tech Start Date]]&lt;1/1/1990,"",IF(Main[[#This Row],[Class]]="C",WORKDAY(Main[[#This Row],[Tech Start Date]],28),IF(Main[[#This Row],[Class]]="B", WORKDAY(Main[[#This Row],[Tech Start Date]],19),IF(Main[[#This Row],[Class]]="A",WORKDAY(Main[[#This Row],[Tech Start Date]],9),""))))</f>
        <v/>
      </c>
      <c r="Q297" s="67">
        <v>40314</v>
      </c>
      <c r="R297" s="67"/>
      <c r="S297" s="65" t="s">
        <v>11</v>
      </c>
      <c r="T297" s="70" t="s">
        <v>4</v>
      </c>
      <c r="U297" s="65" t="s">
        <v>14</v>
      </c>
      <c r="V297" s="65" t="s">
        <v>1917</v>
      </c>
      <c r="W297" s="65" t="s">
        <v>1920</v>
      </c>
      <c r="X297" s="65" t="s">
        <v>2858</v>
      </c>
      <c r="Y297" s="65" t="s">
        <v>4</v>
      </c>
      <c r="Z297" s="65" t="s">
        <v>4</v>
      </c>
      <c r="AA297" s="65" t="s">
        <v>2858</v>
      </c>
    </row>
    <row r="298" spans="1:27" ht="17.45" hidden="1" customHeight="1">
      <c r="A298" s="100" t="str">
        <f>IF(priority(Main[[#This Row],[Comments]])&lt;&gt;0, priority(Main[[#This Row],[Comments]]),"")</f>
        <v/>
      </c>
      <c r="B298" s="77" t="s">
        <v>1216</v>
      </c>
      <c r="C298" s="65" t="s">
        <v>284</v>
      </c>
      <c r="D298" s="66" t="s">
        <v>285</v>
      </c>
      <c r="E298" s="67"/>
      <c r="F298" s="67"/>
      <c r="G298" s="64" t="str">
        <f>IF(stdProdLT(Main[[#This Row],[Comments]])=0.1,"N/A",IF(stdProdLT(Main[[#This Row],[Comments]])=0,"",stdProdLT(Main[[#This Row],[Comments]])))</f>
        <v/>
      </c>
      <c r="H298" s="68" t="str">
        <f>IF(AND(Main[[#This Row],[In Stock Date]]&lt;&gt;"",Main[[#This Row],[Revised Due Date]]&lt;&gt;""),Main[[#This Row],[In Stock Date]]-Main[[#This Row],[Revised Due Date]],"")</f>
        <v/>
      </c>
      <c r="I298" s="65" t="s">
        <v>4</v>
      </c>
      <c r="J298" s="65" t="s">
        <v>4</v>
      </c>
      <c r="K298" s="65" t="s">
        <v>4</v>
      </c>
      <c r="L298" s="67"/>
      <c r="M298" s="69" t="str">
        <f>IF(Main[[#This Row],[Tech Start Date]]&lt;1/1/1990,"",IF(Main[[#This Row],[Class]]="C",WORKDAY(Main[[#This Row],[Tech Start Date]],9),IF(Main[[#This Row],[Class]]="B", WORKDAY(Main[[#This Row],[Tech Start Date]],6),IF(Main[[#This Row],[Class]]="A",WORKDAY(Main[[#This Row],[Tech Start Date]],2),""))))</f>
        <v/>
      </c>
      <c r="N298" s="69" t="str">
        <f>IF(Main[[#This Row],[Tech Start Date]]&lt;1/1/1990,"",IF(Main[[#This Row],[Class]]="C",WORKDAY(Main[[#This Row],[Tech Start Date]],19),IF(Main[[#This Row],[Class]]="B", WORKDAY(Main[[#This Row],[Tech Start Date]],12),IF(Main[[#This Row],[Class]]="A",WORKDAY(Main[[#This Row],[Tech Start Date]],4),""))))</f>
        <v/>
      </c>
      <c r="O298" s="69" t="str">
        <f>IF(Main[[#This Row],[Tech Start Date]]&lt;1/1/1990,"",IF(Main[[#This Row],[Class]]="C",WORKDAY(Main[[#This Row],[Tech Start Date]],23),IF(Main[[#This Row],[Class]]="B", WORKDAY(Main[[#This Row],[Tech Start Date]],15),IF(Main[[#This Row],[Class]]="A",WORKDAY(Main[[#This Row],[Tech Start Date]],5),""))))</f>
        <v/>
      </c>
      <c r="P298" s="69" t="str">
        <f>IF(Main[[#This Row],[Tech Start Date]]&lt;1/1/1990,"",IF(Main[[#This Row],[Class]]="C",WORKDAY(Main[[#This Row],[Tech Start Date]],28),IF(Main[[#This Row],[Class]]="B", WORKDAY(Main[[#This Row],[Tech Start Date]],19),IF(Main[[#This Row],[Class]]="A",WORKDAY(Main[[#This Row],[Tech Start Date]],9),""))))</f>
        <v/>
      </c>
      <c r="Q298" s="67">
        <v>40147</v>
      </c>
      <c r="R298" s="67"/>
      <c r="S298" s="65" t="s">
        <v>11</v>
      </c>
      <c r="T298" s="70" t="s">
        <v>4</v>
      </c>
      <c r="U298" s="65" t="s">
        <v>14</v>
      </c>
      <c r="V298" s="65" t="s">
        <v>1924</v>
      </c>
      <c r="W298" s="65" t="s">
        <v>1922</v>
      </c>
      <c r="X298" s="65" t="s">
        <v>2817</v>
      </c>
      <c r="Y298" s="65" t="s">
        <v>4</v>
      </c>
      <c r="Z298" s="65" t="s">
        <v>4</v>
      </c>
      <c r="AA298" s="65" t="s">
        <v>2817</v>
      </c>
    </row>
    <row r="299" spans="1:27" ht="17.45" hidden="1" customHeight="1">
      <c r="A299" s="100" t="str">
        <f>IF(priority(Main[[#This Row],[Comments]])&lt;&gt;0, priority(Main[[#This Row],[Comments]]),"")</f>
        <v/>
      </c>
      <c r="B299" s="77" t="s">
        <v>2075</v>
      </c>
      <c r="C299" s="65" t="s">
        <v>4</v>
      </c>
      <c r="D299" s="66" t="s">
        <v>2065</v>
      </c>
      <c r="E299" s="67"/>
      <c r="F299" s="67"/>
      <c r="G299" s="64" t="str">
        <f>IF(stdProdLT(Main[[#This Row],[Comments]])=0.1,"N/A",IF(stdProdLT(Main[[#This Row],[Comments]])=0,"",stdProdLT(Main[[#This Row],[Comments]])))</f>
        <v/>
      </c>
      <c r="H299" s="68" t="str">
        <f>IF(AND(Main[[#This Row],[In Stock Date]]&lt;&gt;"",Main[[#This Row],[Revised Due Date]]&lt;&gt;""),Main[[#This Row],[In Stock Date]]-Main[[#This Row],[Revised Due Date]],"")</f>
        <v/>
      </c>
      <c r="I299" s="65" t="s">
        <v>4</v>
      </c>
      <c r="J299" s="65" t="s">
        <v>4</v>
      </c>
      <c r="K299" s="65" t="s">
        <v>4</v>
      </c>
      <c r="L299" s="67"/>
      <c r="M299" s="69" t="str">
        <f>IF(Main[[#This Row],[Tech Start Date]]&lt;1/1/1990,"",IF(Main[[#This Row],[Class]]="C",WORKDAY(Main[[#This Row],[Tech Start Date]],9),IF(Main[[#This Row],[Class]]="B", WORKDAY(Main[[#This Row],[Tech Start Date]],6),IF(Main[[#This Row],[Class]]="A",WORKDAY(Main[[#This Row],[Tech Start Date]],2),""))))</f>
        <v/>
      </c>
      <c r="N299" s="69" t="str">
        <f>IF(Main[[#This Row],[Tech Start Date]]&lt;1/1/1990,"",IF(Main[[#This Row],[Class]]="C",WORKDAY(Main[[#This Row],[Tech Start Date]],19),IF(Main[[#This Row],[Class]]="B", WORKDAY(Main[[#This Row],[Tech Start Date]],12),IF(Main[[#This Row],[Class]]="A",WORKDAY(Main[[#This Row],[Tech Start Date]],4),""))))</f>
        <v/>
      </c>
      <c r="O299" s="69" t="str">
        <f>IF(Main[[#This Row],[Tech Start Date]]&lt;1/1/1990,"",IF(Main[[#This Row],[Class]]="C",WORKDAY(Main[[#This Row],[Tech Start Date]],23),IF(Main[[#This Row],[Class]]="B", WORKDAY(Main[[#This Row],[Tech Start Date]],15),IF(Main[[#This Row],[Class]]="A",WORKDAY(Main[[#This Row],[Tech Start Date]],5),""))))</f>
        <v/>
      </c>
      <c r="P299" s="69" t="str">
        <f>IF(Main[[#This Row],[Tech Start Date]]&lt;1/1/1990,"",IF(Main[[#This Row],[Class]]="C",WORKDAY(Main[[#This Row],[Tech Start Date]],28),IF(Main[[#This Row],[Class]]="B", WORKDAY(Main[[#This Row],[Tech Start Date]],19),IF(Main[[#This Row],[Class]]="A",WORKDAY(Main[[#This Row],[Tech Start Date]],9),""))))</f>
        <v/>
      </c>
      <c r="Q299" s="67">
        <v>40798</v>
      </c>
      <c r="R299" s="67"/>
      <c r="S299" s="65" t="s">
        <v>6</v>
      </c>
      <c r="T299" s="70" t="s">
        <v>4</v>
      </c>
      <c r="U299" s="65" t="s">
        <v>12</v>
      </c>
      <c r="V299" s="65" t="s">
        <v>1917</v>
      </c>
      <c r="W299" s="65" t="s">
        <v>4</v>
      </c>
      <c r="X299" s="65" t="s">
        <v>2819</v>
      </c>
      <c r="Y299" s="65" t="s">
        <v>2932</v>
      </c>
      <c r="Z299" s="65" t="s">
        <v>4</v>
      </c>
      <c r="AA299" s="65" t="s">
        <v>2819</v>
      </c>
    </row>
    <row r="300" spans="1:27" ht="17.45" hidden="1" customHeight="1">
      <c r="A300" s="100" t="str">
        <f>IF(priority(Main[[#This Row],[Comments]])&lt;&gt;0, priority(Main[[#This Row],[Comments]]),"")</f>
        <v/>
      </c>
      <c r="B300" s="77" t="s">
        <v>1217</v>
      </c>
      <c r="C300" s="65" t="s">
        <v>286</v>
      </c>
      <c r="D300" s="66" t="s">
        <v>287</v>
      </c>
      <c r="E300" s="67"/>
      <c r="F300" s="67">
        <v>40421</v>
      </c>
      <c r="G300" s="64" t="str">
        <f>IF(stdProdLT(Main[[#This Row],[Comments]])=0.1,"N/A",IF(stdProdLT(Main[[#This Row],[Comments]])=0,"",stdProdLT(Main[[#This Row],[Comments]])))</f>
        <v/>
      </c>
      <c r="H300" s="68" t="str">
        <f>IF(AND(Main[[#This Row],[In Stock Date]]&lt;&gt;"",Main[[#This Row],[Revised Due Date]]&lt;&gt;""),Main[[#This Row],[In Stock Date]]-Main[[#This Row],[Revised Due Date]],"")</f>
        <v/>
      </c>
      <c r="I300" s="65" t="s">
        <v>4</v>
      </c>
      <c r="J300" s="65" t="s">
        <v>4</v>
      </c>
      <c r="K300" s="65" t="s">
        <v>4</v>
      </c>
      <c r="L300" s="67"/>
      <c r="M300" s="69" t="str">
        <f>IF(Main[[#This Row],[Tech Start Date]]&lt;1/1/1990,"",IF(Main[[#This Row],[Class]]="C",WORKDAY(Main[[#This Row],[Tech Start Date]],9),IF(Main[[#This Row],[Class]]="B", WORKDAY(Main[[#This Row],[Tech Start Date]],6),IF(Main[[#This Row],[Class]]="A",WORKDAY(Main[[#This Row],[Tech Start Date]],2),""))))</f>
        <v/>
      </c>
      <c r="N300" s="69" t="str">
        <f>IF(Main[[#This Row],[Tech Start Date]]&lt;1/1/1990,"",IF(Main[[#This Row],[Class]]="C",WORKDAY(Main[[#This Row],[Tech Start Date]],19),IF(Main[[#This Row],[Class]]="B", WORKDAY(Main[[#This Row],[Tech Start Date]],12),IF(Main[[#This Row],[Class]]="A",WORKDAY(Main[[#This Row],[Tech Start Date]],4),""))))</f>
        <v/>
      </c>
      <c r="O300" s="69" t="str">
        <f>IF(Main[[#This Row],[Tech Start Date]]&lt;1/1/1990,"",IF(Main[[#This Row],[Class]]="C",WORKDAY(Main[[#This Row],[Tech Start Date]],23),IF(Main[[#This Row],[Class]]="B", WORKDAY(Main[[#This Row],[Tech Start Date]],15),IF(Main[[#This Row],[Class]]="A",WORKDAY(Main[[#This Row],[Tech Start Date]],5),""))))</f>
        <v/>
      </c>
      <c r="P300" s="69" t="str">
        <f>IF(Main[[#This Row],[Tech Start Date]]&lt;1/1/1990,"",IF(Main[[#This Row],[Class]]="C",WORKDAY(Main[[#This Row],[Tech Start Date]],28),IF(Main[[#This Row],[Class]]="B", WORKDAY(Main[[#This Row],[Tech Start Date]],19),IF(Main[[#This Row],[Class]]="A",WORKDAY(Main[[#This Row],[Tech Start Date]],9),""))))</f>
        <v/>
      </c>
      <c r="Q300" s="67">
        <v>40360</v>
      </c>
      <c r="R300" s="67"/>
      <c r="S300" s="65" t="s">
        <v>11</v>
      </c>
      <c r="T300" s="70" t="s">
        <v>4</v>
      </c>
      <c r="U300" s="65" t="s">
        <v>12</v>
      </c>
      <c r="V300" s="65" t="s">
        <v>1915</v>
      </c>
      <c r="W300" s="65" t="s">
        <v>1919</v>
      </c>
      <c r="X300" s="65" t="s">
        <v>2874</v>
      </c>
      <c r="Y300" s="65" t="s">
        <v>3019</v>
      </c>
      <c r="Z300" s="65" t="s">
        <v>4</v>
      </c>
      <c r="AA300" s="65" t="s">
        <v>2874</v>
      </c>
    </row>
    <row r="301" spans="1:27" ht="17.45" hidden="1" customHeight="1">
      <c r="A301" s="100" t="str">
        <f>IF(priority(Main[[#This Row],[Comments]])&lt;&gt;0, priority(Main[[#This Row],[Comments]]),"")</f>
        <v/>
      </c>
      <c r="B301" s="77" t="s">
        <v>1424</v>
      </c>
      <c r="C301" s="65" t="s">
        <v>4</v>
      </c>
      <c r="D301" s="66" t="s">
        <v>1951</v>
      </c>
      <c r="E301" s="67"/>
      <c r="F301" s="67"/>
      <c r="G301" s="64" t="str">
        <f>IF(stdProdLT(Main[[#This Row],[Comments]])=0.1,"N/A",IF(stdProdLT(Main[[#This Row],[Comments]])=0,"",stdProdLT(Main[[#This Row],[Comments]])))</f>
        <v/>
      </c>
      <c r="H301" s="68" t="str">
        <f>IF(AND(Main[[#This Row],[In Stock Date]]&lt;&gt;"",Main[[#This Row],[Revised Due Date]]&lt;&gt;""),Main[[#This Row],[In Stock Date]]-Main[[#This Row],[Revised Due Date]],"")</f>
        <v/>
      </c>
      <c r="I301" s="65" t="s">
        <v>4</v>
      </c>
      <c r="J301" s="65" t="s">
        <v>4</v>
      </c>
      <c r="K301" s="65" t="s">
        <v>4</v>
      </c>
      <c r="L301" s="67"/>
      <c r="M301" s="69" t="str">
        <f>IF(Main[[#This Row],[Tech Start Date]]&lt;1/1/1990,"",IF(Main[[#This Row],[Class]]="C",WORKDAY(Main[[#This Row],[Tech Start Date]],9),IF(Main[[#This Row],[Class]]="B", WORKDAY(Main[[#This Row],[Tech Start Date]],6),IF(Main[[#This Row],[Class]]="A",WORKDAY(Main[[#This Row],[Tech Start Date]],2),""))))</f>
        <v/>
      </c>
      <c r="N301" s="69" t="str">
        <f>IF(Main[[#This Row],[Tech Start Date]]&lt;1/1/1990,"",IF(Main[[#This Row],[Class]]="C",WORKDAY(Main[[#This Row],[Tech Start Date]],19),IF(Main[[#This Row],[Class]]="B", WORKDAY(Main[[#This Row],[Tech Start Date]],12),IF(Main[[#This Row],[Class]]="A",WORKDAY(Main[[#This Row],[Tech Start Date]],4),""))))</f>
        <v/>
      </c>
      <c r="O301" s="69" t="str">
        <f>IF(Main[[#This Row],[Tech Start Date]]&lt;1/1/1990,"",IF(Main[[#This Row],[Class]]="C",WORKDAY(Main[[#This Row],[Tech Start Date]],23),IF(Main[[#This Row],[Class]]="B", WORKDAY(Main[[#This Row],[Tech Start Date]],15),IF(Main[[#This Row],[Class]]="A",WORKDAY(Main[[#This Row],[Tech Start Date]],5),""))))</f>
        <v/>
      </c>
      <c r="P301" s="69" t="str">
        <f>IF(Main[[#This Row],[Tech Start Date]]&lt;1/1/1990,"",IF(Main[[#This Row],[Class]]="C",WORKDAY(Main[[#This Row],[Tech Start Date]],28),IF(Main[[#This Row],[Class]]="B", WORKDAY(Main[[#This Row],[Tech Start Date]],19),IF(Main[[#This Row],[Class]]="A",WORKDAY(Main[[#This Row],[Tech Start Date]],9),""))))</f>
        <v/>
      </c>
      <c r="Q301" s="67"/>
      <c r="R301" s="67"/>
      <c r="S301" s="65" t="s">
        <v>6</v>
      </c>
      <c r="T301" s="70" t="s">
        <v>4</v>
      </c>
      <c r="U301" s="65" t="s">
        <v>14</v>
      </c>
      <c r="V301" s="65" t="s">
        <v>1915</v>
      </c>
      <c r="W301" s="65" t="s">
        <v>1916</v>
      </c>
      <c r="X301" s="65" t="s">
        <v>922</v>
      </c>
      <c r="Y301" s="65" t="s">
        <v>3020</v>
      </c>
      <c r="Z301" s="65" t="s">
        <v>4</v>
      </c>
      <c r="AA301" s="65" t="s">
        <v>3404</v>
      </c>
    </row>
    <row r="302" spans="1:27" ht="17.45" hidden="1" customHeight="1">
      <c r="A302" s="100" t="str">
        <f>IF(priority(Main[[#This Row],[Comments]])&lt;&gt;0, priority(Main[[#This Row],[Comments]]),"")</f>
        <v/>
      </c>
      <c r="B302" s="77" t="s">
        <v>1129</v>
      </c>
      <c r="C302" s="65" t="s">
        <v>4</v>
      </c>
      <c r="D302" s="66" t="s">
        <v>2360</v>
      </c>
      <c r="E302" s="67">
        <v>40574.415509259263</v>
      </c>
      <c r="F302" s="67">
        <v>40613</v>
      </c>
      <c r="G302" s="64" t="str">
        <f>IF(stdProdLT(Main[[#This Row],[Comments]])=0.1,"N/A",IF(stdProdLT(Main[[#This Row],[Comments]])=0,"",stdProdLT(Main[[#This Row],[Comments]])))</f>
        <v/>
      </c>
      <c r="H302" s="68" t="str">
        <f>IF(AND(Main[[#This Row],[In Stock Date]]&lt;&gt;"",Main[[#This Row],[Revised Due Date]]&lt;&gt;""),Main[[#This Row],[In Stock Date]]-Main[[#This Row],[Revised Due Date]],"")</f>
        <v/>
      </c>
      <c r="I302" s="65" t="s">
        <v>912</v>
      </c>
      <c r="J302" s="65" t="s">
        <v>52</v>
      </c>
      <c r="K302" s="65" t="s">
        <v>1923</v>
      </c>
      <c r="L302" s="67"/>
      <c r="M302" s="69" t="str">
        <f>IF(Main[[#This Row],[Tech Start Date]]&lt;1/1/1990,"",IF(Main[[#This Row],[Class]]="C",WORKDAY(Main[[#This Row],[Tech Start Date]],9),IF(Main[[#This Row],[Class]]="B", WORKDAY(Main[[#This Row],[Tech Start Date]],6),IF(Main[[#This Row],[Class]]="A",WORKDAY(Main[[#This Row],[Tech Start Date]],2),""))))</f>
        <v/>
      </c>
      <c r="N302" s="69" t="str">
        <f>IF(Main[[#This Row],[Tech Start Date]]&lt;1/1/1990,"",IF(Main[[#This Row],[Class]]="C",WORKDAY(Main[[#This Row],[Tech Start Date]],19),IF(Main[[#This Row],[Class]]="B", WORKDAY(Main[[#This Row],[Tech Start Date]],12),IF(Main[[#This Row],[Class]]="A",WORKDAY(Main[[#This Row],[Tech Start Date]],4),""))))</f>
        <v/>
      </c>
      <c r="O302" s="69" t="str">
        <f>IF(Main[[#This Row],[Tech Start Date]]&lt;1/1/1990,"",IF(Main[[#This Row],[Class]]="C",WORKDAY(Main[[#This Row],[Tech Start Date]],23),IF(Main[[#This Row],[Class]]="B", WORKDAY(Main[[#This Row],[Tech Start Date]],15),IF(Main[[#This Row],[Class]]="A",WORKDAY(Main[[#This Row],[Tech Start Date]],5),""))))</f>
        <v/>
      </c>
      <c r="P302" s="69" t="str">
        <f>IF(Main[[#This Row],[Tech Start Date]]&lt;1/1/1990,"",IF(Main[[#This Row],[Class]]="C",WORKDAY(Main[[#This Row],[Tech Start Date]],28),IF(Main[[#This Row],[Class]]="B", WORKDAY(Main[[#This Row],[Tech Start Date]],19),IF(Main[[#This Row],[Class]]="A",WORKDAY(Main[[#This Row],[Tech Start Date]],9),""))))</f>
        <v/>
      </c>
      <c r="Q302" s="67">
        <v>40613</v>
      </c>
      <c r="R302" s="67"/>
      <c r="S302" s="65" t="s">
        <v>6</v>
      </c>
      <c r="T302" s="70" t="s">
        <v>4</v>
      </c>
      <c r="U302" s="65" t="s">
        <v>29</v>
      </c>
      <c r="V302" s="65" t="s">
        <v>1914</v>
      </c>
      <c r="W302" s="65" t="s">
        <v>1916</v>
      </c>
      <c r="X302" s="65" t="s">
        <v>2818</v>
      </c>
      <c r="Y302" s="65" t="s">
        <v>2929</v>
      </c>
      <c r="Z302" s="65" t="s">
        <v>129</v>
      </c>
      <c r="AA302" s="65" t="s">
        <v>2818</v>
      </c>
    </row>
    <row r="303" spans="1:27" ht="17.45" hidden="1" customHeight="1">
      <c r="A303" s="100">
        <f>IF(priority(Main[[#This Row],[Comments]])&lt;&gt;0, priority(Main[[#This Row],[Comments]]),"")</f>
        <v>17</v>
      </c>
      <c r="B303" s="77" t="s">
        <v>1222</v>
      </c>
      <c r="C303" s="65" t="s">
        <v>33</v>
      </c>
      <c r="D303" s="66" t="s">
        <v>326</v>
      </c>
      <c r="E303" s="67"/>
      <c r="F303" s="67">
        <v>40695</v>
      </c>
      <c r="G303" s="64" t="str">
        <f>IF(stdProdLT(Main[[#This Row],[Comments]])=0.1,"N/A",IF(stdProdLT(Main[[#This Row],[Comments]])=0,"",stdProdLT(Main[[#This Row],[Comments]])))</f>
        <v/>
      </c>
      <c r="H303" s="68" t="str">
        <f>IF(AND(Main[[#This Row],[In Stock Date]]&lt;&gt;"",Main[[#This Row],[Revised Due Date]]&lt;&gt;""),Main[[#This Row],[In Stock Date]]-Main[[#This Row],[Revised Due Date]],"")</f>
        <v/>
      </c>
      <c r="I303" s="65" t="s">
        <v>108</v>
      </c>
      <c r="J303" s="65" t="s">
        <v>28</v>
      </c>
      <c r="K303" s="71" t="s">
        <v>4</v>
      </c>
      <c r="L303" s="67"/>
      <c r="M303" s="69" t="str">
        <f>IF(Main[[#This Row],[Tech Start Date]]&lt;1/1/1990,"",IF(Main[[#This Row],[Class]]="C",WORKDAY(Main[[#This Row],[Tech Start Date]],9),IF(Main[[#This Row],[Class]]="B", WORKDAY(Main[[#This Row],[Tech Start Date]],6),IF(Main[[#This Row],[Class]]="A",WORKDAY(Main[[#This Row],[Tech Start Date]],2),""))))</f>
        <v/>
      </c>
      <c r="N303" s="69" t="str">
        <f>IF(Main[[#This Row],[Tech Start Date]]&lt;1/1/1990,"",IF(Main[[#This Row],[Class]]="C",WORKDAY(Main[[#This Row],[Tech Start Date]],19),IF(Main[[#This Row],[Class]]="B", WORKDAY(Main[[#This Row],[Tech Start Date]],12),IF(Main[[#This Row],[Class]]="A",WORKDAY(Main[[#This Row],[Tech Start Date]],4),""))))</f>
        <v/>
      </c>
      <c r="O303" s="69" t="str">
        <f>IF(Main[[#This Row],[Tech Start Date]]&lt;1/1/1990,"",IF(Main[[#This Row],[Class]]="C",WORKDAY(Main[[#This Row],[Tech Start Date]],23),IF(Main[[#This Row],[Class]]="B", WORKDAY(Main[[#This Row],[Tech Start Date]],15),IF(Main[[#This Row],[Class]]="A",WORKDAY(Main[[#This Row],[Tech Start Date]],5),""))))</f>
        <v/>
      </c>
      <c r="P303" s="69" t="str">
        <f>IF(Main[[#This Row],[Tech Start Date]]&lt;1/1/1990,"",IF(Main[[#This Row],[Class]]="C",WORKDAY(Main[[#This Row],[Tech Start Date]],28),IF(Main[[#This Row],[Class]]="B", WORKDAY(Main[[#This Row],[Tech Start Date]],19),IF(Main[[#This Row],[Class]]="A",WORKDAY(Main[[#This Row],[Tech Start Date]],9),""))))</f>
        <v/>
      </c>
      <c r="Q303" s="67">
        <v>40695</v>
      </c>
      <c r="R303" s="67"/>
      <c r="S303" s="65" t="s">
        <v>11</v>
      </c>
      <c r="T303" s="70" t="s">
        <v>327</v>
      </c>
      <c r="U303" s="65" t="s">
        <v>14</v>
      </c>
      <c r="V303" s="65" t="s">
        <v>1915</v>
      </c>
      <c r="W303" s="65" t="s">
        <v>1919</v>
      </c>
      <c r="X303" s="65" t="s">
        <v>2875</v>
      </c>
      <c r="Y303" s="65" t="s">
        <v>3021</v>
      </c>
      <c r="Z303" s="65" t="s">
        <v>3159</v>
      </c>
      <c r="AA303" s="65" t="s">
        <v>2875</v>
      </c>
    </row>
    <row r="304" spans="1:27" ht="17.45" hidden="1" customHeight="1">
      <c r="A304" s="100" t="str">
        <f>IF(priority(Main[[#This Row],[Comments]])&lt;&gt;0, priority(Main[[#This Row],[Comments]]),"")</f>
        <v/>
      </c>
      <c r="B304" s="77" t="s">
        <v>2288</v>
      </c>
      <c r="C304" s="65" t="s">
        <v>4</v>
      </c>
      <c r="D304" s="66" t="s">
        <v>2365</v>
      </c>
      <c r="E304" s="67">
        <v>40813.664259259262</v>
      </c>
      <c r="F304" s="67"/>
      <c r="G304" s="64" t="str">
        <f>IF(stdProdLT(Main[[#This Row],[Comments]])=0.1,"N/A",IF(stdProdLT(Main[[#This Row],[Comments]])=0,"",stdProdLT(Main[[#This Row],[Comments]])))</f>
        <v/>
      </c>
      <c r="H304" s="68" t="str">
        <f>IF(AND(Main[[#This Row],[In Stock Date]]&lt;&gt;"",Main[[#This Row],[Revised Due Date]]&lt;&gt;""),Main[[#This Row],[In Stock Date]]-Main[[#This Row],[Revised Due Date]],"")</f>
        <v/>
      </c>
      <c r="I304" s="65" t="s">
        <v>937</v>
      </c>
      <c r="J304" s="65" t="s">
        <v>4</v>
      </c>
      <c r="K304" s="65" t="s">
        <v>4</v>
      </c>
      <c r="L304" s="67"/>
      <c r="M304" s="69" t="str">
        <f>IF(Main[[#This Row],[Tech Start Date]]&lt;1/1/1990,"",IF(Main[[#This Row],[Class]]="C",WORKDAY(Main[[#This Row],[Tech Start Date]],9),IF(Main[[#This Row],[Class]]="B", WORKDAY(Main[[#This Row],[Tech Start Date]],6),IF(Main[[#This Row],[Class]]="A",WORKDAY(Main[[#This Row],[Tech Start Date]],2),""))))</f>
        <v/>
      </c>
      <c r="N304" s="69" t="str">
        <f>IF(Main[[#This Row],[Tech Start Date]]&lt;1/1/1990,"",IF(Main[[#This Row],[Class]]="C",WORKDAY(Main[[#This Row],[Tech Start Date]],19),IF(Main[[#This Row],[Class]]="B", WORKDAY(Main[[#This Row],[Tech Start Date]],12),IF(Main[[#This Row],[Class]]="A",WORKDAY(Main[[#This Row],[Tech Start Date]],4),""))))</f>
        <v/>
      </c>
      <c r="O304" s="69" t="str">
        <f>IF(Main[[#This Row],[Tech Start Date]]&lt;1/1/1990,"",IF(Main[[#This Row],[Class]]="C",WORKDAY(Main[[#This Row],[Tech Start Date]],23),IF(Main[[#This Row],[Class]]="B", WORKDAY(Main[[#This Row],[Tech Start Date]],15),IF(Main[[#This Row],[Class]]="A",WORKDAY(Main[[#This Row],[Tech Start Date]],5),""))))</f>
        <v/>
      </c>
      <c r="P304" s="69" t="str">
        <f>IF(Main[[#This Row],[Tech Start Date]]&lt;1/1/1990,"",IF(Main[[#This Row],[Class]]="C",WORKDAY(Main[[#This Row],[Tech Start Date]],28),IF(Main[[#This Row],[Class]]="B", WORKDAY(Main[[#This Row],[Tech Start Date]],19),IF(Main[[#This Row],[Class]]="A",WORKDAY(Main[[#This Row],[Tech Start Date]],9),""))))</f>
        <v/>
      </c>
      <c r="Q304" s="67"/>
      <c r="R304" s="67">
        <v>40840</v>
      </c>
      <c r="S304" s="65" t="s">
        <v>6</v>
      </c>
      <c r="T304" s="70" t="s">
        <v>4</v>
      </c>
      <c r="U304" s="65" t="s">
        <v>7</v>
      </c>
      <c r="V304" s="65" t="s">
        <v>1914</v>
      </c>
      <c r="W304" s="65" t="s">
        <v>1918</v>
      </c>
      <c r="X304" s="65" t="s">
        <v>306</v>
      </c>
      <c r="Y304" s="65" t="s">
        <v>4</v>
      </c>
      <c r="Z304" s="65" t="s">
        <v>4</v>
      </c>
      <c r="AA304" s="65" t="s">
        <v>3405</v>
      </c>
    </row>
    <row r="305" spans="1:27" ht="17.45" hidden="1" customHeight="1">
      <c r="A305" s="100" t="str">
        <f>IF(priority(Main[[#This Row],[Comments]])&lt;&gt;0, priority(Main[[#This Row],[Comments]]),"")</f>
        <v/>
      </c>
      <c r="B305" s="77" t="s">
        <v>1265</v>
      </c>
      <c r="C305" s="65" t="s">
        <v>4</v>
      </c>
      <c r="D305" s="66" t="s">
        <v>334</v>
      </c>
      <c r="E305" s="67"/>
      <c r="F305" s="67"/>
      <c r="G305" s="64" t="str">
        <f>IF(stdProdLT(Main[[#This Row],[Comments]])=0.1,"N/A",IF(stdProdLT(Main[[#This Row],[Comments]])=0,"",stdProdLT(Main[[#This Row],[Comments]])))</f>
        <v/>
      </c>
      <c r="H305" s="68" t="str">
        <f>IF(AND(Main[[#This Row],[In Stock Date]]&lt;&gt;"",Main[[#This Row],[Revised Due Date]]&lt;&gt;""),Main[[#This Row],[In Stock Date]]-Main[[#This Row],[Revised Due Date]],"")</f>
        <v/>
      </c>
      <c r="I305" s="65" t="s">
        <v>4</v>
      </c>
      <c r="J305" s="65" t="s">
        <v>4</v>
      </c>
      <c r="K305" s="71" t="s">
        <v>4</v>
      </c>
      <c r="L305" s="67"/>
      <c r="M305" s="69" t="str">
        <f>IF(Main[[#This Row],[Tech Start Date]]&lt;1/1/1990,"",IF(Main[[#This Row],[Class]]="C",WORKDAY(Main[[#This Row],[Tech Start Date]],9),IF(Main[[#This Row],[Class]]="B", WORKDAY(Main[[#This Row],[Tech Start Date]],6),IF(Main[[#This Row],[Class]]="A",WORKDAY(Main[[#This Row],[Tech Start Date]],2),""))))</f>
        <v/>
      </c>
      <c r="N305" s="69" t="str">
        <f>IF(Main[[#This Row],[Tech Start Date]]&lt;1/1/1990,"",IF(Main[[#This Row],[Class]]="C",WORKDAY(Main[[#This Row],[Tech Start Date]],19),IF(Main[[#This Row],[Class]]="B", WORKDAY(Main[[#This Row],[Tech Start Date]],12),IF(Main[[#This Row],[Class]]="A",WORKDAY(Main[[#This Row],[Tech Start Date]],4),""))))</f>
        <v/>
      </c>
      <c r="O305" s="69" t="str">
        <f>IF(Main[[#This Row],[Tech Start Date]]&lt;1/1/1990,"",IF(Main[[#This Row],[Class]]="C",WORKDAY(Main[[#This Row],[Tech Start Date]],23),IF(Main[[#This Row],[Class]]="B", WORKDAY(Main[[#This Row],[Tech Start Date]],15),IF(Main[[#This Row],[Class]]="A",WORKDAY(Main[[#This Row],[Tech Start Date]],5),""))))</f>
        <v/>
      </c>
      <c r="P305" s="69" t="str">
        <f>IF(Main[[#This Row],[Tech Start Date]]&lt;1/1/1990,"",IF(Main[[#This Row],[Class]]="C",WORKDAY(Main[[#This Row],[Tech Start Date]],28),IF(Main[[#This Row],[Class]]="B", WORKDAY(Main[[#This Row],[Tech Start Date]],19),IF(Main[[#This Row],[Class]]="A",WORKDAY(Main[[#This Row],[Tech Start Date]],9),""))))</f>
        <v/>
      </c>
      <c r="Q305" s="67"/>
      <c r="R305" s="67"/>
      <c r="S305" s="65" t="s">
        <v>23</v>
      </c>
      <c r="T305" s="70" t="s">
        <v>4</v>
      </c>
      <c r="U305" s="65" t="s">
        <v>14</v>
      </c>
      <c r="V305" s="65" t="s">
        <v>1917</v>
      </c>
      <c r="W305" s="65" t="s">
        <v>1918</v>
      </c>
      <c r="X305" s="65" t="s">
        <v>399</v>
      </c>
      <c r="Y305" s="65" t="s">
        <v>4</v>
      </c>
      <c r="Z305" s="65" t="s">
        <v>4</v>
      </c>
      <c r="AA305" s="65" t="s">
        <v>3406</v>
      </c>
    </row>
    <row r="306" spans="1:27" ht="17.45" hidden="1" customHeight="1">
      <c r="A306" s="100" t="str">
        <f>IF(priority(Main[[#This Row],[Comments]])&lt;&gt;0, priority(Main[[#This Row],[Comments]]),"")</f>
        <v/>
      </c>
      <c r="B306" s="77" t="s">
        <v>1266</v>
      </c>
      <c r="C306" s="65" t="s">
        <v>31</v>
      </c>
      <c r="D306" s="66" t="s">
        <v>335</v>
      </c>
      <c r="E306" s="67"/>
      <c r="F306" s="67"/>
      <c r="G306" s="64" t="str">
        <f>IF(stdProdLT(Main[[#This Row],[Comments]])=0.1,"N/A",IF(stdProdLT(Main[[#This Row],[Comments]])=0,"",stdProdLT(Main[[#This Row],[Comments]])))</f>
        <v/>
      </c>
      <c r="H306" s="68" t="str">
        <f>IF(AND(Main[[#This Row],[In Stock Date]]&lt;&gt;"",Main[[#This Row],[Revised Due Date]]&lt;&gt;""),Main[[#This Row],[In Stock Date]]-Main[[#This Row],[Revised Due Date]],"")</f>
        <v/>
      </c>
      <c r="I306" s="65" t="s">
        <v>4</v>
      </c>
      <c r="J306" s="65" t="s">
        <v>4</v>
      </c>
      <c r="K306" s="71" t="s">
        <v>4</v>
      </c>
      <c r="L306" s="67"/>
      <c r="M306" s="69" t="str">
        <f>IF(Main[[#This Row],[Tech Start Date]]&lt;1/1/1990,"",IF(Main[[#This Row],[Class]]="C",WORKDAY(Main[[#This Row],[Tech Start Date]],9),IF(Main[[#This Row],[Class]]="B", WORKDAY(Main[[#This Row],[Tech Start Date]],6),IF(Main[[#This Row],[Class]]="A",WORKDAY(Main[[#This Row],[Tech Start Date]],2),""))))</f>
        <v/>
      </c>
      <c r="N306" s="69" t="str">
        <f>IF(Main[[#This Row],[Tech Start Date]]&lt;1/1/1990,"",IF(Main[[#This Row],[Class]]="C",WORKDAY(Main[[#This Row],[Tech Start Date]],19),IF(Main[[#This Row],[Class]]="B", WORKDAY(Main[[#This Row],[Tech Start Date]],12),IF(Main[[#This Row],[Class]]="A",WORKDAY(Main[[#This Row],[Tech Start Date]],4),""))))</f>
        <v/>
      </c>
      <c r="O306" s="69" t="str">
        <f>IF(Main[[#This Row],[Tech Start Date]]&lt;1/1/1990,"",IF(Main[[#This Row],[Class]]="C",WORKDAY(Main[[#This Row],[Tech Start Date]],23),IF(Main[[#This Row],[Class]]="B", WORKDAY(Main[[#This Row],[Tech Start Date]],15),IF(Main[[#This Row],[Class]]="A",WORKDAY(Main[[#This Row],[Tech Start Date]],5),""))))</f>
        <v/>
      </c>
      <c r="P306" s="69" t="str">
        <f>IF(Main[[#This Row],[Tech Start Date]]&lt;1/1/1990,"",IF(Main[[#This Row],[Class]]="C",WORKDAY(Main[[#This Row],[Tech Start Date]],28),IF(Main[[#This Row],[Class]]="B", WORKDAY(Main[[#This Row],[Tech Start Date]],19),IF(Main[[#This Row],[Class]]="A",WORKDAY(Main[[#This Row],[Tech Start Date]],9),""))))</f>
        <v/>
      </c>
      <c r="Q306" s="67">
        <v>40318</v>
      </c>
      <c r="R306" s="67"/>
      <c r="S306" s="65" t="s">
        <v>11</v>
      </c>
      <c r="T306" s="70" t="s">
        <v>4</v>
      </c>
      <c r="U306" s="65" t="s">
        <v>14</v>
      </c>
      <c r="V306" s="65" t="s">
        <v>1917</v>
      </c>
      <c r="W306" s="65" t="s">
        <v>1916</v>
      </c>
      <c r="X306" s="65" t="s">
        <v>2830</v>
      </c>
      <c r="Y306" s="65" t="s">
        <v>4</v>
      </c>
      <c r="Z306" s="65" t="s">
        <v>4</v>
      </c>
      <c r="AA306" s="65" t="s">
        <v>2830</v>
      </c>
    </row>
    <row r="307" spans="1:27" ht="17.45" hidden="1" customHeight="1">
      <c r="A307" s="100" t="str">
        <f>IF(priority(Main[[#This Row],[Comments]])&lt;&gt;0, priority(Main[[#This Row],[Comments]]),"")</f>
        <v/>
      </c>
      <c r="B307" s="77" t="s">
        <v>1267</v>
      </c>
      <c r="C307" s="65" t="s">
        <v>4</v>
      </c>
      <c r="D307" s="66" t="s">
        <v>336</v>
      </c>
      <c r="E307" s="67">
        <v>40542.302245370367</v>
      </c>
      <c r="F307" s="67"/>
      <c r="G307" s="64" t="str">
        <f>IF(stdProdLT(Main[[#This Row],[Comments]])=0.1,"N/A",IF(stdProdLT(Main[[#This Row],[Comments]])=0,"",stdProdLT(Main[[#This Row],[Comments]])))</f>
        <v/>
      </c>
      <c r="H307" s="68" t="str">
        <f>IF(AND(Main[[#This Row],[In Stock Date]]&lt;&gt;"",Main[[#This Row],[Revised Due Date]]&lt;&gt;""),Main[[#This Row],[In Stock Date]]-Main[[#This Row],[Revised Due Date]],"")</f>
        <v/>
      </c>
      <c r="I307" s="65" t="s">
        <v>4</v>
      </c>
      <c r="J307" s="65" t="s">
        <v>4</v>
      </c>
      <c r="K307" s="65" t="s">
        <v>1923</v>
      </c>
      <c r="L307" s="67"/>
      <c r="M307" s="69" t="str">
        <f>IF(Main[[#This Row],[Tech Start Date]]&lt;1/1/1990,"",IF(Main[[#This Row],[Class]]="C",WORKDAY(Main[[#This Row],[Tech Start Date]],9),IF(Main[[#This Row],[Class]]="B", WORKDAY(Main[[#This Row],[Tech Start Date]],6),IF(Main[[#This Row],[Class]]="A",WORKDAY(Main[[#This Row],[Tech Start Date]],2),""))))</f>
        <v/>
      </c>
      <c r="N307" s="69" t="str">
        <f>IF(Main[[#This Row],[Tech Start Date]]&lt;1/1/1990,"",IF(Main[[#This Row],[Class]]="C",WORKDAY(Main[[#This Row],[Tech Start Date]],19),IF(Main[[#This Row],[Class]]="B", WORKDAY(Main[[#This Row],[Tech Start Date]],12),IF(Main[[#This Row],[Class]]="A",WORKDAY(Main[[#This Row],[Tech Start Date]],4),""))))</f>
        <v/>
      </c>
      <c r="O307" s="69" t="str">
        <f>IF(Main[[#This Row],[Tech Start Date]]&lt;1/1/1990,"",IF(Main[[#This Row],[Class]]="C",WORKDAY(Main[[#This Row],[Tech Start Date]],23),IF(Main[[#This Row],[Class]]="B", WORKDAY(Main[[#This Row],[Tech Start Date]],15),IF(Main[[#This Row],[Class]]="A",WORKDAY(Main[[#This Row],[Tech Start Date]],5),""))))</f>
        <v/>
      </c>
      <c r="P307" s="69" t="str">
        <f>IF(Main[[#This Row],[Tech Start Date]]&lt;1/1/1990,"",IF(Main[[#This Row],[Class]]="C",WORKDAY(Main[[#This Row],[Tech Start Date]],28),IF(Main[[#This Row],[Class]]="B", WORKDAY(Main[[#This Row],[Tech Start Date]],19),IF(Main[[#This Row],[Class]]="A",WORKDAY(Main[[#This Row],[Tech Start Date]],9),""))))</f>
        <v/>
      </c>
      <c r="Q307" s="67"/>
      <c r="R307" s="67"/>
      <c r="S307" s="65" t="s">
        <v>6</v>
      </c>
      <c r="T307" s="70" t="s">
        <v>4</v>
      </c>
      <c r="U307" s="65" t="s">
        <v>29</v>
      </c>
      <c r="V307" s="65" t="s">
        <v>1914</v>
      </c>
      <c r="W307" s="65" t="s">
        <v>1918</v>
      </c>
      <c r="X307" s="65" t="s">
        <v>306</v>
      </c>
      <c r="Y307" s="65" t="s">
        <v>4</v>
      </c>
      <c r="Z307" s="65" t="s">
        <v>4</v>
      </c>
      <c r="AA307" s="65" t="s">
        <v>2868</v>
      </c>
    </row>
    <row r="308" spans="1:27" ht="17.45" hidden="1" customHeight="1">
      <c r="A308" s="100" t="str">
        <f>IF(priority(Main[[#This Row],[Comments]])&lt;&gt;0, priority(Main[[#This Row],[Comments]]),"")</f>
        <v/>
      </c>
      <c r="B308" s="77" t="s">
        <v>1268</v>
      </c>
      <c r="C308" s="65" t="s">
        <v>93</v>
      </c>
      <c r="D308" s="66" t="s">
        <v>337</v>
      </c>
      <c r="E308" s="67"/>
      <c r="F308" s="67">
        <v>40132</v>
      </c>
      <c r="G308" s="64" t="str">
        <f>IF(stdProdLT(Main[[#This Row],[Comments]])=0.1,"N/A",IF(stdProdLT(Main[[#This Row],[Comments]])=0,"",stdProdLT(Main[[#This Row],[Comments]])))</f>
        <v/>
      </c>
      <c r="H308" s="68" t="str">
        <f>IF(AND(Main[[#This Row],[In Stock Date]]&lt;&gt;"",Main[[#This Row],[Revised Due Date]]&lt;&gt;""),Main[[#This Row],[In Stock Date]]-Main[[#This Row],[Revised Due Date]],"")</f>
        <v/>
      </c>
      <c r="I308" s="65" t="s">
        <v>4</v>
      </c>
      <c r="J308" s="65" t="s">
        <v>4</v>
      </c>
      <c r="K308" s="65" t="s">
        <v>4</v>
      </c>
      <c r="L308" s="67"/>
      <c r="M308" s="69" t="str">
        <f>IF(Main[[#This Row],[Tech Start Date]]&lt;1/1/1990,"",IF(Main[[#This Row],[Class]]="C",WORKDAY(Main[[#This Row],[Tech Start Date]],9),IF(Main[[#This Row],[Class]]="B", WORKDAY(Main[[#This Row],[Tech Start Date]],6),IF(Main[[#This Row],[Class]]="A",WORKDAY(Main[[#This Row],[Tech Start Date]],2),""))))</f>
        <v/>
      </c>
      <c r="N308" s="69" t="str">
        <f>IF(Main[[#This Row],[Tech Start Date]]&lt;1/1/1990,"",IF(Main[[#This Row],[Class]]="C",WORKDAY(Main[[#This Row],[Tech Start Date]],19),IF(Main[[#This Row],[Class]]="B", WORKDAY(Main[[#This Row],[Tech Start Date]],12),IF(Main[[#This Row],[Class]]="A",WORKDAY(Main[[#This Row],[Tech Start Date]],4),""))))</f>
        <v/>
      </c>
      <c r="O308" s="69" t="str">
        <f>IF(Main[[#This Row],[Tech Start Date]]&lt;1/1/1990,"",IF(Main[[#This Row],[Class]]="C",WORKDAY(Main[[#This Row],[Tech Start Date]],23),IF(Main[[#This Row],[Class]]="B", WORKDAY(Main[[#This Row],[Tech Start Date]],15),IF(Main[[#This Row],[Class]]="A",WORKDAY(Main[[#This Row],[Tech Start Date]],5),""))))</f>
        <v/>
      </c>
      <c r="P308" s="69" t="str">
        <f>IF(Main[[#This Row],[Tech Start Date]]&lt;1/1/1990,"",IF(Main[[#This Row],[Class]]="C",WORKDAY(Main[[#This Row],[Tech Start Date]],28),IF(Main[[#This Row],[Class]]="B", WORKDAY(Main[[#This Row],[Tech Start Date]],19),IF(Main[[#This Row],[Class]]="A",WORKDAY(Main[[#This Row],[Tech Start Date]],9),""))))</f>
        <v/>
      </c>
      <c r="Q308" s="67">
        <v>40132</v>
      </c>
      <c r="R308" s="67"/>
      <c r="S308" s="65" t="s">
        <v>11</v>
      </c>
      <c r="T308" s="70" t="s">
        <v>4</v>
      </c>
      <c r="U308" s="65" t="s">
        <v>14</v>
      </c>
      <c r="V308" s="65" t="s">
        <v>1924</v>
      </c>
      <c r="W308" s="65" t="s">
        <v>1920</v>
      </c>
      <c r="X308" s="65" t="s">
        <v>2856</v>
      </c>
      <c r="Y308" s="65" t="s">
        <v>4</v>
      </c>
      <c r="Z308" s="65" t="s">
        <v>4</v>
      </c>
      <c r="AA308" s="65" t="s">
        <v>2856</v>
      </c>
    </row>
    <row r="309" spans="1:27" ht="17.45" hidden="1" customHeight="1">
      <c r="A309" s="100" t="str">
        <f>IF(priority(Main[[#This Row],[Comments]])&lt;&gt;0, priority(Main[[#This Row],[Comments]]),"")</f>
        <v/>
      </c>
      <c r="B309" s="77" t="s">
        <v>1269</v>
      </c>
      <c r="C309" s="65" t="s">
        <v>4</v>
      </c>
      <c r="D309" s="66" t="s">
        <v>338</v>
      </c>
      <c r="E309" s="67"/>
      <c r="F309" s="67"/>
      <c r="G309" s="64" t="str">
        <f>IF(stdProdLT(Main[[#This Row],[Comments]])=0.1,"N/A",IF(stdProdLT(Main[[#This Row],[Comments]])=0,"",stdProdLT(Main[[#This Row],[Comments]])))</f>
        <v/>
      </c>
      <c r="H309" s="68" t="str">
        <f>IF(AND(Main[[#This Row],[In Stock Date]]&lt;&gt;"",Main[[#This Row],[Revised Due Date]]&lt;&gt;""),Main[[#This Row],[In Stock Date]]-Main[[#This Row],[Revised Due Date]],"")</f>
        <v/>
      </c>
      <c r="I309" s="65" t="s">
        <v>4</v>
      </c>
      <c r="J309" s="65" t="s">
        <v>4</v>
      </c>
      <c r="K309" s="65" t="s">
        <v>4</v>
      </c>
      <c r="L309" s="67"/>
      <c r="M309" s="69" t="str">
        <f>IF(Main[[#This Row],[Tech Start Date]]&lt;1/1/1990,"",IF(Main[[#This Row],[Class]]="C",WORKDAY(Main[[#This Row],[Tech Start Date]],9),IF(Main[[#This Row],[Class]]="B", WORKDAY(Main[[#This Row],[Tech Start Date]],6),IF(Main[[#This Row],[Class]]="A",WORKDAY(Main[[#This Row],[Tech Start Date]],2),""))))</f>
        <v/>
      </c>
      <c r="N309" s="69" t="str">
        <f>IF(Main[[#This Row],[Tech Start Date]]&lt;1/1/1990,"",IF(Main[[#This Row],[Class]]="C",WORKDAY(Main[[#This Row],[Tech Start Date]],19),IF(Main[[#This Row],[Class]]="B", WORKDAY(Main[[#This Row],[Tech Start Date]],12),IF(Main[[#This Row],[Class]]="A",WORKDAY(Main[[#This Row],[Tech Start Date]],4),""))))</f>
        <v/>
      </c>
      <c r="O309" s="69" t="str">
        <f>IF(Main[[#This Row],[Tech Start Date]]&lt;1/1/1990,"",IF(Main[[#This Row],[Class]]="C",WORKDAY(Main[[#This Row],[Tech Start Date]],23),IF(Main[[#This Row],[Class]]="B", WORKDAY(Main[[#This Row],[Tech Start Date]],15),IF(Main[[#This Row],[Class]]="A",WORKDAY(Main[[#This Row],[Tech Start Date]],5),""))))</f>
        <v/>
      </c>
      <c r="P309" s="69" t="str">
        <f>IF(Main[[#This Row],[Tech Start Date]]&lt;1/1/1990,"",IF(Main[[#This Row],[Class]]="C",WORKDAY(Main[[#This Row],[Tech Start Date]],28),IF(Main[[#This Row],[Class]]="B", WORKDAY(Main[[#This Row],[Tech Start Date]],19),IF(Main[[#This Row],[Class]]="A",WORKDAY(Main[[#This Row],[Tech Start Date]],9),""))))</f>
        <v/>
      </c>
      <c r="Q309" s="67"/>
      <c r="R309" s="67"/>
      <c r="S309" s="65" t="s">
        <v>23</v>
      </c>
      <c r="T309" s="70" t="s">
        <v>4</v>
      </c>
      <c r="U309" s="65" t="s">
        <v>14</v>
      </c>
      <c r="V309" s="65" t="s">
        <v>1914</v>
      </c>
      <c r="W309" s="65" t="s">
        <v>1916</v>
      </c>
      <c r="X309" s="65" t="s">
        <v>102</v>
      </c>
      <c r="Y309" s="65" t="s">
        <v>4</v>
      </c>
      <c r="Z309" s="65" t="s">
        <v>4</v>
      </c>
      <c r="AA309" s="65" t="s">
        <v>4</v>
      </c>
    </row>
    <row r="310" spans="1:27" ht="17.45" hidden="1" customHeight="1">
      <c r="A310" s="100" t="str">
        <f>IF(priority(Main[[#This Row],[Comments]])&lt;&gt;0, priority(Main[[#This Row],[Comments]]),"")</f>
        <v/>
      </c>
      <c r="B310" s="77" t="s">
        <v>1270</v>
      </c>
      <c r="C310" s="65" t="s">
        <v>47</v>
      </c>
      <c r="D310" s="66" t="s">
        <v>339</v>
      </c>
      <c r="E310" s="67">
        <v>39937.597743055558</v>
      </c>
      <c r="F310" s="67"/>
      <c r="G310" s="64" t="str">
        <f>IF(stdProdLT(Main[[#This Row],[Comments]])=0.1,"N/A",IF(stdProdLT(Main[[#This Row],[Comments]])=0,"",stdProdLT(Main[[#This Row],[Comments]])))</f>
        <v/>
      </c>
      <c r="H310" s="68" t="str">
        <f>IF(AND(Main[[#This Row],[In Stock Date]]&lt;&gt;"",Main[[#This Row],[Revised Due Date]]&lt;&gt;""),Main[[#This Row],[In Stock Date]]-Main[[#This Row],[Revised Due Date]],"")</f>
        <v/>
      </c>
      <c r="I310" s="65" t="s">
        <v>4</v>
      </c>
      <c r="J310" s="65" t="s">
        <v>4</v>
      </c>
      <c r="K310" s="65" t="s">
        <v>4</v>
      </c>
      <c r="L310" s="67"/>
      <c r="M310" s="69" t="str">
        <f>IF(Main[[#This Row],[Tech Start Date]]&lt;1/1/1990,"",IF(Main[[#This Row],[Class]]="C",WORKDAY(Main[[#This Row],[Tech Start Date]],9),IF(Main[[#This Row],[Class]]="B", WORKDAY(Main[[#This Row],[Tech Start Date]],6),IF(Main[[#This Row],[Class]]="A",WORKDAY(Main[[#This Row],[Tech Start Date]],2),""))))</f>
        <v/>
      </c>
      <c r="N310" s="69" t="str">
        <f>IF(Main[[#This Row],[Tech Start Date]]&lt;1/1/1990,"",IF(Main[[#This Row],[Class]]="C",WORKDAY(Main[[#This Row],[Tech Start Date]],19),IF(Main[[#This Row],[Class]]="B", WORKDAY(Main[[#This Row],[Tech Start Date]],12),IF(Main[[#This Row],[Class]]="A",WORKDAY(Main[[#This Row],[Tech Start Date]],4),""))))</f>
        <v/>
      </c>
      <c r="O310" s="69" t="str">
        <f>IF(Main[[#This Row],[Tech Start Date]]&lt;1/1/1990,"",IF(Main[[#This Row],[Class]]="C",WORKDAY(Main[[#This Row],[Tech Start Date]],23),IF(Main[[#This Row],[Class]]="B", WORKDAY(Main[[#This Row],[Tech Start Date]],15),IF(Main[[#This Row],[Class]]="A",WORKDAY(Main[[#This Row],[Tech Start Date]],5),""))))</f>
        <v/>
      </c>
      <c r="P310" s="69" t="str">
        <f>IF(Main[[#This Row],[Tech Start Date]]&lt;1/1/1990,"",IF(Main[[#This Row],[Class]]="C",WORKDAY(Main[[#This Row],[Tech Start Date]],28),IF(Main[[#This Row],[Class]]="B", WORKDAY(Main[[#This Row],[Tech Start Date]],19),IF(Main[[#This Row],[Class]]="A",WORKDAY(Main[[#This Row],[Tech Start Date]],9),""))))</f>
        <v/>
      </c>
      <c r="Q310" s="67"/>
      <c r="R310" s="67"/>
      <c r="S310" s="65" t="s">
        <v>17</v>
      </c>
      <c r="T310" s="70" t="s">
        <v>4</v>
      </c>
      <c r="U310" s="65" t="s">
        <v>7</v>
      </c>
      <c r="V310" s="65" t="s">
        <v>1917</v>
      </c>
      <c r="W310" s="65" t="s">
        <v>4</v>
      </c>
      <c r="X310" s="65" t="s">
        <v>2827</v>
      </c>
      <c r="Y310" s="65" t="s">
        <v>2948</v>
      </c>
      <c r="Z310" s="65" t="s">
        <v>4</v>
      </c>
      <c r="AA310" s="65" t="s">
        <v>2827</v>
      </c>
    </row>
    <row r="311" spans="1:27" ht="17.45" hidden="1" customHeight="1">
      <c r="A311" s="100" t="str">
        <f>IF(priority(Main[[#This Row],[Comments]])&lt;&gt;0, priority(Main[[#This Row],[Comments]]),"")</f>
        <v/>
      </c>
      <c r="B311" s="77" t="s">
        <v>1271</v>
      </c>
      <c r="C311" s="65" t="s">
        <v>95</v>
      </c>
      <c r="D311" s="66" t="s">
        <v>340</v>
      </c>
      <c r="E311" s="67"/>
      <c r="F311" s="67">
        <v>40195</v>
      </c>
      <c r="G311" s="64" t="str">
        <f>IF(stdProdLT(Main[[#This Row],[Comments]])=0.1,"N/A",IF(stdProdLT(Main[[#This Row],[Comments]])=0,"",stdProdLT(Main[[#This Row],[Comments]])))</f>
        <v/>
      </c>
      <c r="H311" s="68" t="str">
        <f>IF(AND(Main[[#This Row],[In Stock Date]]&lt;&gt;"",Main[[#This Row],[Revised Due Date]]&lt;&gt;""),Main[[#This Row],[In Stock Date]]-Main[[#This Row],[Revised Due Date]],"")</f>
        <v/>
      </c>
      <c r="I311" s="65" t="s">
        <v>4</v>
      </c>
      <c r="J311" s="65" t="s">
        <v>4</v>
      </c>
      <c r="K311" s="65" t="s">
        <v>4</v>
      </c>
      <c r="L311" s="67"/>
      <c r="M311" s="69" t="str">
        <f>IF(Main[[#This Row],[Tech Start Date]]&lt;1/1/1990,"",IF(Main[[#This Row],[Class]]="C",WORKDAY(Main[[#This Row],[Tech Start Date]],9),IF(Main[[#This Row],[Class]]="B", WORKDAY(Main[[#This Row],[Tech Start Date]],6),IF(Main[[#This Row],[Class]]="A",WORKDAY(Main[[#This Row],[Tech Start Date]],2),""))))</f>
        <v/>
      </c>
      <c r="N311" s="69" t="str">
        <f>IF(Main[[#This Row],[Tech Start Date]]&lt;1/1/1990,"",IF(Main[[#This Row],[Class]]="C",WORKDAY(Main[[#This Row],[Tech Start Date]],19),IF(Main[[#This Row],[Class]]="B", WORKDAY(Main[[#This Row],[Tech Start Date]],12),IF(Main[[#This Row],[Class]]="A",WORKDAY(Main[[#This Row],[Tech Start Date]],4),""))))</f>
        <v/>
      </c>
      <c r="O311" s="69" t="str">
        <f>IF(Main[[#This Row],[Tech Start Date]]&lt;1/1/1990,"",IF(Main[[#This Row],[Class]]="C",WORKDAY(Main[[#This Row],[Tech Start Date]],23),IF(Main[[#This Row],[Class]]="B", WORKDAY(Main[[#This Row],[Tech Start Date]],15),IF(Main[[#This Row],[Class]]="A",WORKDAY(Main[[#This Row],[Tech Start Date]],5),""))))</f>
        <v/>
      </c>
      <c r="P311" s="69" t="str">
        <f>IF(Main[[#This Row],[Tech Start Date]]&lt;1/1/1990,"",IF(Main[[#This Row],[Class]]="C",WORKDAY(Main[[#This Row],[Tech Start Date]],28),IF(Main[[#This Row],[Class]]="B", WORKDAY(Main[[#This Row],[Tech Start Date]],19),IF(Main[[#This Row],[Class]]="A",WORKDAY(Main[[#This Row],[Tech Start Date]],9),""))))</f>
        <v/>
      </c>
      <c r="Q311" s="67">
        <v>40070</v>
      </c>
      <c r="R311" s="67"/>
      <c r="S311" s="65" t="s">
        <v>11</v>
      </c>
      <c r="T311" s="70" t="s">
        <v>4</v>
      </c>
      <c r="U311" s="65" t="s">
        <v>14</v>
      </c>
      <c r="V311" s="65" t="s">
        <v>1917</v>
      </c>
      <c r="W311" s="65" t="s">
        <v>1920</v>
      </c>
      <c r="X311" s="65" t="s">
        <v>2876</v>
      </c>
      <c r="Y311" s="65" t="s">
        <v>4</v>
      </c>
      <c r="Z311" s="65" t="s">
        <v>4</v>
      </c>
      <c r="AA311" s="65" t="s">
        <v>3407</v>
      </c>
    </row>
    <row r="312" spans="1:27" ht="17.45" hidden="1" customHeight="1">
      <c r="A312" s="100" t="str">
        <f>IF(priority(Main[[#This Row],[Comments]])&lt;&gt;0, priority(Main[[#This Row],[Comments]]),"")</f>
        <v/>
      </c>
      <c r="B312" s="77" t="s">
        <v>1291</v>
      </c>
      <c r="C312" s="65" t="s">
        <v>4</v>
      </c>
      <c r="D312" s="66" t="s">
        <v>342</v>
      </c>
      <c r="E312" s="67">
        <v>40704.346435185187</v>
      </c>
      <c r="F312" s="67"/>
      <c r="G312" s="64" t="str">
        <f>IF(stdProdLT(Main[[#This Row],[Comments]])=0.1,"N/A",IF(stdProdLT(Main[[#This Row],[Comments]])=0,"",stdProdLT(Main[[#This Row],[Comments]])))</f>
        <v/>
      </c>
      <c r="H312" s="68" t="str">
        <f>IF(AND(Main[[#This Row],[In Stock Date]]&lt;&gt;"",Main[[#This Row],[Revised Due Date]]&lt;&gt;""),Main[[#This Row],[In Stock Date]]-Main[[#This Row],[Revised Due Date]],"")</f>
        <v/>
      </c>
      <c r="I312" s="65" t="s">
        <v>922</v>
      </c>
      <c r="J312" s="65" t="s">
        <v>28</v>
      </c>
      <c r="K312" s="65" t="s">
        <v>4</v>
      </c>
      <c r="L312" s="67"/>
      <c r="M312" s="69" t="str">
        <f>IF(Main[[#This Row],[Tech Start Date]]&lt;1/1/1990,"",IF(Main[[#This Row],[Class]]="C",WORKDAY(Main[[#This Row],[Tech Start Date]],9),IF(Main[[#This Row],[Class]]="B", WORKDAY(Main[[#This Row],[Tech Start Date]],6),IF(Main[[#This Row],[Class]]="A",WORKDAY(Main[[#This Row],[Tech Start Date]],2),""))))</f>
        <v/>
      </c>
      <c r="N312" s="69" t="str">
        <f>IF(Main[[#This Row],[Tech Start Date]]&lt;1/1/1990,"",IF(Main[[#This Row],[Class]]="C",WORKDAY(Main[[#This Row],[Tech Start Date]],19),IF(Main[[#This Row],[Class]]="B", WORKDAY(Main[[#This Row],[Tech Start Date]],12),IF(Main[[#This Row],[Class]]="A",WORKDAY(Main[[#This Row],[Tech Start Date]],4),""))))</f>
        <v/>
      </c>
      <c r="O312" s="69" t="str">
        <f>IF(Main[[#This Row],[Tech Start Date]]&lt;1/1/1990,"",IF(Main[[#This Row],[Class]]="C",WORKDAY(Main[[#This Row],[Tech Start Date]],23),IF(Main[[#This Row],[Class]]="B", WORKDAY(Main[[#This Row],[Tech Start Date]],15),IF(Main[[#This Row],[Class]]="A",WORKDAY(Main[[#This Row],[Tech Start Date]],5),""))))</f>
        <v/>
      </c>
      <c r="P312" s="69" t="str">
        <f>IF(Main[[#This Row],[Tech Start Date]]&lt;1/1/1990,"",IF(Main[[#This Row],[Class]]="C",WORKDAY(Main[[#This Row],[Tech Start Date]],28),IF(Main[[#This Row],[Class]]="B", WORKDAY(Main[[#This Row],[Tech Start Date]],19),IF(Main[[#This Row],[Class]]="A",WORKDAY(Main[[#This Row],[Tech Start Date]],9),""))))</f>
        <v/>
      </c>
      <c r="Q312" s="67"/>
      <c r="R312" s="67">
        <v>40908</v>
      </c>
      <c r="S312" s="65" t="s">
        <v>49</v>
      </c>
      <c r="T312" s="70" t="s">
        <v>4</v>
      </c>
      <c r="U312" s="65" t="s">
        <v>7</v>
      </c>
      <c r="V312" s="65" t="s">
        <v>1929</v>
      </c>
      <c r="W312" s="65" t="s">
        <v>1916</v>
      </c>
      <c r="X312" s="65" t="s">
        <v>922</v>
      </c>
      <c r="Y312" s="65" t="s">
        <v>2982</v>
      </c>
      <c r="Z312" s="65" t="s">
        <v>2211</v>
      </c>
      <c r="AA312" s="65" t="s">
        <v>922</v>
      </c>
    </row>
    <row r="313" spans="1:27" ht="17.45" hidden="1" customHeight="1">
      <c r="A313" s="100" t="str">
        <f>IF(priority(Main[[#This Row],[Comments]])&lt;&gt;0, priority(Main[[#This Row],[Comments]]),"")</f>
        <v/>
      </c>
      <c r="B313" s="77" t="s">
        <v>1292</v>
      </c>
      <c r="C313" s="65" t="s">
        <v>72</v>
      </c>
      <c r="D313" s="66" t="s">
        <v>343</v>
      </c>
      <c r="E313" s="67"/>
      <c r="F313" s="67">
        <v>40106</v>
      </c>
      <c r="G313" s="64" t="str">
        <f>IF(stdProdLT(Main[[#This Row],[Comments]])=0.1,"N/A",IF(stdProdLT(Main[[#This Row],[Comments]])=0,"",stdProdLT(Main[[#This Row],[Comments]])))</f>
        <v/>
      </c>
      <c r="H313" s="68" t="str">
        <f>IF(AND(Main[[#This Row],[In Stock Date]]&lt;&gt;"",Main[[#This Row],[Revised Due Date]]&lt;&gt;""),Main[[#This Row],[In Stock Date]]-Main[[#This Row],[Revised Due Date]],"")</f>
        <v/>
      </c>
      <c r="I313" s="65" t="s">
        <v>4</v>
      </c>
      <c r="J313" s="65" t="s">
        <v>4</v>
      </c>
      <c r="K313" s="65" t="s">
        <v>4</v>
      </c>
      <c r="L313" s="67"/>
      <c r="M313" s="69" t="str">
        <f>IF(Main[[#This Row],[Tech Start Date]]&lt;1/1/1990,"",IF(Main[[#This Row],[Class]]="C",WORKDAY(Main[[#This Row],[Tech Start Date]],9),IF(Main[[#This Row],[Class]]="B", WORKDAY(Main[[#This Row],[Tech Start Date]],6),IF(Main[[#This Row],[Class]]="A",WORKDAY(Main[[#This Row],[Tech Start Date]],2),""))))</f>
        <v/>
      </c>
      <c r="N313" s="69" t="str">
        <f>IF(Main[[#This Row],[Tech Start Date]]&lt;1/1/1990,"",IF(Main[[#This Row],[Class]]="C",WORKDAY(Main[[#This Row],[Tech Start Date]],19),IF(Main[[#This Row],[Class]]="B", WORKDAY(Main[[#This Row],[Tech Start Date]],12),IF(Main[[#This Row],[Class]]="A",WORKDAY(Main[[#This Row],[Tech Start Date]],4),""))))</f>
        <v/>
      </c>
      <c r="O313" s="69" t="str">
        <f>IF(Main[[#This Row],[Tech Start Date]]&lt;1/1/1990,"",IF(Main[[#This Row],[Class]]="C",WORKDAY(Main[[#This Row],[Tech Start Date]],23),IF(Main[[#This Row],[Class]]="B", WORKDAY(Main[[#This Row],[Tech Start Date]],15),IF(Main[[#This Row],[Class]]="A",WORKDAY(Main[[#This Row],[Tech Start Date]],5),""))))</f>
        <v/>
      </c>
      <c r="P313" s="69" t="str">
        <f>IF(Main[[#This Row],[Tech Start Date]]&lt;1/1/1990,"",IF(Main[[#This Row],[Class]]="C",WORKDAY(Main[[#This Row],[Tech Start Date]],28),IF(Main[[#This Row],[Class]]="B", WORKDAY(Main[[#This Row],[Tech Start Date]],19),IF(Main[[#This Row],[Class]]="A",WORKDAY(Main[[#This Row],[Tech Start Date]],9),""))))</f>
        <v/>
      </c>
      <c r="Q313" s="67">
        <v>39986</v>
      </c>
      <c r="R313" s="67"/>
      <c r="S313" s="65" t="s">
        <v>11</v>
      </c>
      <c r="T313" s="70" t="s">
        <v>4</v>
      </c>
      <c r="U313" s="65" t="s">
        <v>14</v>
      </c>
      <c r="V313" s="65" t="s">
        <v>1915</v>
      </c>
      <c r="W313" s="65" t="s">
        <v>1919</v>
      </c>
      <c r="X313" s="65" t="s">
        <v>2824</v>
      </c>
      <c r="Y313" s="65" t="s">
        <v>2943</v>
      </c>
      <c r="Z313" s="65" t="s">
        <v>4</v>
      </c>
      <c r="AA313" s="65" t="s">
        <v>2824</v>
      </c>
    </row>
    <row r="314" spans="1:27" ht="17.45" hidden="1" customHeight="1">
      <c r="A314" s="101" t="str">
        <f>IF(priority(Main[[#This Row],[Comments]])&lt;&gt;0, priority(Main[[#This Row],[Comments]]),"")</f>
        <v/>
      </c>
      <c r="B314" s="102" t="s">
        <v>1293</v>
      </c>
      <c r="C314" s="103" t="s">
        <v>4</v>
      </c>
      <c r="D314" s="104" t="s">
        <v>344</v>
      </c>
      <c r="E314" s="105"/>
      <c r="F314" s="105"/>
      <c r="G314" s="106" t="str">
        <f>IF(stdProdLT(Main[[#This Row],[Comments]])=0.1,"N/A",IF(stdProdLT(Main[[#This Row],[Comments]])=0,"",stdProdLT(Main[[#This Row],[Comments]])))</f>
        <v/>
      </c>
      <c r="H314" s="107" t="str">
        <f>IF(AND(Main[[#This Row],[In Stock Date]]&lt;&gt;"",Main[[#This Row],[Revised Due Date]]&lt;&gt;""),Main[[#This Row],[In Stock Date]]-Main[[#This Row],[Revised Due Date]],"")</f>
        <v/>
      </c>
      <c r="I314" s="103" t="s">
        <v>4</v>
      </c>
      <c r="J314" s="103" t="s">
        <v>4</v>
      </c>
      <c r="K314" s="103" t="s">
        <v>4</v>
      </c>
      <c r="L314" s="105"/>
      <c r="M314" s="108" t="str">
        <f>IF(Main[[#This Row],[Tech Start Date]]&lt;1/1/1990,"",IF(Main[[#This Row],[Class]]="C",WORKDAY(Main[[#This Row],[Tech Start Date]],9),IF(Main[[#This Row],[Class]]="B", WORKDAY(Main[[#This Row],[Tech Start Date]],6),IF(Main[[#This Row],[Class]]="A",WORKDAY(Main[[#This Row],[Tech Start Date]],2),""))))</f>
        <v/>
      </c>
      <c r="N314" s="108" t="str">
        <f>IF(Main[[#This Row],[Tech Start Date]]&lt;1/1/1990,"",IF(Main[[#This Row],[Class]]="C",WORKDAY(Main[[#This Row],[Tech Start Date]],19),IF(Main[[#This Row],[Class]]="B", WORKDAY(Main[[#This Row],[Tech Start Date]],12),IF(Main[[#This Row],[Class]]="A",WORKDAY(Main[[#This Row],[Tech Start Date]],4),""))))</f>
        <v/>
      </c>
      <c r="O314" s="108" t="str">
        <f>IF(Main[[#This Row],[Tech Start Date]]&lt;1/1/1990,"",IF(Main[[#This Row],[Class]]="C",WORKDAY(Main[[#This Row],[Tech Start Date]],23),IF(Main[[#This Row],[Class]]="B", WORKDAY(Main[[#This Row],[Tech Start Date]],15),IF(Main[[#This Row],[Class]]="A",WORKDAY(Main[[#This Row],[Tech Start Date]],5),""))))</f>
        <v/>
      </c>
      <c r="P314" s="108" t="str">
        <f>IF(Main[[#This Row],[Tech Start Date]]&lt;1/1/1990,"",IF(Main[[#This Row],[Class]]="C",WORKDAY(Main[[#This Row],[Tech Start Date]],28),IF(Main[[#This Row],[Class]]="B", WORKDAY(Main[[#This Row],[Tech Start Date]],19),IF(Main[[#This Row],[Class]]="A",WORKDAY(Main[[#This Row],[Tech Start Date]],9),""))))</f>
        <v/>
      </c>
      <c r="Q314" s="105"/>
      <c r="R314" s="105"/>
      <c r="S314" s="103" t="s">
        <v>6</v>
      </c>
      <c r="T314" s="109" t="s">
        <v>4</v>
      </c>
      <c r="U314" s="103" t="s">
        <v>12</v>
      </c>
      <c r="V314" s="103" t="s">
        <v>1914</v>
      </c>
      <c r="W314" s="103" t="s">
        <v>1918</v>
      </c>
      <c r="X314" s="103" t="s">
        <v>708</v>
      </c>
      <c r="Y314" s="103" t="s">
        <v>3022</v>
      </c>
      <c r="Z314" s="103" t="s">
        <v>4</v>
      </c>
      <c r="AA314" s="103" t="s">
        <v>3402</v>
      </c>
    </row>
    <row r="315" spans="1:27" ht="17.45" hidden="1" customHeight="1">
      <c r="A315" s="100" t="str">
        <f>IF(priority(Main[[#This Row],[Comments]])&lt;&gt;0, priority(Main[[#This Row],[Comments]]),"")</f>
        <v/>
      </c>
      <c r="B315" s="77" t="s">
        <v>1272</v>
      </c>
      <c r="C315" s="65" t="s">
        <v>79</v>
      </c>
      <c r="D315" s="66" t="s">
        <v>345</v>
      </c>
      <c r="E315" s="67">
        <v>40072.642395833333</v>
      </c>
      <c r="F315" s="67">
        <v>40116</v>
      </c>
      <c r="G315" s="64" t="str">
        <f>IF(stdProdLT(Main[[#This Row],[Comments]])=0.1,"N/A",IF(stdProdLT(Main[[#This Row],[Comments]])=0,"",stdProdLT(Main[[#This Row],[Comments]])))</f>
        <v/>
      </c>
      <c r="H315" s="68" t="str">
        <f>IF(AND(Main[[#This Row],[In Stock Date]]&lt;&gt;"",Main[[#This Row],[Revised Due Date]]&lt;&gt;""),Main[[#This Row],[In Stock Date]]-Main[[#This Row],[Revised Due Date]],"")</f>
        <v/>
      </c>
      <c r="I315" s="65" t="s">
        <v>4</v>
      </c>
      <c r="J315" s="65" t="s">
        <v>4</v>
      </c>
      <c r="K315" s="65" t="s">
        <v>4</v>
      </c>
      <c r="L315" s="67"/>
      <c r="M315" s="69" t="str">
        <f>IF(Main[[#This Row],[Tech Start Date]]&lt;1/1/1990,"",IF(Main[[#This Row],[Class]]="C",WORKDAY(Main[[#This Row],[Tech Start Date]],9),IF(Main[[#This Row],[Class]]="B", WORKDAY(Main[[#This Row],[Tech Start Date]],6),IF(Main[[#This Row],[Class]]="A",WORKDAY(Main[[#This Row],[Tech Start Date]],2),""))))</f>
        <v/>
      </c>
      <c r="N315" s="69" t="str">
        <f>IF(Main[[#This Row],[Tech Start Date]]&lt;1/1/1990,"",IF(Main[[#This Row],[Class]]="C",WORKDAY(Main[[#This Row],[Tech Start Date]],19),IF(Main[[#This Row],[Class]]="B", WORKDAY(Main[[#This Row],[Tech Start Date]],12),IF(Main[[#This Row],[Class]]="A",WORKDAY(Main[[#This Row],[Tech Start Date]],4),""))))</f>
        <v/>
      </c>
      <c r="O315" s="69" t="str">
        <f>IF(Main[[#This Row],[Tech Start Date]]&lt;1/1/1990,"",IF(Main[[#This Row],[Class]]="C",WORKDAY(Main[[#This Row],[Tech Start Date]],23),IF(Main[[#This Row],[Class]]="B", WORKDAY(Main[[#This Row],[Tech Start Date]],15),IF(Main[[#This Row],[Class]]="A",WORKDAY(Main[[#This Row],[Tech Start Date]],5),""))))</f>
        <v/>
      </c>
      <c r="P315" s="69" t="str">
        <f>IF(Main[[#This Row],[Tech Start Date]]&lt;1/1/1990,"",IF(Main[[#This Row],[Class]]="C",WORKDAY(Main[[#This Row],[Tech Start Date]],28),IF(Main[[#This Row],[Class]]="B", WORKDAY(Main[[#This Row],[Tech Start Date]],19),IF(Main[[#This Row],[Class]]="A",WORKDAY(Main[[#This Row],[Tech Start Date]],9),""))))</f>
        <v/>
      </c>
      <c r="Q315" s="67"/>
      <c r="R315" s="67"/>
      <c r="S315" s="65" t="s">
        <v>17</v>
      </c>
      <c r="T315" s="70" t="s">
        <v>4</v>
      </c>
      <c r="U315" s="65" t="s">
        <v>7</v>
      </c>
      <c r="V315" s="65" t="s">
        <v>1914</v>
      </c>
      <c r="W315" s="65" t="s">
        <v>1918</v>
      </c>
      <c r="X315" s="65" t="s">
        <v>2861</v>
      </c>
      <c r="Y315" s="65" t="s">
        <v>2956</v>
      </c>
      <c r="Z315" s="65" t="s">
        <v>4</v>
      </c>
      <c r="AA315" s="65" t="s">
        <v>2861</v>
      </c>
    </row>
    <row r="316" spans="1:27" ht="17.45" hidden="1" customHeight="1">
      <c r="A316" s="100" t="str">
        <f>IF(priority(Main[[#This Row],[Comments]])&lt;&gt;0, priority(Main[[#This Row],[Comments]]),"")</f>
        <v/>
      </c>
      <c r="B316" s="77" t="s">
        <v>1273</v>
      </c>
      <c r="C316" s="65" t="s">
        <v>4</v>
      </c>
      <c r="D316" s="66" t="s">
        <v>346</v>
      </c>
      <c r="E316" s="67">
        <v>40422.66909722222</v>
      </c>
      <c r="F316" s="67"/>
      <c r="G316" s="64" t="str">
        <f>IF(stdProdLT(Main[[#This Row],[Comments]])=0.1,"N/A",IF(stdProdLT(Main[[#This Row],[Comments]])=0,"",stdProdLT(Main[[#This Row],[Comments]])))</f>
        <v/>
      </c>
      <c r="H316" s="68" t="str">
        <f>IF(AND(Main[[#This Row],[In Stock Date]]&lt;&gt;"",Main[[#This Row],[Revised Due Date]]&lt;&gt;""),Main[[#This Row],[In Stock Date]]-Main[[#This Row],[Revised Due Date]],"")</f>
        <v/>
      </c>
      <c r="I316" s="65" t="s">
        <v>4</v>
      </c>
      <c r="J316" s="65" t="s">
        <v>28</v>
      </c>
      <c r="K316" s="65" t="s">
        <v>4</v>
      </c>
      <c r="L316" s="67"/>
      <c r="M316" s="69" t="str">
        <f>IF(Main[[#This Row],[Tech Start Date]]&lt;1/1/1990,"",IF(Main[[#This Row],[Class]]="C",WORKDAY(Main[[#This Row],[Tech Start Date]],9),IF(Main[[#This Row],[Class]]="B", WORKDAY(Main[[#This Row],[Tech Start Date]],6),IF(Main[[#This Row],[Class]]="A",WORKDAY(Main[[#This Row],[Tech Start Date]],2),""))))</f>
        <v/>
      </c>
      <c r="N316" s="69" t="str">
        <f>IF(Main[[#This Row],[Tech Start Date]]&lt;1/1/1990,"",IF(Main[[#This Row],[Class]]="C",WORKDAY(Main[[#This Row],[Tech Start Date]],19),IF(Main[[#This Row],[Class]]="B", WORKDAY(Main[[#This Row],[Tech Start Date]],12),IF(Main[[#This Row],[Class]]="A",WORKDAY(Main[[#This Row],[Tech Start Date]],4),""))))</f>
        <v/>
      </c>
      <c r="O316" s="69" t="str">
        <f>IF(Main[[#This Row],[Tech Start Date]]&lt;1/1/1990,"",IF(Main[[#This Row],[Class]]="C",WORKDAY(Main[[#This Row],[Tech Start Date]],23),IF(Main[[#This Row],[Class]]="B", WORKDAY(Main[[#This Row],[Tech Start Date]],15),IF(Main[[#This Row],[Class]]="A",WORKDAY(Main[[#This Row],[Tech Start Date]],5),""))))</f>
        <v/>
      </c>
      <c r="P316" s="69" t="str">
        <f>IF(Main[[#This Row],[Tech Start Date]]&lt;1/1/1990,"",IF(Main[[#This Row],[Class]]="C",WORKDAY(Main[[#This Row],[Tech Start Date]],28),IF(Main[[#This Row],[Class]]="B", WORKDAY(Main[[#This Row],[Tech Start Date]],19),IF(Main[[#This Row],[Class]]="A",WORKDAY(Main[[#This Row],[Tech Start Date]],9),""))))</f>
        <v/>
      </c>
      <c r="Q316" s="67"/>
      <c r="R316" s="67"/>
      <c r="S316" s="65" t="s">
        <v>6</v>
      </c>
      <c r="T316" s="70" t="s">
        <v>4</v>
      </c>
      <c r="U316" s="65" t="s">
        <v>29</v>
      </c>
      <c r="V316" s="65" t="s">
        <v>1914</v>
      </c>
      <c r="W316" s="65" t="s">
        <v>1918</v>
      </c>
      <c r="X316" s="65" t="s">
        <v>399</v>
      </c>
      <c r="Y316" s="65" t="s">
        <v>3023</v>
      </c>
      <c r="Z316" s="65" t="s">
        <v>129</v>
      </c>
      <c r="AA316" s="65" t="s">
        <v>3379</v>
      </c>
    </row>
    <row r="317" spans="1:27" ht="17.45" hidden="1" customHeight="1">
      <c r="A317" s="100" t="str">
        <f>IF(priority(Main[[#This Row],[Comments]])&lt;&gt;0, priority(Main[[#This Row],[Comments]]),"")</f>
        <v/>
      </c>
      <c r="B317" s="77" t="s">
        <v>1274</v>
      </c>
      <c r="C317" s="65" t="s">
        <v>347</v>
      </c>
      <c r="D317" s="66" t="s">
        <v>348</v>
      </c>
      <c r="E317" s="67"/>
      <c r="F317" s="67"/>
      <c r="G317" s="64" t="str">
        <f>IF(stdProdLT(Main[[#This Row],[Comments]])=0.1,"N/A",IF(stdProdLT(Main[[#This Row],[Comments]])=0,"",stdProdLT(Main[[#This Row],[Comments]])))</f>
        <v/>
      </c>
      <c r="H317" s="68" t="str">
        <f>IF(AND(Main[[#This Row],[In Stock Date]]&lt;&gt;"",Main[[#This Row],[Revised Due Date]]&lt;&gt;""),Main[[#This Row],[In Stock Date]]-Main[[#This Row],[Revised Due Date]],"")</f>
        <v/>
      </c>
      <c r="I317" s="65" t="s">
        <v>4</v>
      </c>
      <c r="J317" s="65" t="s">
        <v>4</v>
      </c>
      <c r="K317" s="65" t="s">
        <v>4</v>
      </c>
      <c r="L317" s="67"/>
      <c r="M317" s="69" t="str">
        <f>IF(Main[[#This Row],[Tech Start Date]]&lt;1/1/1990,"",IF(Main[[#This Row],[Class]]="C",WORKDAY(Main[[#This Row],[Tech Start Date]],9),IF(Main[[#This Row],[Class]]="B", WORKDAY(Main[[#This Row],[Tech Start Date]],6),IF(Main[[#This Row],[Class]]="A",WORKDAY(Main[[#This Row],[Tech Start Date]],2),""))))</f>
        <v/>
      </c>
      <c r="N317" s="69" t="str">
        <f>IF(Main[[#This Row],[Tech Start Date]]&lt;1/1/1990,"",IF(Main[[#This Row],[Class]]="C",WORKDAY(Main[[#This Row],[Tech Start Date]],19),IF(Main[[#This Row],[Class]]="B", WORKDAY(Main[[#This Row],[Tech Start Date]],12),IF(Main[[#This Row],[Class]]="A",WORKDAY(Main[[#This Row],[Tech Start Date]],4),""))))</f>
        <v/>
      </c>
      <c r="O317" s="69" t="str">
        <f>IF(Main[[#This Row],[Tech Start Date]]&lt;1/1/1990,"",IF(Main[[#This Row],[Class]]="C",WORKDAY(Main[[#This Row],[Tech Start Date]],23),IF(Main[[#This Row],[Class]]="B", WORKDAY(Main[[#This Row],[Tech Start Date]],15),IF(Main[[#This Row],[Class]]="A",WORKDAY(Main[[#This Row],[Tech Start Date]],5),""))))</f>
        <v/>
      </c>
      <c r="P317" s="69" t="str">
        <f>IF(Main[[#This Row],[Tech Start Date]]&lt;1/1/1990,"",IF(Main[[#This Row],[Class]]="C",WORKDAY(Main[[#This Row],[Tech Start Date]],28),IF(Main[[#This Row],[Class]]="B", WORKDAY(Main[[#This Row],[Tech Start Date]],19),IF(Main[[#This Row],[Class]]="A",WORKDAY(Main[[#This Row],[Tech Start Date]],9),""))))</f>
        <v/>
      </c>
      <c r="Q317" s="67"/>
      <c r="R317" s="67"/>
      <c r="S317" s="65" t="s">
        <v>11</v>
      </c>
      <c r="T317" s="70" t="s">
        <v>4</v>
      </c>
      <c r="U317" s="65" t="s">
        <v>14</v>
      </c>
      <c r="V317" s="65" t="s">
        <v>1915</v>
      </c>
      <c r="W317" s="65" t="s">
        <v>1919</v>
      </c>
      <c r="X317" s="65" t="s">
        <v>306</v>
      </c>
      <c r="Y317" s="65" t="s">
        <v>2941</v>
      </c>
      <c r="Z317" s="65" t="s">
        <v>4</v>
      </c>
      <c r="AA317" s="65" t="s">
        <v>306</v>
      </c>
    </row>
    <row r="318" spans="1:27" ht="17.45" hidden="1" customHeight="1">
      <c r="A318" s="100" t="str">
        <f>IF(priority(Main[[#This Row],[Comments]])&lt;&gt;0, priority(Main[[#This Row],[Comments]]),"")</f>
        <v/>
      </c>
      <c r="B318" s="77" t="s">
        <v>2371</v>
      </c>
      <c r="C318" s="65" t="s">
        <v>4</v>
      </c>
      <c r="D318" s="66" t="s">
        <v>2372</v>
      </c>
      <c r="E318" s="67">
        <v>40869.35837962963</v>
      </c>
      <c r="F318" s="67"/>
      <c r="G318" s="64" t="str">
        <f>IF(stdProdLT(Main[[#This Row],[Comments]])=0.1,"N/A",IF(stdProdLT(Main[[#This Row],[Comments]])=0,"",stdProdLT(Main[[#This Row],[Comments]])))</f>
        <v/>
      </c>
      <c r="H318" s="68" t="str">
        <f>IF(AND(Main[[#This Row],[In Stock Date]]&lt;&gt;"",Main[[#This Row],[Revised Due Date]]&lt;&gt;""),Main[[#This Row],[In Stock Date]]-Main[[#This Row],[Revised Due Date]],"")</f>
        <v/>
      </c>
      <c r="I318" s="65" t="s">
        <v>4</v>
      </c>
      <c r="J318" s="65" t="s">
        <v>4</v>
      </c>
      <c r="K318" s="71" t="s">
        <v>4</v>
      </c>
      <c r="L318" s="67"/>
      <c r="M318" s="69" t="str">
        <f>IF(Main[[#This Row],[Tech Start Date]]&lt;1/1/1990,"",IF(Main[[#This Row],[Class]]="C",WORKDAY(Main[[#This Row],[Tech Start Date]],9),IF(Main[[#This Row],[Class]]="B", WORKDAY(Main[[#This Row],[Tech Start Date]],6),IF(Main[[#This Row],[Class]]="A",WORKDAY(Main[[#This Row],[Tech Start Date]],2),""))))</f>
        <v/>
      </c>
      <c r="N318" s="69" t="str">
        <f>IF(Main[[#This Row],[Tech Start Date]]&lt;1/1/1990,"",IF(Main[[#This Row],[Class]]="C",WORKDAY(Main[[#This Row],[Tech Start Date]],19),IF(Main[[#This Row],[Class]]="B", WORKDAY(Main[[#This Row],[Tech Start Date]],12),IF(Main[[#This Row],[Class]]="A",WORKDAY(Main[[#This Row],[Tech Start Date]],4),""))))</f>
        <v/>
      </c>
      <c r="O318" s="69" t="str">
        <f>IF(Main[[#This Row],[Tech Start Date]]&lt;1/1/1990,"",IF(Main[[#This Row],[Class]]="C",WORKDAY(Main[[#This Row],[Tech Start Date]],23),IF(Main[[#This Row],[Class]]="B", WORKDAY(Main[[#This Row],[Tech Start Date]],15),IF(Main[[#This Row],[Class]]="A",WORKDAY(Main[[#This Row],[Tech Start Date]],5),""))))</f>
        <v/>
      </c>
      <c r="P318" s="69" t="str">
        <f>IF(Main[[#This Row],[Tech Start Date]]&lt;1/1/1990,"",IF(Main[[#This Row],[Class]]="C",WORKDAY(Main[[#This Row],[Tech Start Date]],28),IF(Main[[#This Row],[Class]]="B", WORKDAY(Main[[#This Row],[Tech Start Date]],19),IF(Main[[#This Row],[Class]]="A",WORKDAY(Main[[#This Row],[Tech Start Date]],9),""))))</f>
        <v/>
      </c>
      <c r="Q318" s="67"/>
      <c r="R318" s="67"/>
      <c r="S318" s="65" t="s">
        <v>6</v>
      </c>
      <c r="T318" s="70" t="s">
        <v>4</v>
      </c>
      <c r="U318" s="65" t="s">
        <v>29</v>
      </c>
      <c r="V318" s="65" t="s">
        <v>1915</v>
      </c>
      <c r="W318" s="65" t="s">
        <v>1916</v>
      </c>
      <c r="X318" s="65" t="s">
        <v>102</v>
      </c>
      <c r="Y318" s="65" t="s">
        <v>3024</v>
      </c>
      <c r="Z318" s="65" t="s">
        <v>4</v>
      </c>
      <c r="AA318" s="65" t="s">
        <v>3408</v>
      </c>
    </row>
    <row r="319" spans="1:27" ht="17.45" hidden="1" customHeight="1">
      <c r="A319" s="100" t="str">
        <f>IF(priority(Main[[#This Row],[Comments]])&lt;&gt;0, priority(Main[[#This Row],[Comments]]),"")</f>
        <v/>
      </c>
      <c r="B319" s="77" t="s">
        <v>1275</v>
      </c>
      <c r="C319" s="65" t="s">
        <v>93</v>
      </c>
      <c r="D319" s="66" t="s">
        <v>349</v>
      </c>
      <c r="E319" s="67"/>
      <c r="F319" s="67"/>
      <c r="G319" s="64" t="str">
        <f>IF(stdProdLT(Main[[#This Row],[Comments]])=0.1,"N/A",IF(stdProdLT(Main[[#This Row],[Comments]])=0,"",stdProdLT(Main[[#This Row],[Comments]])))</f>
        <v/>
      </c>
      <c r="H319" s="68" t="str">
        <f>IF(AND(Main[[#This Row],[In Stock Date]]&lt;&gt;"",Main[[#This Row],[Revised Due Date]]&lt;&gt;""),Main[[#This Row],[In Stock Date]]-Main[[#This Row],[Revised Due Date]],"")</f>
        <v/>
      </c>
      <c r="I319" s="65" t="s">
        <v>4</v>
      </c>
      <c r="J319" s="65" t="s">
        <v>4</v>
      </c>
      <c r="K319" s="65" t="s">
        <v>4</v>
      </c>
      <c r="L319" s="67"/>
      <c r="M319" s="69" t="str">
        <f>IF(Main[[#This Row],[Tech Start Date]]&lt;1/1/1990,"",IF(Main[[#This Row],[Class]]="C",WORKDAY(Main[[#This Row],[Tech Start Date]],9),IF(Main[[#This Row],[Class]]="B", WORKDAY(Main[[#This Row],[Tech Start Date]],6),IF(Main[[#This Row],[Class]]="A",WORKDAY(Main[[#This Row],[Tech Start Date]],2),""))))</f>
        <v/>
      </c>
      <c r="N319" s="69" t="str">
        <f>IF(Main[[#This Row],[Tech Start Date]]&lt;1/1/1990,"",IF(Main[[#This Row],[Class]]="C",WORKDAY(Main[[#This Row],[Tech Start Date]],19),IF(Main[[#This Row],[Class]]="B", WORKDAY(Main[[#This Row],[Tech Start Date]],12),IF(Main[[#This Row],[Class]]="A",WORKDAY(Main[[#This Row],[Tech Start Date]],4),""))))</f>
        <v/>
      </c>
      <c r="O319" s="69" t="str">
        <f>IF(Main[[#This Row],[Tech Start Date]]&lt;1/1/1990,"",IF(Main[[#This Row],[Class]]="C",WORKDAY(Main[[#This Row],[Tech Start Date]],23),IF(Main[[#This Row],[Class]]="B", WORKDAY(Main[[#This Row],[Tech Start Date]],15),IF(Main[[#This Row],[Class]]="A",WORKDAY(Main[[#This Row],[Tech Start Date]],5),""))))</f>
        <v/>
      </c>
      <c r="P319" s="69" t="str">
        <f>IF(Main[[#This Row],[Tech Start Date]]&lt;1/1/1990,"",IF(Main[[#This Row],[Class]]="C",WORKDAY(Main[[#This Row],[Tech Start Date]],28),IF(Main[[#This Row],[Class]]="B", WORKDAY(Main[[#This Row],[Tech Start Date]],19),IF(Main[[#This Row],[Class]]="A",WORKDAY(Main[[#This Row],[Tech Start Date]],9),""))))</f>
        <v/>
      </c>
      <c r="Q319" s="67"/>
      <c r="R319" s="67"/>
      <c r="S319" s="65" t="s">
        <v>11</v>
      </c>
      <c r="T319" s="70" t="s">
        <v>4</v>
      </c>
      <c r="U319" s="65" t="s">
        <v>14</v>
      </c>
      <c r="V319" s="65" t="s">
        <v>1917</v>
      </c>
      <c r="W319" s="65" t="s">
        <v>1920</v>
      </c>
      <c r="X319" s="65" t="s">
        <v>2853</v>
      </c>
      <c r="Y319" s="65" t="s">
        <v>2991</v>
      </c>
      <c r="Z319" s="65" t="s">
        <v>4</v>
      </c>
      <c r="AA319" s="65" t="s">
        <v>2853</v>
      </c>
    </row>
    <row r="320" spans="1:27" ht="17.45" hidden="1" customHeight="1">
      <c r="A320" s="100" t="str">
        <f>IF(priority(Main[[#This Row],[Comments]])&lt;&gt;0, priority(Main[[#This Row],[Comments]]),"")</f>
        <v/>
      </c>
      <c r="B320" s="77" t="s">
        <v>1277</v>
      </c>
      <c r="C320" s="65" t="s">
        <v>4</v>
      </c>
      <c r="D320" s="66" t="s">
        <v>350</v>
      </c>
      <c r="E320" s="67"/>
      <c r="F320" s="67"/>
      <c r="G320" s="64" t="str">
        <f>IF(stdProdLT(Main[[#This Row],[Comments]])=0.1,"N/A",IF(stdProdLT(Main[[#This Row],[Comments]])=0,"",stdProdLT(Main[[#This Row],[Comments]])))</f>
        <v/>
      </c>
      <c r="H320" s="68" t="str">
        <f>IF(AND(Main[[#This Row],[In Stock Date]]&lt;&gt;"",Main[[#This Row],[Revised Due Date]]&lt;&gt;""),Main[[#This Row],[In Stock Date]]-Main[[#This Row],[Revised Due Date]],"")</f>
        <v/>
      </c>
      <c r="I320" s="65" t="s">
        <v>4</v>
      </c>
      <c r="J320" s="65" t="s">
        <v>4</v>
      </c>
      <c r="K320" s="65" t="s">
        <v>4</v>
      </c>
      <c r="L320" s="67"/>
      <c r="M320" s="69" t="str">
        <f>IF(Main[[#This Row],[Tech Start Date]]&lt;1/1/1990,"",IF(Main[[#This Row],[Class]]="C",WORKDAY(Main[[#This Row],[Tech Start Date]],9),IF(Main[[#This Row],[Class]]="B", WORKDAY(Main[[#This Row],[Tech Start Date]],6),IF(Main[[#This Row],[Class]]="A",WORKDAY(Main[[#This Row],[Tech Start Date]],2),""))))</f>
        <v/>
      </c>
      <c r="N320" s="69" t="str">
        <f>IF(Main[[#This Row],[Tech Start Date]]&lt;1/1/1990,"",IF(Main[[#This Row],[Class]]="C",WORKDAY(Main[[#This Row],[Tech Start Date]],19),IF(Main[[#This Row],[Class]]="B", WORKDAY(Main[[#This Row],[Tech Start Date]],12),IF(Main[[#This Row],[Class]]="A",WORKDAY(Main[[#This Row],[Tech Start Date]],4),""))))</f>
        <v/>
      </c>
      <c r="O320" s="69" t="str">
        <f>IF(Main[[#This Row],[Tech Start Date]]&lt;1/1/1990,"",IF(Main[[#This Row],[Class]]="C",WORKDAY(Main[[#This Row],[Tech Start Date]],23),IF(Main[[#This Row],[Class]]="B", WORKDAY(Main[[#This Row],[Tech Start Date]],15),IF(Main[[#This Row],[Class]]="A",WORKDAY(Main[[#This Row],[Tech Start Date]],5),""))))</f>
        <v/>
      </c>
      <c r="P320" s="69" t="str">
        <f>IF(Main[[#This Row],[Tech Start Date]]&lt;1/1/1990,"",IF(Main[[#This Row],[Class]]="C",WORKDAY(Main[[#This Row],[Tech Start Date]],28),IF(Main[[#This Row],[Class]]="B", WORKDAY(Main[[#This Row],[Tech Start Date]],19),IF(Main[[#This Row],[Class]]="A",WORKDAY(Main[[#This Row],[Tech Start Date]],9),""))))</f>
        <v/>
      </c>
      <c r="Q320" s="67"/>
      <c r="R320" s="67"/>
      <c r="S320" s="65" t="s">
        <v>11</v>
      </c>
      <c r="T320" s="70" t="s">
        <v>4</v>
      </c>
      <c r="U320" s="65" t="s">
        <v>14</v>
      </c>
      <c r="V320" s="65" t="s">
        <v>1917</v>
      </c>
      <c r="W320" s="65" t="s">
        <v>1916</v>
      </c>
      <c r="X320" s="65" t="s">
        <v>2877</v>
      </c>
      <c r="Y320" s="65" t="s">
        <v>3025</v>
      </c>
      <c r="Z320" s="65" t="s">
        <v>4</v>
      </c>
      <c r="AA320" s="65" t="s">
        <v>2877</v>
      </c>
    </row>
    <row r="321" spans="1:27" ht="17.45" hidden="1" customHeight="1">
      <c r="A321" s="100" t="str">
        <f>IF(priority(Main[[#This Row],[Comments]])&lt;&gt;0, priority(Main[[#This Row],[Comments]]),"")</f>
        <v/>
      </c>
      <c r="B321" s="77" t="s">
        <v>1278</v>
      </c>
      <c r="C321" s="65" t="s">
        <v>351</v>
      </c>
      <c r="D321" s="66" t="s">
        <v>352</v>
      </c>
      <c r="E321" s="67"/>
      <c r="F321" s="67">
        <v>40452</v>
      </c>
      <c r="G321" s="64" t="str">
        <f>IF(stdProdLT(Main[[#This Row],[Comments]])=0.1,"N/A",IF(stdProdLT(Main[[#This Row],[Comments]])=0,"",stdProdLT(Main[[#This Row],[Comments]])))</f>
        <v/>
      </c>
      <c r="H321" s="68" t="str">
        <f>IF(AND(Main[[#This Row],[In Stock Date]]&lt;&gt;"",Main[[#This Row],[Revised Due Date]]&lt;&gt;""),Main[[#This Row],[In Stock Date]]-Main[[#This Row],[Revised Due Date]],"")</f>
        <v/>
      </c>
      <c r="I321" s="65" t="s">
        <v>4</v>
      </c>
      <c r="J321" s="65" t="s">
        <v>4</v>
      </c>
      <c r="K321" s="65" t="s">
        <v>4</v>
      </c>
      <c r="L321" s="67"/>
      <c r="M321" s="69" t="str">
        <f>IF(Main[[#This Row],[Tech Start Date]]&lt;1/1/1990,"",IF(Main[[#This Row],[Class]]="C",WORKDAY(Main[[#This Row],[Tech Start Date]],9),IF(Main[[#This Row],[Class]]="B", WORKDAY(Main[[#This Row],[Tech Start Date]],6),IF(Main[[#This Row],[Class]]="A",WORKDAY(Main[[#This Row],[Tech Start Date]],2),""))))</f>
        <v/>
      </c>
      <c r="N321" s="69" t="str">
        <f>IF(Main[[#This Row],[Tech Start Date]]&lt;1/1/1990,"",IF(Main[[#This Row],[Class]]="C",WORKDAY(Main[[#This Row],[Tech Start Date]],19),IF(Main[[#This Row],[Class]]="B", WORKDAY(Main[[#This Row],[Tech Start Date]],12),IF(Main[[#This Row],[Class]]="A",WORKDAY(Main[[#This Row],[Tech Start Date]],4),""))))</f>
        <v/>
      </c>
      <c r="O321" s="69" t="str">
        <f>IF(Main[[#This Row],[Tech Start Date]]&lt;1/1/1990,"",IF(Main[[#This Row],[Class]]="C",WORKDAY(Main[[#This Row],[Tech Start Date]],23),IF(Main[[#This Row],[Class]]="B", WORKDAY(Main[[#This Row],[Tech Start Date]],15),IF(Main[[#This Row],[Class]]="A",WORKDAY(Main[[#This Row],[Tech Start Date]],5),""))))</f>
        <v/>
      </c>
      <c r="P321" s="69" t="str">
        <f>IF(Main[[#This Row],[Tech Start Date]]&lt;1/1/1990,"",IF(Main[[#This Row],[Class]]="C",WORKDAY(Main[[#This Row],[Tech Start Date]],28),IF(Main[[#This Row],[Class]]="B", WORKDAY(Main[[#This Row],[Tech Start Date]],19),IF(Main[[#This Row],[Class]]="A",WORKDAY(Main[[#This Row],[Tech Start Date]],9),""))))</f>
        <v/>
      </c>
      <c r="Q321" s="67">
        <v>40344</v>
      </c>
      <c r="R321" s="67"/>
      <c r="S321" s="65" t="s">
        <v>11</v>
      </c>
      <c r="T321" s="70" t="s">
        <v>4</v>
      </c>
      <c r="U321" s="65" t="s">
        <v>14</v>
      </c>
      <c r="V321" s="65" t="s">
        <v>1917</v>
      </c>
      <c r="W321" s="65" t="s">
        <v>1920</v>
      </c>
      <c r="X321" s="65" t="s">
        <v>2872</v>
      </c>
      <c r="Y321" s="65" t="s">
        <v>2996</v>
      </c>
      <c r="Z321" s="65" t="s">
        <v>530</v>
      </c>
      <c r="AA321" s="65" t="s">
        <v>2872</v>
      </c>
    </row>
    <row r="322" spans="1:27" ht="17.45" hidden="1" customHeight="1">
      <c r="A322" s="100" t="str">
        <f>IF(priority(Main[[#This Row],[Comments]])&lt;&gt;0, priority(Main[[#This Row],[Comments]]),"")</f>
        <v/>
      </c>
      <c r="B322" s="77" t="s">
        <v>1279</v>
      </c>
      <c r="C322" s="65" t="s">
        <v>4</v>
      </c>
      <c r="D322" s="66" t="s">
        <v>353</v>
      </c>
      <c r="E322" s="67"/>
      <c r="F322" s="67"/>
      <c r="G322" s="64" t="str">
        <f>IF(stdProdLT(Main[[#This Row],[Comments]])=0.1,"N/A",IF(stdProdLT(Main[[#This Row],[Comments]])=0,"",stdProdLT(Main[[#This Row],[Comments]])))</f>
        <v/>
      </c>
      <c r="H322" s="68" t="str">
        <f>IF(AND(Main[[#This Row],[In Stock Date]]&lt;&gt;"",Main[[#This Row],[Revised Due Date]]&lt;&gt;""),Main[[#This Row],[In Stock Date]]-Main[[#This Row],[Revised Due Date]],"")</f>
        <v/>
      </c>
      <c r="I322" s="65" t="s">
        <v>4</v>
      </c>
      <c r="J322" s="65" t="s">
        <v>4</v>
      </c>
      <c r="K322" s="65" t="s">
        <v>4</v>
      </c>
      <c r="L322" s="67"/>
      <c r="M322" s="69" t="str">
        <f>IF(Main[[#This Row],[Tech Start Date]]&lt;1/1/1990,"",IF(Main[[#This Row],[Class]]="C",WORKDAY(Main[[#This Row],[Tech Start Date]],9),IF(Main[[#This Row],[Class]]="B", WORKDAY(Main[[#This Row],[Tech Start Date]],6),IF(Main[[#This Row],[Class]]="A",WORKDAY(Main[[#This Row],[Tech Start Date]],2),""))))</f>
        <v/>
      </c>
      <c r="N322" s="69" t="str">
        <f>IF(Main[[#This Row],[Tech Start Date]]&lt;1/1/1990,"",IF(Main[[#This Row],[Class]]="C",WORKDAY(Main[[#This Row],[Tech Start Date]],19),IF(Main[[#This Row],[Class]]="B", WORKDAY(Main[[#This Row],[Tech Start Date]],12),IF(Main[[#This Row],[Class]]="A",WORKDAY(Main[[#This Row],[Tech Start Date]],4),""))))</f>
        <v/>
      </c>
      <c r="O322" s="69" t="str">
        <f>IF(Main[[#This Row],[Tech Start Date]]&lt;1/1/1990,"",IF(Main[[#This Row],[Class]]="C",WORKDAY(Main[[#This Row],[Tech Start Date]],23),IF(Main[[#This Row],[Class]]="B", WORKDAY(Main[[#This Row],[Tech Start Date]],15),IF(Main[[#This Row],[Class]]="A",WORKDAY(Main[[#This Row],[Tech Start Date]],5),""))))</f>
        <v/>
      </c>
      <c r="P322" s="69" t="str">
        <f>IF(Main[[#This Row],[Tech Start Date]]&lt;1/1/1990,"",IF(Main[[#This Row],[Class]]="C",WORKDAY(Main[[#This Row],[Tech Start Date]],28),IF(Main[[#This Row],[Class]]="B", WORKDAY(Main[[#This Row],[Tech Start Date]],19),IF(Main[[#This Row],[Class]]="A",WORKDAY(Main[[#This Row],[Tech Start Date]],9),""))))</f>
        <v/>
      </c>
      <c r="Q322" s="67"/>
      <c r="R322" s="67"/>
      <c r="S322" s="65" t="s">
        <v>4</v>
      </c>
      <c r="T322" s="70" t="s">
        <v>4</v>
      </c>
      <c r="U322" s="65" t="s">
        <v>14</v>
      </c>
      <c r="V322" s="65" t="s">
        <v>1914</v>
      </c>
      <c r="W322" s="65" t="s">
        <v>4</v>
      </c>
      <c r="X322" s="65" t="s">
        <v>2878</v>
      </c>
      <c r="Y322" s="65" t="s">
        <v>3026</v>
      </c>
      <c r="Z322" s="65" t="s">
        <v>4</v>
      </c>
      <c r="AA322" s="65" t="s">
        <v>2878</v>
      </c>
    </row>
    <row r="323" spans="1:27" ht="17.45" hidden="1" customHeight="1">
      <c r="A323" s="100" t="str">
        <f>IF(priority(Main[[#This Row],[Comments]])&lt;&gt;0, priority(Main[[#This Row],[Comments]]),"")</f>
        <v/>
      </c>
      <c r="B323" s="77" t="s">
        <v>1280</v>
      </c>
      <c r="C323" s="65" t="s">
        <v>33</v>
      </c>
      <c r="D323" s="66" t="s">
        <v>354</v>
      </c>
      <c r="E323" s="67"/>
      <c r="F323" s="67"/>
      <c r="G323" s="64" t="str">
        <f>IF(stdProdLT(Main[[#This Row],[Comments]])=0.1,"N/A",IF(stdProdLT(Main[[#This Row],[Comments]])=0,"",stdProdLT(Main[[#This Row],[Comments]])))</f>
        <v/>
      </c>
      <c r="H323" s="68" t="str">
        <f>IF(AND(Main[[#This Row],[In Stock Date]]&lt;&gt;"",Main[[#This Row],[Revised Due Date]]&lt;&gt;""),Main[[#This Row],[In Stock Date]]-Main[[#This Row],[Revised Due Date]],"")</f>
        <v/>
      </c>
      <c r="I323" s="65" t="s">
        <v>4</v>
      </c>
      <c r="J323" s="65" t="s">
        <v>4</v>
      </c>
      <c r="K323" s="65" t="s">
        <v>4</v>
      </c>
      <c r="L323" s="67"/>
      <c r="M323" s="69" t="str">
        <f>IF(Main[[#This Row],[Tech Start Date]]&lt;1/1/1990,"",IF(Main[[#This Row],[Class]]="C",WORKDAY(Main[[#This Row],[Tech Start Date]],9),IF(Main[[#This Row],[Class]]="B", WORKDAY(Main[[#This Row],[Tech Start Date]],6),IF(Main[[#This Row],[Class]]="A",WORKDAY(Main[[#This Row],[Tech Start Date]],2),""))))</f>
        <v/>
      </c>
      <c r="N323" s="69" t="str">
        <f>IF(Main[[#This Row],[Tech Start Date]]&lt;1/1/1990,"",IF(Main[[#This Row],[Class]]="C",WORKDAY(Main[[#This Row],[Tech Start Date]],19),IF(Main[[#This Row],[Class]]="B", WORKDAY(Main[[#This Row],[Tech Start Date]],12),IF(Main[[#This Row],[Class]]="A",WORKDAY(Main[[#This Row],[Tech Start Date]],4),""))))</f>
        <v/>
      </c>
      <c r="O323" s="69" t="str">
        <f>IF(Main[[#This Row],[Tech Start Date]]&lt;1/1/1990,"",IF(Main[[#This Row],[Class]]="C",WORKDAY(Main[[#This Row],[Tech Start Date]],23),IF(Main[[#This Row],[Class]]="B", WORKDAY(Main[[#This Row],[Tech Start Date]],15),IF(Main[[#This Row],[Class]]="A",WORKDAY(Main[[#This Row],[Tech Start Date]],5),""))))</f>
        <v/>
      </c>
      <c r="P323" s="69" t="str">
        <f>IF(Main[[#This Row],[Tech Start Date]]&lt;1/1/1990,"",IF(Main[[#This Row],[Class]]="C",WORKDAY(Main[[#This Row],[Tech Start Date]],28),IF(Main[[#This Row],[Class]]="B", WORKDAY(Main[[#This Row],[Tech Start Date]],19),IF(Main[[#This Row],[Class]]="A",WORKDAY(Main[[#This Row],[Tech Start Date]],9),""))))</f>
        <v/>
      </c>
      <c r="Q323" s="67"/>
      <c r="R323" s="67"/>
      <c r="S323" s="65" t="s">
        <v>11</v>
      </c>
      <c r="T323" s="70" t="s">
        <v>4</v>
      </c>
      <c r="U323" s="65" t="s">
        <v>14</v>
      </c>
      <c r="V323" s="65" t="s">
        <v>1915</v>
      </c>
      <c r="W323" s="65" t="s">
        <v>1922</v>
      </c>
      <c r="X323" s="65" t="s">
        <v>2827</v>
      </c>
      <c r="Y323" s="65" t="s">
        <v>2948</v>
      </c>
      <c r="Z323" s="65" t="s">
        <v>4</v>
      </c>
      <c r="AA323" s="65" t="s">
        <v>2827</v>
      </c>
    </row>
    <row r="324" spans="1:27" ht="17.45" hidden="1" customHeight="1">
      <c r="A324" s="100" t="str">
        <f>IF(priority(Main[[#This Row],[Comments]])&lt;&gt;0, priority(Main[[#This Row],[Comments]]),"")</f>
        <v/>
      </c>
      <c r="B324" s="77" t="s">
        <v>1282</v>
      </c>
      <c r="C324" s="65" t="s">
        <v>211</v>
      </c>
      <c r="D324" s="66" t="s">
        <v>356</v>
      </c>
      <c r="E324" s="67"/>
      <c r="F324" s="67">
        <v>40087</v>
      </c>
      <c r="G324" s="64" t="str">
        <f>IF(stdProdLT(Main[[#This Row],[Comments]])=0.1,"N/A",IF(stdProdLT(Main[[#This Row],[Comments]])=0,"",stdProdLT(Main[[#This Row],[Comments]])))</f>
        <v/>
      </c>
      <c r="H324" s="68" t="str">
        <f>IF(AND(Main[[#This Row],[In Stock Date]]&lt;&gt;"",Main[[#This Row],[Revised Due Date]]&lt;&gt;""),Main[[#This Row],[In Stock Date]]-Main[[#This Row],[Revised Due Date]],"")</f>
        <v/>
      </c>
      <c r="I324" s="65" t="s">
        <v>4</v>
      </c>
      <c r="J324" s="65" t="s">
        <v>4</v>
      </c>
      <c r="K324" s="65" t="s">
        <v>4</v>
      </c>
      <c r="L324" s="67"/>
      <c r="M324" s="69" t="str">
        <f>IF(Main[[#This Row],[Tech Start Date]]&lt;1/1/1990,"",IF(Main[[#This Row],[Class]]="C",WORKDAY(Main[[#This Row],[Tech Start Date]],9),IF(Main[[#This Row],[Class]]="B", WORKDAY(Main[[#This Row],[Tech Start Date]],6),IF(Main[[#This Row],[Class]]="A",WORKDAY(Main[[#This Row],[Tech Start Date]],2),""))))</f>
        <v/>
      </c>
      <c r="N324" s="69" t="str">
        <f>IF(Main[[#This Row],[Tech Start Date]]&lt;1/1/1990,"",IF(Main[[#This Row],[Class]]="C",WORKDAY(Main[[#This Row],[Tech Start Date]],19),IF(Main[[#This Row],[Class]]="B", WORKDAY(Main[[#This Row],[Tech Start Date]],12),IF(Main[[#This Row],[Class]]="A",WORKDAY(Main[[#This Row],[Tech Start Date]],4),""))))</f>
        <v/>
      </c>
      <c r="O324" s="69" t="str">
        <f>IF(Main[[#This Row],[Tech Start Date]]&lt;1/1/1990,"",IF(Main[[#This Row],[Class]]="C",WORKDAY(Main[[#This Row],[Tech Start Date]],23),IF(Main[[#This Row],[Class]]="B", WORKDAY(Main[[#This Row],[Tech Start Date]],15),IF(Main[[#This Row],[Class]]="A",WORKDAY(Main[[#This Row],[Tech Start Date]],5),""))))</f>
        <v/>
      </c>
      <c r="P324" s="69" t="str">
        <f>IF(Main[[#This Row],[Tech Start Date]]&lt;1/1/1990,"",IF(Main[[#This Row],[Class]]="C",WORKDAY(Main[[#This Row],[Tech Start Date]],28),IF(Main[[#This Row],[Class]]="B", WORKDAY(Main[[#This Row],[Tech Start Date]],19),IF(Main[[#This Row],[Class]]="A",WORKDAY(Main[[#This Row],[Tech Start Date]],9),""))))</f>
        <v/>
      </c>
      <c r="Q324" s="67">
        <v>39891</v>
      </c>
      <c r="R324" s="67"/>
      <c r="S324" s="65" t="s">
        <v>11</v>
      </c>
      <c r="T324" s="70" t="s">
        <v>4</v>
      </c>
      <c r="U324" s="65" t="s">
        <v>12</v>
      </c>
      <c r="V324" s="65" t="s">
        <v>1914</v>
      </c>
      <c r="W324" s="65" t="s">
        <v>1919</v>
      </c>
      <c r="X324" s="65" t="s">
        <v>2833</v>
      </c>
      <c r="Y324" s="65" t="s">
        <v>4</v>
      </c>
      <c r="Z324" s="65" t="s">
        <v>4</v>
      </c>
      <c r="AA324" s="65" t="s">
        <v>2833</v>
      </c>
    </row>
    <row r="325" spans="1:27" ht="17.45" hidden="1" customHeight="1">
      <c r="A325" s="100" t="str">
        <f>IF(priority(Main[[#This Row],[Comments]])&lt;&gt;0, priority(Main[[#This Row],[Comments]]),"")</f>
        <v/>
      </c>
      <c r="B325" s="77" t="s">
        <v>1284</v>
      </c>
      <c r="C325" s="65" t="s">
        <v>211</v>
      </c>
      <c r="D325" s="66" t="s">
        <v>357</v>
      </c>
      <c r="E325" s="67"/>
      <c r="F325" s="67">
        <v>40087</v>
      </c>
      <c r="G325" s="64" t="str">
        <f>IF(stdProdLT(Main[[#This Row],[Comments]])=0.1,"N/A",IF(stdProdLT(Main[[#This Row],[Comments]])=0,"",stdProdLT(Main[[#This Row],[Comments]])))</f>
        <v/>
      </c>
      <c r="H325" s="68" t="str">
        <f>IF(AND(Main[[#This Row],[In Stock Date]]&lt;&gt;"",Main[[#This Row],[Revised Due Date]]&lt;&gt;""),Main[[#This Row],[In Stock Date]]-Main[[#This Row],[Revised Due Date]],"")</f>
        <v/>
      </c>
      <c r="I325" s="65" t="s">
        <v>4</v>
      </c>
      <c r="J325" s="65" t="s">
        <v>4</v>
      </c>
      <c r="K325" s="65" t="s">
        <v>4</v>
      </c>
      <c r="L325" s="67"/>
      <c r="M325" s="69" t="str">
        <f>IF(Main[[#This Row],[Tech Start Date]]&lt;1/1/1990,"",IF(Main[[#This Row],[Class]]="C",WORKDAY(Main[[#This Row],[Tech Start Date]],9),IF(Main[[#This Row],[Class]]="B", WORKDAY(Main[[#This Row],[Tech Start Date]],6),IF(Main[[#This Row],[Class]]="A",WORKDAY(Main[[#This Row],[Tech Start Date]],2),""))))</f>
        <v/>
      </c>
      <c r="N325" s="69" t="str">
        <f>IF(Main[[#This Row],[Tech Start Date]]&lt;1/1/1990,"",IF(Main[[#This Row],[Class]]="C",WORKDAY(Main[[#This Row],[Tech Start Date]],19),IF(Main[[#This Row],[Class]]="B", WORKDAY(Main[[#This Row],[Tech Start Date]],12),IF(Main[[#This Row],[Class]]="A",WORKDAY(Main[[#This Row],[Tech Start Date]],4),""))))</f>
        <v/>
      </c>
      <c r="O325" s="69" t="str">
        <f>IF(Main[[#This Row],[Tech Start Date]]&lt;1/1/1990,"",IF(Main[[#This Row],[Class]]="C",WORKDAY(Main[[#This Row],[Tech Start Date]],23),IF(Main[[#This Row],[Class]]="B", WORKDAY(Main[[#This Row],[Tech Start Date]],15),IF(Main[[#This Row],[Class]]="A",WORKDAY(Main[[#This Row],[Tech Start Date]],5),""))))</f>
        <v/>
      </c>
      <c r="P325" s="69" t="str">
        <f>IF(Main[[#This Row],[Tech Start Date]]&lt;1/1/1990,"",IF(Main[[#This Row],[Class]]="C",WORKDAY(Main[[#This Row],[Tech Start Date]],28),IF(Main[[#This Row],[Class]]="B", WORKDAY(Main[[#This Row],[Tech Start Date]],19),IF(Main[[#This Row],[Class]]="A",WORKDAY(Main[[#This Row],[Tech Start Date]],9),""))))</f>
        <v/>
      </c>
      <c r="Q325" s="67">
        <v>39891</v>
      </c>
      <c r="R325" s="67"/>
      <c r="S325" s="65" t="s">
        <v>11</v>
      </c>
      <c r="T325" s="70" t="s">
        <v>4</v>
      </c>
      <c r="U325" s="65" t="s">
        <v>12</v>
      </c>
      <c r="V325" s="65" t="s">
        <v>1914</v>
      </c>
      <c r="W325" s="65" t="s">
        <v>1919</v>
      </c>
      <c r="X325" s="65" t="s">
        <v>2833</v>
      </c>
      <c r="Y325" s="65" t="s">
        <v>4</v>
      </c>
      <c r="Z325" s="65" t="s">
        <v>4</v>
      </c>
      <c r="AA325" s="65" t="s">
        <v>2833</v>
      </c>
    </row>
    <row r="326" spans="1:27" ht="17.45" hidden="1" customHeight="1">
      <c r="A326" s="100" t="str">
        <f>IF(priority(Main[[#This Row],[Comments]])&lt;&gt;0, priority(Main[[#This Row],[Comments]]),"")</f>
        <v/>
      </c>
      <c r="B326" s="77" t="s">
        <v>2712</v>
      </c>
      <c r="C326" s="65" t="s">
        <v>4</v>
      </c>
      <c r="D326" s="66" t="s">
        <v>2713</v>
      </c>
      <c r="E326" s="67"/>
      <c r="F326" s="67"/>
      <c r="G326" s="64" t="str">
        <f>IF(stdProdLT(Main[[#This Row],[Comments]])=0.1,"N/A",IF(stdProdLT(Main[[#This Row],[Comments]])=0,"",stdProdLT(Main[[#This Row],[Comments]])))</f>
        <v/>
      </c>
      <c r="H326" s="68" t="str">
        <f>IF(AND(Main[[#This Row],[In Stock Date]]&lt;&gt;"",Main[[#This Row],[Revised Due Date]]&lt;&gt;""),Main[[#This Row],[In Stock Date]]-Main[[#This Row],[Revised Due Date]],"")</f>
        <v/>
      </c>
      <c r="I326" s="65" t="s">
        <v>4</v>
      </c>
      <c r="J326" s="65" t="s">
        <v>4</v>
      </c>
      <c r="K326" s="65" t="s">
        <v>4</v>
      </c>
      <c r="L326" s="67"/>
      <c r="M326" s="69" t="str">
        <f>IF(Main[[#This Row],[Tech Start Date]]&lt;1/1/1990,"",IF(Main[[#This Row],[Class]]="C",WORKDAY(Main[[#This Row],[Tech Start Date]],9),IF(Main[[#This Row],[Class]]="B", WORKDAY(Main[[#This Row],[Tech Start Date]],6),IF(Main[[#This Row],[Class]]="A",WORKDAY(Main[[#This Row],[Tech Start Date]],2),""))))</f>
        <v/>
      </c>
      <c r="N326" s="69" t="str">
        <f>IF(Main[[#This Row],[Tech Start Date]]&lt;1/1/1990,"",IF(Main[[#This Row],[Class]]="C",WORKDAY(Main[[#This Row],[Tech Start Date]],19),IF(Main[[#This Row],[Class]]="B", WORKDAY(Main[[#This Row],[Tech Start Date]],12),IF(Main[[#This Row],[Class]]="A",WORKDAY(Main[[#This Row],[Tech Start Date]],4),""))))</f>
        <v/>
      </c>
      <c r="O326" s="69" t="str">
        <f>IF(Main[[#This Row],[Tech Start Date]]&lt;1/1/1990,"",IF(Main[[#This Row],[Class]]="C",WORKDAY(Main[[#This Row],[Tech Start Date]],23),IF(Main[[#This Row],[Class]]="B", WORKDAY(Main[[#This Row],[Tech Start Date]],15),IF(Main[[#This Row],[Class]]="A",WORKDAY(Main[[#This Row],[Tech Start Date]],5),""))))</f>
        <v/>
      </c>
      <c r="P326" s="69" t="str">
        <f>IF(Main[[#This Row],[Tech Start Date]]&lt;1/1/1990,"",IF(Main[[#This Row],[Class]]="C",WORKDAY(Main[[#This Row],[Tech Start Date]],28),IF(Main[[#This Row],[Class]]="B", WORKDAY(Main[[#This Row],[Tech Start Date]],19),IF(Main[[#This Row],[Class]]="A",WORKDAY(Main[[#This Row],[Tech Start Date]],9),""))))</f>
        <v/>
      </c>
      <c r="Q326" s="67">
        <v>40896</v>
      </c>
      <c r="R326" s="67"/>
      <c r="S326" s="65" t="s">
        <v>17</v>
      </c>
      <c r="T326" s="70" t="s">
        <v>4</v>
      </c>
      <c r="U326" s="65" t="s">
        <v>14</v>
      </c>
      <c r="V326" s="65" t="s">
        <v>1917</v>
      </c>
      <c r="W326" s="65" t="s">
        <v>1922</v>
      </c>
      <c r="X326" s="65" t="s">
        <v>2879</v>
      </c>
      <c r="Y326" s="65" t="s">
        <v>3027</v>
      </c>
      <c r="Z326" s="65" t="s">
        <v>4</v>
      </c>
      <c r="AA326" s="65" t="s">
        <v>2879</v>
      </c>
    </row>
    <row r="327" spans="1:27" ht="17.45" hidden="1" customHeight="1">
      <c r="A327" s="101" t="str">
        <f>IF(priority(Main[[#This Row],[Comments]])&lt;&gt;0, priority(Main[[#This Row],[Comments]]),"")</f>
        <v/>
      </c>
      <c r="B327" s="102" t="s">
        <v>1285</v>
      </c>
      <c r="C327" s="103" t="s">
        <v>33</v>
      </c>
      <c r="D327" s="104" t="s">
        <v>359</v>
      </c>
      <c r="E327" s="105"/>
      <c r="F327" s="105"/>
      <c r="G327" s="106" t="str">
        <f>IF(stdProdLT(Main[[#This Row],[Comments]])=0.1,"N/A",IF(stdProdLT(Main[[#This Row],[Comments]])=0,"",stdProdLT(Main[[#This Row],[Comments]])))</f>
        <v/>
      </c>
      <c r="H327" s="107" t="str">
        <f>IF(AND(Main[[#This Row],[In Stock Date]]&lt;&gt;"",Main[[#This Row],[Revised Due Date]]&lt;&gt;""),Main[[#This Row],[In Stock Date]]-Main[[#This Row],[Revised Due Date]],"")</f>
        <v/>
      </c>
      <c r="I327" s="103" t="s">
        <v>4</v>
      </c>
      <c r="J327" s="103" t="s">
        <v>4</v>
      </c>
      <c r="K327" s="103" t="s">
        <v>4</v>
      </c>
      <c r="L327" s="105"/>
      <c r="M327" s="108" t="str">
        <f>IF(Main[[#This Row],[Tech Start Date]]&lt;1/1/1990,"",IF(Main[[#This Row],[Class]]="C",WORKDAY(Main[[#This Row],[Tech Start Date]],9),IF(Main[[#This Row],[Class]]="B", WORKDAY(Main[[#This Row],[Tech Start Date]],6),IF(Main[[#This Row],[Class]]="A",WORKDAY(Main[[#This Row],[Tech Start Date]],2),""))))</f>
        <v/>
      </c>
      <c r="N327" s="108" t="str">
        <f>IF(Main[[#This Row],[Tech Start Date]]&lt;1/1/1990,"",IF(Main[[#This Row],[Class]]="C",WORKDAY(Main[[#This Row],[Tech Start Date]],19),IF(Main[[#This Row],[Class]]="B", WORKDAY(Main[[#This Row],[Tech Start Date]],12),IF(Main[[#This Row],[Class]]="A",WORKDAY(Main[[#This Row],[Tech Start Date]],4),""))))</f>
        <v/>
      </c>
      <c r="O327" s="108" t="str">
        <f>IF(Main[[#This Row],[Tech Start Date]]&lt;1/1/1990,"",IF(Main[[#This Row],[Class]]="C",WORKDAY(Main[[#This Row],[Tech Start Date]],23),IF(Main[[#This Row],[Class]]="B", WORKDAY(Main[[#This Row],[Tech Start Date]],15),IF(Main[[#This Row],[Class]]="A",WORKDAY(Main[[#This Row],[Tech Start Date]],5),""))))</f>
        <v/>
      </c>
      <c r="P327" s="108" t="str">
        <f>IF(Main[[#This Row],[Tech Start Date]]&lt;1/1/1990,"",IF(Main[[#This Row],[Class]]="C",WORKDAY(Main[[#This Row],[Tech Start Date]],28),IF(Main[[#This Row],[Class]]="B", WORKDAY(Main[[#This Row],[Tech Start Date]],19),IF(Main[[#This Row],[Class]]="A",WORKDAY(Main[[#This Row],[Tech Start Date]],9),""))))</f>
        <v/>
      </c>
      <c r="Q327" s="105"/>
      <c r="R327" s="105"/>
      <c r="S327" s="103" t="s">
        <v>11</v>
      </c>
      <c r="T327" s="109" t="s">
        <v>4</v>
      </c>
      <c r="U327" s="103" t="s">
        <v>14</v>
      </c>
      <c r="V327" s="103" t="s">
        <v>1915</v>
      </c>
      <c r="W327" s="103" t="s">
        <v>1922</v>
      </c>
      <c r="X327" s="103" t="s">
        <v>2827</v>
      </c>
      <c r="Y327" s="103" t="s">
        <v>2948</v>
      </c>
      <c r="Z327" s="103" t="s">
        <v>4</v>
      </c>
      <c r="AA327" s="103" t="s">
        <v>2827</v>
      </c>
    </row>
    <row r="328" spans="1:27" ht="17.45" hidden="1" customHeight="1">
      <c r="A328" s="100" t="str">
        <f>IF(priority(Main[[#This Row],[Comments]])&lt;&gt;0, priority(Main[[#This Row],[Comments]]),"")</f>
        <v/>
      </c>
      <c r="B328" s="77" t="s">
        <v>1286</v>
      </c>
      <c r="C328" s="65" t="s">
        <v>33</v>
      </c>
      <c r="D328" s="66" t="s">
        <v>360</v>
      </c>
      <c r="E328" s="67"/>
      <c r="F328" s="67"/>
      <c r="G328" s="64" t="str">
        <f>IF(stdProdLT(Main[[#This Row],[Comments]])=0.1,"N/A",IF(stdProdLT(Main[[#This Row],[Comments]])=0,"",stdProdLT(Main[[#This Row],[Comments]])))</f>
        <v/>
      </c>
      <c r="H328" s="68" t="str">
        <f>IF(AND(Main[[#This Row],[In Stock Date]]&lt;&gt;"",Main[[#This Row],[Revised Due Date]]&lt;&gt;""),Main[[#This Row],[In Stock Date]]-Main[[#This Row],[Revised Due Date]],"")</f>
        <v/>
      </c>
      <c r="I328" s="65" t="s">
        <v>4</v>
      </c>
      <c r="J328" s="65" t="s">
        <v>4</v>
      </c>
      <c r="K328" s="65" t="s">
        <v>4</v>
      </c>
      <c r="L328" s="67"/>
      <c r="M328" s="69" t="str">
        <f>IF(Main[[#This Row],[Tech Start Date]]&lt;1/1/1990,"",IF(Main[[#This Row],[Class]]="C",WORKDAY(Main[[#This Row],[Tech Start Date]],9),IF(Main[[#This Row],[Class]]="B", WORKDAY(Main[[#This Row],[Tech Start Date]],6),IF(Main[[#This Row],[Class]]="A",WORKDAY(Main[[#This Row],[Tech Start Date]],2),""))))</f>
        <v/>
      </c>
      <c r="N328" s="69" t="str">
        <f>IF(Main[[#This Row],[Tech Start Date]]&lt;1/1/1990,"",IF(Main[[#This Row],[Class]]="C",WORKDAY(Main[[#This Row],[Tech Start Date]],19),IF(Main[[#This Row],[Class]]="B", WORKDAY(Main[[#This Row],[Tech Start Date]],12),IF(Main[[#This Row],[Class]]="A",WORKDAY(Main[[#This Row],[Tech Start Date]],4),""))))</f>
        <v/>
      </c>
      <c r="O328" s="69" t="str">
        <f>IF(Main[[#This Row],[Tech Start Date]]&lt;1/1/1990,"",IF(Main[[#This Row],[Class]]="C",WORKDAY(Main[[#This Row],[Tech Start Date]],23),IF(Main[[#This Row],[Class]]="B", WORKDAY(Main[[#This Row],[Tech Start Date]],15),IF(Main[[#This Row],[Class]]="A",WORKDAY(Main[[#This Row],[Tech Start Date]],5),""))))</f>
        <v/>
      </c>
      <c r="P328" s="69" t="str">
        <f>IF(Main[[#This Row],[Tech Start Date]]&lt;1/1/1990,"",IF(Main[[#This Row],[Class]]="C",WORKDAY(Main[[#This Row],[Tech Start Date]],28),IF(Main[[#This Row],[Class]]="B", WORKDAY(Main[[#This Row],[Tech Start Date]],19),IF(Main[[#This Row],[Class]]="A",WORKDAY(Main[[#This Row],[Tech Start Date]],9),""))))</f>
        <v/>
      </c>
      <c r="Q328" s="67"/>
      <c r="R328" s="67"/>
      <c r="S328" s="65" t="s">
        <v>11</v>
      </c>
      <c r="T328" s="70" t="s">
        <v>4</v>
      </c>
      <c r="U328" s="65" t="s">
        <v>14</v>
      </c>
      <c r="V328" s="65" t="s">
        <v>1915</v>
      </c>
      <c r="W328" s="65" t="s">
        <v>1922</v>
      </c>
      <c r="X328" s="65" t="s">
        <v>2827</v>
      </c>
      <c r="Y328" s="65" t="s">
        <v>2948</v>
      </c>
      <c r="Z328" s="65" t="s">
        <v>4</v>
      </c>
      <c r="AA328" s="65" t="s">
        <v>2827</v>
      </c>
    </row>
    <row r="329" spans="1:27" ht="17.45" hidden="1" customHeight="1">
      <c r="A329" s="100" t="str">
        <f>IF(priority(Main[[#This Row],[Comments]])&lt;&gt;0, priority(Main[[#This Row],[Comments]]),"")</f>
        <v/>
      </c>
      <c r="B329" s="77" t="s">
        <v>1287</v>
      </c>
      <c r="C329" s="65" t="s">
        <v>361</v>
      </c>
      <c r="D329" s="66" t="s">
        <v>362</v>
      </c>
      <c r="E329" s="67"/>
      <c r="F329" s="67"/>
      <c r="G329" s="64" t="str">
        <f>IF(stdProdLT(Main[[#This Row],[Comments]])=0.1,"N/A",IF(stdProdLT(Main[[#This Row],[Comments]])=0,"",stdProdLT(Main[[#This Row],[Comments]])))</f>
        <v/>
      </c>
      <c r="H329" s="68" t="str">
        <f>IF(AND(Main[[#This Row],[In Stock Date]]&lt;&gt;"",Main[[#This Row],[Revised Due Date]]&lt;&gt;""),Main[[#This Row],[In Stock Date]]-Main[[#This Row],[Revised Due Date]],"")</f>
        <v/>
      </c>
      <c r="I329" s="65" t="s">
        <v>4</v>
      </c>
      <c r="J329" s="65" t="s">
        <v>4</v>
      </c>
      <c r="K329" s="65" t="s">
        <v>4</v>
      </c>
      <c r="L329" s="67"/>
      <c r="M329" s="69" t="str">
        <f>IF(Main[[#This Row],[Tech Start Date]]&lt;1/1/1990,"",IF(Main[[#This Row],[Class]]="C",WORKDAY(Main[[#This Row],[Tech Start Date]],9),IF(Main[[#This Row],[Class]]="B", WORKDAY(Main[[#This Row],[Tech Start Date]],6),IF(Main[[#This Row],[Class]]="A",WORKDAY(Main[[#This Row],[Tech Start Date]],2),""))))</f>
        <v/>
      </c>
      <c r="N329" s="69" t="str">
        <f>IF(Main[[#This Row],[Tech Start Date]]&lt;1/1/1990,"",IF(Main[[#This Row],[Class]]="C",WORKDAY(Main[[#This Row],[Tech Start Date]],19),IF(Main[[#This Row],[Class]]="B", WORKDAY(Main[[#This Row],[Tech Start Date]],12),IF(Main[[#This Row],[Class]]="A",WORKDAY(Main[[#This Row],[Tech Start Date]],4),""))))</f>
        <v/>
      </c>
      <c r="O329" s="69" t="str">
        <f>IF(Main[[#This Row],[Tech Start Date]]&lt;1/1/1990,"",IF(Main[[#This Row],[Class]]="C",WORKDAY(Main[[#This Row],[Tech Start Date]],23),IF(Main[[#This Row],[Class]]="B", WORKDAY(Main[[#This Row],[Tech Start Date]],15),IF(Main[[#This Row],[Class]]="A",WORKDAY(Main[[#This Row],[Tech Start Date]],5),""))))</f>
        <v/>
      </c>
      <c r="P329" s="69" t="str">
        <f>IF(Main[[#This Row],[Tech Start Date]]&lt;1/1/1990,"",IF(Main[[#This Row],[Class]]="C",WORKDAY(Main[[#This Row],[Tech Start Date]],28),IF(Main[[#This Row],[Class]]="B", WORKDAY(Main[[#This Row],[Tech Start Date]],19),IF(Main[[#This Row],[Class]]="A",WORKDAY(Main[[#This Row],[Tech Start Date]],9),""))))</f>
        <v/>
      </c>
      <c r="Q329" s="67"/>
      <c r="R329" s="67"/>
      <c r="S329" s="65" t="s">
        <v>11</v>
      </c>
      <c r="T329" s="70" t="s">
        <v>4</v>
      </c>
      <c r="U329" s="65" t="s">
        <v>14</v>
      </c>
      <c r="V329" s="65" t="s">
        <v>1915</v>
      </c>
      <c r="W329" s="65" t="s">
        <v>1922</v>
      </c>
      <c r="X329" s="65" t="s">
        <v>2827</v>
      </c>
      <c r="Y329" s="65" t="s">
        <v>2948</v>
      </c>
      <c r="Z329" s="65" t="s">
        <v>4</v>
      </c>
      <c r="AA329" s="65" t="s">
        <v>2827</v>
      </c>
    </row>
    <row r="330" spans="1:27" ht="17.45" hidden="1" customHeight="1">
      <c r="A330" s="100" t="str">
        <f>IF(priority(Main[[#This Row],[Comments]])&lt;&gt;0, priority(Main[[#This Row],[Comments]]),"")</f>
        <v/>
      </c>
      <c r="B330" s="77" t="s">
        <v>1288</v>
      </c>
      <c r="C330" s="65" t="s">
        <v>363</v>
      </c>
      <c r="D330" s="66" t="s">
        <v>364</v>
      </c>
      <c r="E330" s="67"/>
      <c r="F330" s="67"/>
      <c r="G330" s="64" t="str">
        <f>IF(stdProdLT(Main[[#This Row],[Comments]])=0.1,"N/A",IF(stdProdLT(Main[[#This Row],[Comments]])=0,"",stdProdLT(Main[[#This Row],[Comments]])))</f>
        <v/>
      </c>
      <c r="H330" s="68" t="str">
        <f>IF(AND(Main[[#This Row],[In Stock Date]]&lt;&gt;"",Main[[#This Row],[Revised Due Date]]&lt;&gt;""),Main[[#This Row],[In Stock Date]]-Main[[#This Row],[Revised Due Date]],"")</f>
        <v/>
      </c>
      <c r="I330" s="65" t="s">
        <v>4</v>
      </c>
      <c r="J330" s="65" t="s">
        <v>4</v>
      </c>
      <c r="K330" s="65" t="s">
        <v>4</v>
      </c>
      <c r="L330" s="67"/>
      <c r="M330" s="69" t="str">
        <f>IF(Main[[#This Row],[Tech Start Date]]&lt;1/1/1990,"",IF(Main[[#This Row],[Class]]="C",WORKDAY(Main[[#This Row],[Tech Start Date]],9),IF(Main[[#This Row],[Class]]="B", WORKDAY(Main[[#This Row],[Tech Start Date]],6),IF(Main[[#This Row],[Class]]="A",WORKDAY(Main[[#This Row],[Tech Start Date]],2),""))))</f>
        <v/>
      </c>
      <c r="N330" s="69" t="str">
        <f>IF(Main[[#This Row],[Tech Start Date]]&lt;1/1/1990,"",IF(Main[[#This Row],[Class]]="C",WORKDAY(Main[[#This Row],[Tech Start Date]],19),IF(Main[[#This Row],[Class]]="B", WORKDAY(Main[[#This Row],[Tech Start Date]],12),IF(Main[[#This Row],[Class]]="A",WORKDAY(Main[[#This Row],[Tech Start Date]],4),""))))</f>
        <v/>
      </c>
      <c r="O330" s="69" t="str">
        <f>IF(Main[[#This Row],[Tech Start Date]]&lt;1/1/1990,"",IF(Main[[#This Row],[Class]]="C",WORKDAY(Main[[#This Row],[Tech Start Date]],23),IF(Main[[#This Row],[Class]]="B", WORKDAY(Main[[#This Row],[Tech Start Date]],15),IF(Main[[#This Row],[Class]]="A",WORKDAY(Main[[#This Row],[Tech Start Date]],5),""))))</f>
        <v/>
      </c>
      <c r="P330" s="69" t="str">
        <f>IF(Main[[#This Row],[Tech Start Date]]&lt;1/1/1990,"",IF(Main[[#This Row],[Class]]="C",WORKDAY(Main[[#This Row],[Tech Start Date]],28),IF(Main[[#This Row],[Class]]="B", WORKDAY(Main[[#This Row],[Tech Start Date]],19),IF(Main[[#This Row],[Class]]="A",WORKDAY(Main[[#This Row],[Tech Start Date]],9),""))))</f>
        <v/>
      </c>
      <c r="Q330" s="67"/>
      <c r="R330" s="67"/>
      <c r="S330" s="65" t="s">
        <v>11</v>
      </c>
      <c r="T330" s="70" t="s">
        <v>4</v>
      </c>
      <c r="U330" s="65" t="s">
        <v>14</v>
      </c>
      <c r="V330" s="65" t="s">
        <v>1915</v>
      </c>
      <c r="W330" s="65" t="s">
        <v>1922</v>
      </c>
      <c r="X330" s="65" t="s">
        <v>2827</v>
      </c>
      <c r="Y330" s="65" t="s">
        <v>2948</v>
      </c>
      <c r="Z330" s="65" t="s">
        <v>4</v>
      </c>
      <c r="AA330" s="65" t="s">
        <v>2827</v>
      </c>
    </row>
    <row r="331" spans="1:27" ht="17.45" hidden="1" customHeight="1">
      <c r="A331" s="100" t="str">
        <f>IF(priority(Main[[#This Row],[Comments]])&lt;&gt;0, priority(Main[[#This Row],[Comments]]),"")</f>
        <v/>
      </c>
      <c r="B331" s="77" t="s">
        <v>1289</v>
      </c>
      <c r="C331" s="65" t="s">
        <v>365</v>
      </c>
      <c r="D331" s="66" t="s">
        <v>366</v>
      </c>
      <c r="E331" s="67"/>
      <c r="F331" s="67"/>
      <c r="G331" s="64" t="str">
        <f>IF(stdProdLT(Main[[#This Row],[Comments]])=0.1,"N/A",IF(stdProdLT(Main[[#This Row],[Comments]])=0,"",stdProdLT(Main[[#This Row],[Comments]])))</f>
        <v/>
      </c>
      <c r="H331" s="68" t="str">
        <f>IF(AND(Main[[#This Row],[In Stock Date]]&lt;&gt;"",Main[[#This Row],[Revised Due Date]]&lt;&gt;""),Main[[#This Row],[In Stock Date]]-Main[[#This Row],[Revised Due Date]],"")</f>
        <v/>
      </c>
      <c r="I331" s="65" t="s">
        <v>4</v>
      </c>
      <c r="J331" s="65" t="s">
        <v>4</v>
      </c>
      <c r="K331" s="65" t="s">
        <v>4</v>
      </c>
      <c r="L331" s="67"/>
      <c r="M331" s="69" t="str">
        <f>IF(Main[[#This Row],[Tech Start Date]]&lt;1/1/1990,"",IF(Main[[#This Row],[Class]]="C",WORKDAY(Main[[#This Row],[Tech Start Date]],9),IF(Main[[#This Row],[Class]]="B", WORKDAY(Main[[#This Row],[Tech Start Date]],6),IF(Main[[#This Row],[Class]]="A",WORKDAY(Main[[#This Row],[Tech Start Date]],2),""))))</f>
        <v/>
      </c>
      <c r="N331" s="69" t="str">
        <f>IF(Main[[#This Row],[Tech Start Date]]&lt;1/1/1990,"",IF(Main[[#This Row],[Class]]="C",WORKDAY(Main[[#This Row],[Tech Start Date]],19),IF(Main[[#This Row],[Class]]="B", WORKDAY(Main[[#This Row],[Tech Start Date]],12),IF(Main[[#This Row],[Class]]="A",WORKDAY(Main[[#This Row],[Tech Start Date]],4),""))))</f>
        <v/>
      </c>
      <c r="O331" s="69" t="str">
        <f>IF(Main[[#This Row],[Tech Start Date]]&lt;1/1/1990,"",IF(Main[[#This Row],[Class]]="C",WORKDAY(Main[[#This Row],[Tech Start Date]],23),IF(Main[[#This Row],[Class]]="B", WORKDAY(Main[[#This Row],[Tech Start Date]],15),IF(Main[[#This Row],[Class]]="A",WORKDAY(Main[[#This Row],[Tech Start Date]],5),""))))</f>
        <v/>
      </c>
      <c r="P331" s="69" t="str">
        <f>IF(Main[[#This Row],[Tech Start Date]]&lt;1/1/1990,"",IF(Main[[#This Row],[Class]]="C",WORKDAY(Main[[#This Row],[Tech Start Date]],28),IF(Main[[#This Row],[Class]]="B", WORKDAY(Main[[#This Row],[Tech Start Date]],19),IF(Main[[#This Row],[Class]]="A",WORKDAY(Main[[#This Row],[Tech Start Date]],9),""))))</f>
        <v/>
      </c>
      <c r="Q331" s="67"/>
      <c r="R331" s="67"/>
      <c r="S331" s="65" t="s">
        <v>11</v>
      </c>
      <c r="T331" s="70" t="s">
        <v>4</v>
      </c>
      <c r="U331" s="65" t="s">
        <v>14</v>
      </c>
      <c r="V331" s="65" t="s">
        <v>1915</v>
      </c>
      <c r="W331" s="65" t="s">
        <v>1922</v>
      </c>
      <c r="X331" s="65" t="s">
        <v>2827</v>
      </c>
      <c r="Y331" s="65" t="s">
        <v>2948</v>
      </c>
      <c r="Z331" s="65" t="s">
        <v>4</v>
      </c>
      <c r="AA331" s="65" t="s">
        <v>2827</v>
      </c>
    </row>
    <row r="332" spans="1:27" ht="17.45" hidden="1" customHeight="1">
      <c r="A332" s="100" t="str">
        <f>IF(priority(Main[[#This Row],[Comments]])&lt;&gt;0, priority(Main[[#This Row],[Comments]]),"")</f>
        <v/>
      </c>
      <c r="B332" s="77" t="s">
        <v>1290</v>
      </c>
      <c r="C332" s="65" t="s">
        <v>367</v>
      </c>
      <c r="D332" s="66" t="s">
        <v>368</v>
      </c>
      <c r="E332" s="67">
        <v>40210.419814814813</v>
      </c>
      <c r="F332" s="67">
        <v>40405</v>
      </c>
      <c r="G332" s="64" t="str">
        <f>IF(stdProdLT(Main[[#This Row],[Comments]])=0.1,"N/A",IF(stdProdLT(Main[[#This Row],[Comments]])=0,"",stdProdLT(Main[[#This Row],[Comments]])))</f>
        <v/>
      </c>
      <c r="H332" s="68" t="str">
        <f>IF(AND(Main[[#This Row],[In Stock Date]]&lt;&gt;"",Main[[#This Row],[Revised Due Date]]&lt;&gt;""),Main[[#This Row],[In Stock Date]]-Main[[#This Row],[Revised Due Date]],"")</f>
        <v/>
      </c>
      <c r="I332" s="65" t="s">
        <v>163</v>
      </c>
      <c r="J332" s="65" t="s">
        <v>4</v>
      </c>
      <c r="K332" s="65" t="s">
        <v>1926</v>
      </c>
      <c r="L332" s="67"/>
      <c r="M332" s="69" t="str">
        <f>IF(Main[[#This Row],[Tech Start Date]]&lt;1/1/1990,"",IF(Main[[#This Row],[Class]]="C",WORKDAY(Main[[#This Row],[Tech Start Date]],9),IF(Main[[#This Row],[Class]]="B", WORKDAY(Main[[#This Row],[Tech Start Date]],6),IF(Main[[#This Row],[Class]]="A",WORKDAY(Main[[#This Row],[Tech Start Date]],2),""))))</f>
        <v/>
      </c>
      <c r="N332" s="69" t="str">
        <f>IF(Main[[#This Row],[Tech Start Date]]&lt;1/1/1990,"",IF(Main[[#This Row],[Class]]="C",WORKDAY(Main[[#This Row],[Tech Start Date]],19),IF(Main[[#This Row],[Class]]="B", WORKDAY(Main[[#This Row],[Tech Start Date]],12),IF(Main[[#This Row],[Class]]="A",WORKDAY(Main[[#This Row],[Tech Start Date]],4),""))))</f>
        <v/>
      </c>
      <c r="O332" s="69" t="str">
        <f>IF(Main[[#This Row],[Tech Start Date]]&lt;1/1/1990,"",IF(Main[[#This Row],[Class]]="C",WORKDAY(Main[[#This Row],[Tech Start Date]],23),IF(Main[[#This Row],[Class]]="B", WORKDAY(Main[[#This Row],[Tech Start Date]],15),IF(Main[[#This Row],[Class]]="A",WORKDAY(Main[[#This Row],[Tech Start Date]],5),""))))</f>
        <v/>
      </c>
      <c r="P332" s="69" t="str">
        <f>IF(Main[[#This Row],[Tech Start Date]]&lt;1/1/1990,"",IF(Main[[#This Row],[Class]]="C",WORKDAY(Main[[#This Row],[Tech Start Date]],28),IF(Main[[#This Row],[Class]]="B", WORKDAY(Main[[#This Row],[Tech Start Date]],19),IF(Main[[#This Row],[Class]]="A",WORKDAY(Main[[#This Row],[Tech Start Date]],9),""))))</f>
        <v/>
      </c>
      <c r="Q332" s="67">
        <v>40223</v>
      </c>
      <c r="R332" s="67"/>
      <c r="S332" s="65" t="s">
        <v>17</v>
      </c>
      <c r="T332" s="70" t="s">
        <v>4</v>
      </c>
      <c r="U332" s="65" t="s">
        <v>29</v>
      </c>
      <c r="V332" s="65" t="s">
        <v>1917</v>
      </c>
      <c r="W332" s="65" t="s">
        <v>1919</v>
      </c>
      <c r="X332" s="65" t="s">
        <v>553</v>
      </c>
      <c r="Y332" s="65" t="s">
        <v>4</v>
      </c>
      <c r="Z332" s="65" t="s">
        <v>4</v>
      </c>
      <c r="AA332" s="65" t="s">
        <v>553</v>
      </c>
    </row>
    <row r="333" spans="1:27" ht="17.45" hidden="1" customHeight="1">
      <c r="A333" s="100" t="str">
        <f>IF(priority(Main[[#This Row],[Comments]])&lt;&gt;0, priority(Main[[#This Row],[Comments]]),"")</f>
        <v/>
      </c>
      <c r="B333" s="77" t="s">
        <v>1294</v>
      </c>
      <c r="C333" s="65" t="s">
        <v>4</v>
      </c>
      <c r="D333" s="66" t="s">
        <v>412</v>
      </c>
      <c r="E333" s="67"/>
      <c r="F333" s="67"/>
      <c r="G333" s="64" t="str">
        <f>IF(stdProdLT(Main[[#This Row],[Comments]])=0.1,"N/A",IF(stdProdLT(Main[[#This Row],[Comments]])=0,"",stdProdLT(Main[[#This Row],[Comments]])))</f>
        <v/>
      </c>
      <c r="H333" s="68" t="str">
        <f>IF(AND(Main[[#This Row],[In Stock Date]]&lt;&gt;"",Main[[#This Row],[Revised Due Date]]&lt;&gt;""),Main[[#This Row],[In Stock Date]]-Main[[#This Row],[Revised Due Date]],"")</f>
        <v/>
      </c>
      <c r="I333" s="65" t="s">
        <v>306</v>
      </c>
      <c r="J333" s="65" t="s">
        <v>75</v>
      </c>
      <c r="K333" s="65" t="s">
        <v>1923</v>
      </c>
      <c r="L333" s="67"/>
      <c r="M333" s="69" t="str">
        <f>IF(Main[[#This Row],[Tech Start Date]]&lt;1/1/1990,"",IF(Main[[#This Row],[Class]]="C",WORKDAY(Main[[#This Row],[Tech Start Date]],9),IF(Main[[#This Row],[Class]]="B", WORKDAY(Main[[#This Row],[Tech Start Date]],6),IF(Main[[#This Row],[Class]]="A",WORKDAY(Main[[#This Row],[Tech Start Date]],2),""))))</f>
        <v/>
      </c>
      <c r="N333" s="69" t="str">
        <f>IF(Main[[#This Row],[Tech Start Date]]&lt;1/1/1990,"",IF(Main[[#This Row],[Class]]="C",WORKDAY(Main[[#This Row],[Tech Start Date]],19),IF(Main[[#This Row],[Class]]="B", WORKDAY(Main[[#This Row],[Tech Start Date]],12),IF(Main[[#This Row],[Class]]="A",WORKDAY(Main[[#This Row],[Tech Start Date]],4),""))))</f>
        <v/>
      </c>
      <c r="O333" s="69" t="str">
        <f>IF(Main[[#This Row],[Tech Start Date]]&lt;1/1/1990,"",IF(Main[[#This Row],[Class]]="C",WORKDAY(Main[[#This Row],[Tech Start Date]],23),IF(Main[[#This Row],[Class]]="B", WORKDAY(Main[[#This Row],[Tech Start Date]],15),IF(Main[[#This Row],[Class]]="A",WORKDAY(Main[[#This Row],[Tech Start Date]],5),""))))</f>
        <v/>
      </c>
      <c r="P333" s="69" t="str">
        <f>IF(Main[[#This Row],[Tech Start Date]]&lt;1/1/1990,"",IF(Main[[#This Row],[Class]]="C",WORKDAY(Main[[#This Row],[Tech Start Date]],28),IF(Main[[#This Row],[Class]]="B", WORKDAY(Main[[#This Row],[Tech Start Date]],19),IF(Main[[#This Row],[Class]]="A",WORKDAY(Main[[#This Row],[Tech Start Date]],9),""))))</f>
        <v/>
      </c>
      <c r="Q333" s="67">
        <v>40655</v>
      </c>
      <c r="R333" s="67"/>
      <c r="S333" s="65" t="s">
        <v>6</v>
      </c>
      <c r="T333" s="70" t="s">
        <v>4</v>
      </c>
      <c r="U333" s="65" t="s">
        <v>14</v>
      </c>
      <c r="V333" s="65" t="s">
        <v>1917</v>
      </c>
      <c r="W333" s="65" t="s">
        <v>1916</v>
      </c>
      <c r="X333" s="65" t="s">
        <v>2819</v>
      </c>
      <c r="Y333" s="65" t="s">
        <v>2932</v>
      </c>
      <c r="Z333" s="65" t="s">
        <v>44</v>
      </c>
      <c r="AA333" s="65" t="s">
        <v>2819</v>
      </c>
    </row>
    <row r="334" spans="1:27" ht="17.45" hidden="1" customHeight="1">
      <c r="A334" s="100" t="str">
        <f>IF(priority(Main[[#This Row],[Comments]])&lt;&gt;0, priority(Main[[#This Row],[Comments]]),"")</f>
        <v/>
      </c>
      <c r="B334" s="77" t="s">
        <v>1295</v>
      </c>
      <c r="C334" s="65" t="s">
        <v>211</v>
      </c>
      <c r="D334" s="66" t="s">
        <v>413</v>
      </c>
      <c r="E334" s="67"/>
      <c r="F334" s="67">
        <v>40452</v>
      </c>
      <c r="G334" s="64" t="str">
        <f>IF(stdProdLT(Main[[#This Row],[Comments]])=0.1,"N/A",IF(stdProdLT(Main[[#This Row],[Comments]])=0,"",stdProdLT(Main[[#This Row],[Comments]])))</f>
        <v/>
      </c>
      <c r="H334" s="68" t="str">
        <f>IF(AND(Main[[#This Row],[In Stock Date]]&lt;&gt;"",Main[[#This Row],[Revised Due Date]]&lt;&gt;""),Main[[#This Row],[In Stock Date]]-Main[[#This Row],[Revised Due Date]],"")</f>
        <v/>
      </c>
      <c r="I334" s="65" t="s">
        <v>4</v>
      </c>
      <c r="J334" s="65" t="s">
        <v>4</v>
      </c>
      <c r="K334" s="65" t="s">
        <v>4</v>
      </c>
      <c r="L334" s="67"/>
      <c r="M334" s="69" t="str">
        <f>IF(Main[[#This Row],[Tech Start Date]]&lt;1/1/1990,"",IF(Main[[#This Row],[Class]]="C",WORKDAY(Main[[#This Row],[Tech Start Date]],9),IF(Main[[#This Row],[Class]]="B", WORKDAY(Main[[#This Row],[Tech Start Date]],6),IF(Main[[#This Row],[Class]]="A",WORKDAY(Main[[#This Row],[Tech Start Date]],2),""))))</f>
        <v/>
      </c>
      <c r="N334" s="69" t="str">
        <f>IF(Main[[#This Row],[Tech Start Date]]&lt;1/1/1990,"",IF(Main[[#This Row],[Class]]="C",WORKDAY(Main[[#This Row],[Tech Start Date]],19),IF(Main[[#This Row],[Class]]="B", WORKDAY(Main[[#This Row],[Tech Start Date]],12),IF(Main[[#This Row],[Class]]="A",WORKDAY(Main[[#This Row],[Tech Start Date]],4),""))))</f>
        <v/>
      </c>
      <c r="O334" s="69" t="str">
        <f>IF(Main[[#This Row],[Tech Start Date]]&lt;1/1/1990,"",IF(Main[[#This Row],[Class]]="C",WORKDAY(Main[[#This Row],[Tech Start Date]],23),IF(Main[[#This Row],[Class]]="B", WORKDAY(Main[[#This Row],[Tech Start Date]],15),IF(Main[[#This Row],[Class]]="A",WORKDAY(Main[[#This Row],[Tech Start Date]],5),""))))</f>
        <v/>
      </c>
      <c r="P334" s="69" t="str">
        <f>IF(Main[[#This Row],[Tech Start Date]]&lt;1/1/1990,"",IF(Main[[#This Row],[Class]]="C",WORKDAY(Main[[#This Row],[Tech Start Date]],28),IF(Main[[#This Row],[Class]]="B", WORKDAY(Main[[#This Row],[Tech Start Date]],19),IF(Main[[#This Row],[Class]]="A",WORKDAY(Main[[#This Row],[Tech Start Date]],9),""))))</f>
        <v/>
      </c>
      <c r="Q334" s="67">
        <v>40357</v>
      </c>
      <c r="R334" s="67"/>
      <c r="S334" s="65" t="s">
        <v>11</v>
      </c>
      <c r="T334" s="70" t="s">
        <v>4</v>
      </c>
      <c r="U334" s="65" t="s">
        <v>12</v>
      </c>
      <c r="V334" s="65" t="s">
        <v>1914</v>
      </c>
      <c r="W334" s="65" t="s">
        <v>1922</v>
      </c>
      <c r="X334" s="65" t="s">
        <v>2833</v>
      </c>
      <c r="Y334" s="65" t="s">
        <v>4</v>
      </c>
      <c r="Z334" s="65" t="s">
        <v>4</v>
      </c>
      <c r="AA334" s="65" t="s">
        <v>2833</v>
      </c>
    </row>
    <row r="335" spans="1:27" ht="17.45" hidden="1" customHeight="1">
      <c r="A335" s="100" t="str">
        <f>IF(priority(Main[[#This Row],[Comments]])&lt;&gt;0, priority(Main[[#This Row],[Comments]]),"")</f>
        <v/>
      </c>
      <c r="B335" s="77" t="s">
        <v>1334</v>
      </c>
      <c r="C335" s="65" t="s">
        <v>4</v>
      </c>
      <c r="D335" s="66" t="s">
        <v>414</v>
      </c>
      <c r="E335" s="67"/>
      <c r="F335" s="67">
        <v>40633</v>
      </c>
      <c r="G335" s="64" t="str">
        <f>IF(stdProdLT(Main[[#This Row],[Comments]])=0.1,"N/A",IF(stdProdLT(Main[[#This Row],[Comments]])=0,"",stdProdLT(Main[[#This Row],[Comments]])))</f>
        <v/>
      </c>
      <c r="H335" s="68" t="str">
        <f>IF(AND(Main[[#This Row],[In Stock Date]]&lt;&gt;"",Main[[#This Row],[Revised Due Date]]&lt;&gt;""),Main[[#This Row],[In Stock Date]]-Main[[#This Row],[Revised Due Date]],"")</f>
        <v/>
      </c>
      <c r="I335" s="65" t="s">
        <v>415</v>
      </c>
      <c r="J335" s="65" t="s">
        <v>28</v>
      </c>
      <c r="K335" s="71" t="s">
        <v>1923</v>
      </c>
      <c r="L335" s="67"/>
      <c r="M335" s="69" t="str">
        <f>IF(Main[[#This Row],[Tech Start Date]]&lt;1/1/1990,"",IF(Main[[#This Row],[Class]]="C",WORKDAY(Main[[#This Row],[Tech Start Date]],9),IF(Main[[#This Row],[Class]]="B", WORKDAY(Main[[#This Row],[Tech Start Date]],6),IF(Main[[#This Row],[Class]]="A",WORKDAY(Main[[#This Row],[Tech Start Date]],2),""))))</f>
        <v/>
      </c>
      <c r="N335" s="69" t="str">
        <f>IF(Main[[#This Row],[Tech Start Date]]&lt;1/1/1990,"",IF(Main[[#This Row],[Class]]="C",WORKDAY(Main[[#This Row],[Tech Start Date]],19),IF(Main[[#This Row],[Class]]="B", WORKDAY(Main[[#This Row],[Tech Start Date]],12),IF(Main[[#This Row],[Class]]="A",WORKDAY(Main[[#This Row],[Tech Start Date]],4),""))))</f>
        <v/>
      </c>
      <c r="O335" s="69" t="str">
        <f>IF(Main[[#This Row],[Tech Start Date]]&lt;1/1/1990,"",IF(Main[[#This Row],[Class]]="C",WORKDAY(Main[[#This Row],[Tech Start Date]],23),IF(Main[[#This Row],[Class]]="B", WORKDAY(Main[[#This Row],[Tech Start Date]],15),IF(Main[[#This Row],[Class]]="A",WORKDAY(Main[[#This Row],[Tech Start Date]],5),""))))</f>
        <v/>
      </c>
      <c r="P335" s="69" t="str">
        <f>IF(Main[[#This Row],[Tech Start Date]]&lt;1/1/1990,"",IF(Main[[#This Row],[Class]]="C",WORKDAY(Main[[#This Row],[Tech Start Date]],28),IF(Main[[#This Row],[Class]]="B", WORKDAY(Main[[#This Row],[Tech Start Date]],19),IF(Main[[#This Row],[Class]]="A",WORKDAY(Main[[#This Row],[Tech Start Date]],9),""))))</f>
        <v/>
      </c>
      <c r="Q335" s="67">
        <v>40633</v>
      </c>
      <c r="R335" s="67"/>
      <c r="S335" s="65" t="s">
        <v>6</v>
      </c>
      <c r="T335" s="70" t="s">
        <v>4</v>
      </c>
      <c r="U335" s="65" t="s">
        <v>14</v>
      </c>
      <c r="V335" s="65" t="s">
        <v>1917</v>
      </c>
      <c r="W335" s="65" t="s">
        <v>1916</v>
      </c>
      <c r="X335" s="65" t="s">
        <v>2819</v>
      </c>
      <c r="Y335" s="65" t="s">
        <v>2932</v>
      </c>
      <c r="Z335" s="65" t="s">
        <v>30</v>
      </c>
      <c r="AA335" s="65" t="s">
        <v>2819</v>
      </c>
    </row>
    <row r="336" spans="1:27" ht="17.45" hidden="1" customHeight="1">
      <c r="A336" s="100" t="str">
        <f>IF(priority(Main[[#This Row],[Comments]])&lt;&gt;0, priority(Main[[#This Row],[Comments]]),"")</f>
        <v/>
      </c>
      <c r="B336" s="77" t="s">
        <v>1834</v>
      </c>
      <c r="C336" s="65" t="s">
        <v>4</v>
      </c>
      <c r="D336" s="66" t="s">
        <v>888</v>
      </c>
      <c r="E336" s="67">
        <v>40365.442546296297</v>
      </c>
      <c r="F336" s="67"/>
      <c r="G336" s="64" t="str">
        <f>IF(stdProdLT(Main[[#This Row],[Comments]])=0.1,"N/A",IF(stdProdLT(Main[[#This Row],[Comments]])=0,"",stdProdLT(Main[[#This Row],[Comments]])))</f>
        <v/>
      </c>
      <c r="H336" s="68" t="str">
        <f>IF(AND(Main[[#This Row],[In Stock Date]]&lt;&gt;"",Main[[#This Row],[Revised Due Date]]&lt;&gt;""),Main[[#This Row],[In Stock Date]]-Main[[#This Row],[Revised Due Date]],"")</f>
        <v/>
      </c>
      <c r="I336" s="65" t="s">
        <v>889</v>
      </c>
      <c r="J336" s="65" t="s">
        <v>28</v>
      </c>
      <c r="K336" s="65" t="s">
        <v>1926</v>
      </c>
      <c r="L336" s="67"/>
      <c r="M336" s="69" t="str">
        <f>IF(Main[[#This Row],[Tech Start Date]]&lt;1/1/1990,"",IF(Main[[#This Row],[Class]]="C",WORKDAY(Main[[#This Row],[Tech Start Date]],9),IF(Main[[#This Row],[Class]]="B", WORKDAY(Main[[#This Row],[Tech Start Date]],6),IF(Main[[#This Row],[Class]]="A",WORKDAY(Main[[#This Row],[Tech Start Date]],2),""))))</f>
        <v/>
      </c>
      <c r="N336" s="69" t="str">
        <f>IF(Main[[#This Row],[Tech Start Date]]&lt;1/1/1990,"",IF(Main[[#This Row],[Class]]="C",WORKDAY(Main[[#This Row],[Tech Start Date]],19),IF(Main[[#This Row],[Class]]="B", WORKDAY(Main[[#This Row],[Tech Start Date]],12),IF(Main[[#This Row],[Class]]="A",WORKDAY(Main[[#This Row],[Tech Start Date]],4),""))))</f>
        <v/>
      </c>
      <c r="O336" s="69" t="str">
        <f>IF(Main[[#This Row],[Tech Start Date]]&lt;1/1/1990,"",IF(Main[[#This Row],[Class]]="C",WORKDAY(Main[[#This Row],[Tech Start Date]],23),IF(Main[[#This Row],[Class]]="B", WORKDAY(Main[[#This Row],[Tech Start Date]],15),IF(Main[[#This Row],[Class]]="A",WORKDAY(Main[[#This Row],[Tech Start Date]],5),""))))</f>
        <v/>
      </c>
      <c r="P336" s="69" t="str">
        <f>IF(Main[[#This Row],[Tech Start Date]]&lt;1/1/1990,"",IF(Main[[#This Row],[Class]]="C",WORKDAY(Main[[#This Row],[Tech Start Date]],28),IF(Main[[#This Row],[Class]]="B", WORKDAY(Main[[#This Row],[Tech Start Date]],19),IF(Main[[#This Row],[Class]]="A",WORKDAY(Main[[#This Row],[Tech Start Date]],9),""))))</f>
        <v/>
      </c>
      <c r="Q336" s="67">
        <v>40420</v>
      </c>
      <c r="R336" s="67">
        <v>40420</v>
      </c>
      <c r="S336" s="65" t="s">
        <v>318</v>
      </c>
      <c r="T336" s="70" t="s">
        <v>4</v>
      </c>
      <c r="U336" s="65" t="s">
        <v>29</v>
      </c>
      <c r="V336" s="65" t="s">
        <v>1914</v>
      </c>
      <c r="W336" s="65" t="s">
        <v>1918</v>
      </c>
      <c r="X336" s="65" t="s">
        <v>129</v>
      </c>
      <c r="Y336" s="65" t="s">
        <v>2933</v>
      </c>
      <c r="Z336" s="65" t="s">
        <v>129</v>
      </c>
      <c r="AA336" s="65" t="s">
        <v>129</v>
      </c>
    </row>
    <row r="337" spans="1:27" ht="17.45" hidden="1" customHeight="1">
      <c r="A337" s="100" t="str">
        <f>IF(priority(Main[[#This Row],[Comments]])&lt;&gt;0, priority(Main[[#This Row],[Comments]]),"")</f>
        <v/>
      </c>
      <c r="B337" s="77" t="s">
        <v>1335</v>
      </c>
      <c r="C337" s="65" t="s">
        <v>31</v>
      </c>
      <c r="D337" s="66" t="s">
        <v>416</v>
      </c>
      <c r="E337" s="67"/>
      <c r="F337" s="67">
        <v>40330</v>
      </c>
      <c r="G337" s="64" t="str">
        <f>IF(stdProdLT(Main[[#This Row],[Comments]])=0.1,"N/A",IF(stdProdLT(Main[[#This Row],[Comments]])=0,"",stdProdLT(Main[[#This Row],[Comments]])))</f>
        <v/>
      </c>
      <c r="H337" s="68" t="str">
        <f>IF(AND(Main[[#This Row],[In Stock Date]]&lt;&gt;"",Main[[#This Row],[Revised Due Date]]&lt;&gt;""),Main[[#This Row],[In Stock Date]]-Main[[#This Row],[Revised Due Date]],"")</f>
        <v/>
      </c>
      <c r="I337" s="65" t="s">
        <v>417</v>
      </c>
      <c r="J337" s="65" t="s">
        <v>4</v>
      </c>
      <c r="K337" s="65" t="s">
        <v>4</v>
      </c>
      <c r="L337" s="67"/>
      <c r="M337" s="69" t="str">
        <f>IF(Main[[#This Row],[Tech Start Date]]&lt;1/1/1990,"",IF(Main[[#This Row],[Class]]="C",WORKDAY(Main[[#This Row],[Tech Start Date]],9),IF(Main[[#This Row],[Class]]="B", WORKDAY(Main[[#This Row],[Tech Start Date]],6),IF(Main[[#This Row],[Class]]="A",WORKDAY(Main[[#This Row],[Tech Start Date]],2),""))))</f>
        <v/>
      </c>
      <c r="N337" s="69" t="str">
        <f>IF(Main[[#This Row],[Tech Start Date]]&lt;1/1/1990,"",IF(Main[[#This Row],[Class]]="C",WORKDAY(Main[[#This Row],[Tech Start Date]],19),IF(Main[[#This Row],[Class]]="B", WORKDAY(Main[[#This Row],[Tech Start Date]],12),IF(Main[[#This Row],[Class]]="A",WORKDAY(Main[[#This Row],[Tech Start Date]],4),""))))</f>
        <v/>
      </c>
      <c r="O337" s="69" t="str">
        <f>IF(Main[[#This Row],[Tech Start Date]]&lt;1/1/1990,"",IF(Main[[#This Row],[Class]]="C",WORKDAY(Main[[#This Row],[Tech Start Date]],23),IF(Main[[#This Row],[Class]]="B", WORKDAY(Main[[#This Row],[Tech Start Date]],15),IF(Main[[#This Row],[Class]]="A",WORKDAY(Main[[#This Row],[Tech Start Date]],5),""))))</f>
        <v/>
      </c>
      <c r="P337" s="69" t="str">
        <f>IF(Main[[#This Row],[Tech Start Date]]&lt;1/1/1990,"",IF(Main[[#This Row],[Class]]="C",WORKDAY(Main[[#This Row],[Tech Start Date]],28),IF(Main[[#This Row],[Class]]="B", WORKDAY(Main[[#This Row],[Tech Start Date]],19),IF(Main[[#This Row],[Class]]="A",WORKDAY(Main[[#This Row],[Tech Start Date]],9),""))))</f>
        <v/>
      </c>
      <c r="Q337" s="67">
        <v>40210</v>
      </c>
      <c r="R337" s="67"/>
      <c r="S337" s="65" t="s">
        <v>11</v>
      </c>
      <c r="T337" s="70" t="s">
        <v>4</v>
      </c>
      <c r="U337" s="65" t="s">
        <v>14</v>
      </c>
      <c r="V337" s="65" t="s">
        <v>1917</v>
      </c>
      <c r="W337" s="65" t="s">
        <v>1920</v>
      </c>
      <c r="X337" s="65" t="s">
        <v>2824</v>
      </c>
      <c r="Y337" s="65" t="s">
        <v>2943</v>
      </c>
      <c r="Z337" s="65" t="s">
        <v>4</v>
      </c>
      <c r="AA337" s="65" t="s">
        <v>2824</v>
      </c>
    </row>
    <row r="338" spans="1:27" ht="17.45" hidden="1" customHeight="1">
      <c r="A338" s="100" t="str">
        <f>IF(priority(Main[[#This Row],[Comments]])&lt;&gt;0, priority(Main[[#This Row],[Comments]]),"")</f>
        <v/>
      </c>
      <c r="B338" s="77" t="s">
        <v>1336</v>
      </c>
      <c r="C338" s="65" t="s">
        <v>4</v>
      </c>
      <c r="D338" s="66" t="s">
        <v>418</v>
      </c>
      <c r="E338" s="67">
        <v>40305.512083333335</v>
      </c>
      <c r="F338" s="67"/>
      <c r="G338" s="64" t="str">
        <f>IF(stdProdLT(Main[[#This Row],[Comments]])=0.1,"N/A",IF(stdProdLT(Main[[#This Row],[Comments]])=0,"",stdProdLT(Main[[#This Row],[Comments]])))</f>
        <v/>
      </c>
      <c r="H338" s="68" t="str">
        <f>IF(AND(Main[[#This Row],[In Stock Date]]&lt;&gt;"",Main[[#This Row],[Revised Due Date]]&lt;&gt;""),Main[[#This Row],[In Stock Date]]-Main[[#This Row],[Revised Due Date]],"")</f>
        <v/>
      </c>
      <c r="I338" s="65" t="s">
        <v>4</v>
      </c>
      <c r="J338" s="65" t="s">
        <v>4</v>
      </c>
      <c r="K338" s="65" t="s">
        <v>4</v>
      </c>
      <c r="L338" s="67"/>
      <c r="M338" s="69" t="str">
        <f>IF(Main[[#This Row],[Tech Start Date]]&lt;1/1/1990,"",IF(Main[[#This Row],[Class]]="C",WORKDAY(Main[[#This Row],[Tech Start Date]],9),IF(Main[[#This Row],[Class]]="B", WORKDAY(Main[[#This Row],[Tech Start Date]],6),IF(Main[[#This Row],[Class]]="A",WORKDAY(Main[[#This Row],[Tech Start Date]],2),""))))</f>
        <v/>
      </c>
      <c r="N338" s="69" t="str">
        <f>IF(Main[[#This Row],[Tech Start Date]]&lt;1/1/1990,"",IF(Main[[#This Row],[Class]]="C",WORKDAY(Main[[#This Row],[Tech Start Date]],19),IF(Main[[#This Row],[Class]]="B", WORKDAY(Main[[#This Row],[Tech Start Date]],12),IF(Main[[#This Row],[Class]]="A",WORKDAY(Main[[#This Row],[Tech Start Date]],4),""))))</f>
        <v/>
      </c>
      <c r="O338" s="69" t="str">
        <f>IF(Main[[#This Row],[Tech Start Date]]&lt;1/1/1990,"",IF(Main[[#This Row],[Class]]="C",WORKDAY(Main[[#This Row],[Tech Start Date]],23),IF(Main[[#This Row],[Class]]="B", WORKDAY(Main[[#This Row],[Tech Start Date]],15),IF(Main[[#This Row],[Class]]="A",WORKDAY(Main[[#This Row],[Tech Start Date]],5),""))))</f>
        <v/>
      </c>
      <c r="P338" s="69" t="str">
        <f>IF(Main[[#This Row],[Tech Start Date]]&lt;1/1/1990,"",IF(Main[[#This Row],[Class]]="C",WORKDAY(Main[[#This Row],[Tech Start Date]],28),IF(Main[[#This Row],[Class]]="B", WORKDAY(Main[[#This Row],[Tech Start Date]],19),IF(Main[[#This Row],[Class]]="A",WORKDAY(Main[[#This Row],[Tech Start Date]],9),""))))</f>
        <v/>
      </c>
      <c r="Q338" s="67">
        <v>40312</v>
      </c>
      <c r="R338" s="67"/>
      <c r="S338" s="65" t="s">
        <v>6</v>
      </c>
      <c r="T338" s="70" t="s">
        <v>4</v>
      </c>
      <c r="U338" s="65" t="s">
        <v>7</v>
      </c>
      <c r="V338" s="65" t="s">
        <v>1914</v>
      </c>
      <c r="W338" s="65" t="s">
        <v>4</v>
      </c>
      <c r="X338" s="65" t="s">
        <v>102</v>
      </c>
      <c r="Y338" s="65" t="s">
        <v>3011</v>
      </c>
      <c r="Z338" s="65" t="s">
        <v>4</v>
      </c>
      <c r="AA338" s="65" t="s">
        <v>3409</v>
      </c>
    </row>
    <row r="339" spans="1:27" ht="17.45" hidden="1" customHeight="1">
      <c r="A339" s="100" t="str">
        <f>IF(priority(Main[[#This Row],[Comments]])&lt;&gt;0, priority(Main[[#This Row],[Comments]]),"")</f>
        <v/>
      </c>
      <c r="B339" s="77" t="s">
        <v>1297</v>
      </c>
      <c r="C339" s="65" t="s">
        <v>31</v>
      </c>
      <c r="D339" s="66" t="s">
        <v>371</v>
      </c>
      <c r="E339" s="67"/>
      <c r="F339" s="67"/>
      <c r="G339" s="64" t="str">
        <f>IF(stdProdLT(Main[[#This Row],[Comments]])=0.1,"N/A",IF(stdProdLT(Main[[#This Row],[Comments]])=0,"",stdProdLT(Main[[#This Row],[Comments]])))</f>
        <v/>
      </c>
      <c r="H339" s="68" t="str">
        <f>IF(AND(Main[[#This Row],[In Stock Date]]&lt;&gt;"",Main[[#This Row],[Revised Due Date]]&lt;&gt;""),Main[[#This Row],[In Stock Date]]-Main[[#This Row],[Revised Due Date]],"")</f>
        <v/>
      </c>
      <c r="I339" s="65" t="s">
        <v>4</v>
      </c>
      <c r="J339" s="65" t="s">
        <v>4</v>
      </c>
      <c r="K339" s="65" t="s">
        <v>4</v>
      </c>
      <c r="L339" s="67"/>
      <c r="M339" s="69" t="str">
        <f>IF(Main[[#This Row],[Tech Start Date]]&lt;1/1/1990,"",IF(Main[[#This Row],[Class]]="C",WORKDAY(Main[[#This Row],[Tech Start Date]],9),IF(Main[[#This Row],[Class]]="B", WORKDAY(Main[[#This Row],[Tech Start Date]],6),IF(Main[[#This Row],[Class]]="A",WORKDAY(Main[[#This Row],[Tech Start Date]],2),""))))</f>
        <v/>
      </c>
      <c r="N339" s="69" t="str">
        <f>IF(Main[[#This Row],[Tech Start Date]]&lt;1/1/1990,"",IF(Main[[#This Row],[Class]]="C",WORKDAY(Main[[#This Row],[Tech Start Date]],19),IF(Main[[#This Row],[Class]]="B", WORKDAY(Main[[#This Row],[Tech Start Date]],12),IF(Main[[#This Row],[Class]]="A",WORKDAY(Main[[#This Row],[Tech Start Date]],4),""))))</f>
        <v/>
      </c>
      <c r="O339" s="69" t="str">
        <f>IF(Main[[#This Row],[Tech Start Date]]&lt;1/1/1990,"",IF(Main[[#This Row],[Class]]="C",WORKDAY(Main[[#This Row],[Tech Start Date]],23),IF(Main[[#This Row],[Class]]="B", WORKDAY(Main[[#This Row],[Tech Start Date]],15),IF(Main[[#This Row],[Class]]="A",WORKDAY(Main[[#This Row],[Tech Start Date]],5),""))))</f>
        <v/>
      </c>
      <c r="P339" s="69" t="str">
        <f>IF(Main[[#This Row],[Tech Start Date]]&lt;1/1/1990,"",IF(Main[[#This Row],[Class]]="C",WORKDAY(Main[[#This Row],[Tech Start Date]],28),IF(Main[[#This Row],[Class]]="B", WORKDAY(Main[[#This Row],[Tech Start Date]],19),IF(Main[[#This Row],[Class]]="A",WORKDAY(Main[[#This Row],[Tech Start Date]],9),""))))</f>
        <v/>
      </c>
      <c r="Q339" s="67">
        <v>40318</v>
      </c>
      <c r="R339" s="67"/>
      <c r="S339" s="65" t="s">
        <v>11</v>
      </c>
      <c r="T339" s="70" t="s">
        <v>4</v>
      </c>
      <c r="U339" s="65" t="s">
        <v>14</v>
      </c>
      <c r="V339" s="65" t="s">
        <v>1917</v>
      </c>
      <c r="W339" s="65" t="s">
        <v>1916</v>
      </c>
      <c r="X339" s="65" t="s">
        <v>2830</v>
      </c>
      <c r="Y339" s="65" t="s">
        <v>4</v>
      </c>
      <c r="Z339" s="65" t="s">
        <v>4</v>
      </c>
      <c r="AA339" s="65" t="s">
        <v>2830</v>
      </c>
    </row>
    <row r="340" spans="1:27" ht="17.45" hidden="1" customHeight="1">
      <c r="A340" s="100" t="str">
        <f>IF(priority(Main[[#This Row],[Comments]])&lt;&gt;0, priority(Main[[#This Row],[Comments]]),"")</f>
        <v/>
      </c>
      <c r="B340" s="77" t="s">
        <v>1298</v>
      </c>
      <c r="C340" s="65" t="s">
        <v>4</v>
      </c>
      <c r="D340" s="66" t="s">
        <v>372</v>
      </c>
      <c r="E340" s="67">
        <v>40679.255486111113</v>
      </c>
      <c r="F340" s="67"/>
      <c r="G340" s="64" t="str">
        <f>IF(stdProdLT(Main[[#This Row],[Comments]])=0.1,"N/A",IF(stdProdLT(Main[[#This Row],[Comments]])=0,"",stdProdLT(Main[[#This Row],[Comments]])))</f>
        <v/>
      </c>
      <c r="H340" s="68" t="str">
        <f>IF(AND(Main[[#This Row],[In Stock Date]]&lt;&gt;"",Main[[#This Row],[Revised Due Date]]&lt;&gt;""),Main[[#This Row],[In Stock Date]]-Main[[#This Row],[Revised Due Date]],"")</f>
        <v/>
      </c>
      <c r="I340" s="65" t="s">
        <v>4</v>
      </c>
      <c r="J340" s="65" t="s">
        <v>4</v>
      </c>
      <c r="K340" s="65" t="s">
        <v>4</v>
      </c>
      <c r="L340" s="67"/>
      <c r="M340" s="69" t="str">
        <f>IF(Main[[#This Row],[Tech Start Date]]&lt;1/1/1990,"",IF(Main[[#This Row],[Class]]="C",WORKDAY(Main[[#This Row],[Tech Start Date]],9),IF(Main[[#This Row],[Class]]="B", WORKDAY(Main[[#This Row],[Tech Start Date]],6),IF(Main[[#This Row],[Class]]="A",WORKDAY(Main[[#This Row],[Tech Start Date]],2),""))))</f>
        <v/>
      </c>
      <c r="N340" s="69" t="str">
        <f>IF(Main[[#This Row],[Tech Start Date]]&lt;1/1/1990,"",IF(Main[[#This Row],[Class]]="C",WORKDAY(Main[[#This Row],[Tech Start Date]],19),IF(Main[[#This Row],[Class]]="B", WORKDAY(Main[[#This Row],[Tech Start Date]],12),IF(Main[[#This Row],[Class]]="A",WORKDAY(Main[[#This Row],[Tech Start Date]],4),""))))</f>
        <v/>
      </c>
      <c r="O340" s="69" t="str">
        <f>IF(Main[[#This Row],[Tech Start Date]]&lt;1/1/1990,"",IF(Main[[#This Row],[Class]]="C",WORKDAY(Main[[#This Row],[Tech Start Date]],23),IF(Main[[#This Row],[Class]]="B", WORKDAY(Main[[#This Row],[Tech Start Date]],15),IF(Main[[#This Row],[Class]]="A",WORKDAY(Main[[#This Row],[Tech Start Date]],5),""))))</f>
        <v/>
      </c>
      <c r="P340" s="69" t="str">
        <f>IF(Main[[#This Row],[Tech Start Date]]&lt;1/1/1990,"",IF(Main[[#This Row],[Class]]="C",WORKDAY(Main[[#This Row],[Tech Start Date]],28),IF(Main[[#This Row],[Class]]="B", WORKDAY(Main[[#This Row],[Tech Start Date]],19),IF(Main[[#This Row],[Class]]="A",WORKDAY(Main[[#This Row],[Tech Start Date]],9),""))))</f>
        <v/>
      </c>
      <c r="Q340" s="67">
        <v>40724</v>
      </c>
      <c r="R340" s="67"/>
      <c r="S340" s="65" t="s">
        <v>6</v>
      </c>
      <c r="T340" s="70" t="s">
        <v>4</v>
      </c>
      <c r="U340" s="65" t="s">
        <v>7</v>
      </c>
      <c r="V340" s="65" t="s">
        <v>1914</v>
      </c>
      <c r="W340" s="65" t="s">
        <v>4</v>
      </c>
      <c r="X340" s="65" t="s">
        <v>2822</v>
      </c>
      <c r="Y340" s="65" t="s">
        <v>2938</v>
      </c>
      <c r="Z340" s="65" t="s">
        <v>4</v>
      </c>
      <c r="AA340" s="65" t="s">
        <v>2822</v>
      </c>
    </row>
    <row r="341" spans="1:27" ht="17.45" hidden="1" customHeight="1">
      <c r="A341" s="100" t="str">
        <f>IF(priority(Main[[#This Row],[Comments]])&lt;&gt;0, priority(Main[[#This Row],[Comments]]),"")</f>
        <v/>
      </c>
      <c r="B341" s="77" t="s">
        <v>1299</v>
      </c>
      <c r="C341" s="65" t="s">
        <v>4</v>
      </c>
      <c r="D341" s="66" t="s">
        <v>373</v>
      </c>
      <c r="E341" s="67"/>
      <c r="F341" s="67"/>
      <c r="G341" s="64" t="str">
        <f>IF(stdProdLT(Main[[#This Row],[Comments]])=0.1,"N/A",IF(stdProdLT(Main[[#This Row],[Comments]])=0,"",stdProdLT(Main[[#This Row],[Comments]])))</f>
        <v/>
      </c>
      <c r="H341" s="68" t="str">
        <f>IF(AND(Main[[#This Row],[In Stock Date]]&lt;&gt;"",Main[[#This Row],[Revised Due Date]]&lt;&gt;""),Main[[#This Row],[In Stock Date]]-Main[[#This Row],[Revised Due Date]],"")</f>
        <v/>
      </c>
      <c r="I341" s="65" t="s">
        <v>4</v>
      </c>
      <c r="J341" s="65" t="s">
        <v>4</v>
      </c>
      <c r="K341" s="65" t="s">
        <v>4</v>
      </c>
      <c r="L341" s="67"/>
      <c r="M341" s="69" t="str">
        <f>IF(Main[[#This Row],[Tech Start Date]]&lt;1/1/1990,"",IF(Main[[#This Row],[Class]]="C",WORKDAY(Main[[#This Row],[Tech Start Date]],9),IF(Main[[#This Row],[Class]]="B", WORKDAY(Main[[#This Row],[Tech Start Date]],6),IF(Main[[#This Row],[Class]]="A",WORKDAY(Main[[#This Row],[Tech Start Date]],2),""))))</f>
        <v/>
      </c>
      <c r="N341" s="69" t="str">
        <f>IF(Main[[#This Row],[Tech Start Date]]&lt;1/1/1990,"",IF(Main[[#This Row],[Class]]="C",WORKDAY(Main[[#This Row],[Tech Start Date]],19),IF(Main[[#This Row],[Class]]="B", WORKDAY(Main[[#This Row],[Tech Start Date]],12),IF(Main[[#This Row],[Class]]="A",WORKDAY(Main[[#This Row],[Tech Start Date]],4),""))))</f>
        <v/>
      </c>
      <c r="O341" s="69" t="str">
        <f>IF(Main[[#This Row],[Tech Start Date]]&lt;1/1/1990,"",IF(Main[[#This Row],[Class]]="C",WORKDAY(Main[[#This Row],[Tech Start Date]],23),IF(Main[[#This Row],[Class]]="B", WORKDAY(Main[[#This Row],[Tech Start Date]],15),IF(Main[[#This Row],[Class]]="A",WORKDAY(Main[[#This Row],[Tech Start Date]],5),""))))</f>
        <v/>
      </c>
      <c r="P341" s="69" t="str">
        <f>IF(Main[[#This Row],[Tech Start Date]]&lt;1/1/1990,"",IF(Main[[#This Row],[Class]]="C",WORKDAY(Main[[#This Row],[Tech Start Date]],28),IF(Main[[#This Row],[Class]]="B", WORKDAY(Main[[#This Row],[Tech Start Date]],19),IF(Main[[#This Row],[Class]]="A",WORKDAY(Main[[#This Row],[Tech Start Date]],9),""))))</f>
        <v/>
      </c>
      <c r="Q341" s="67"/>
      <c r="R341" s="67"/>
      <c r="S341" s="65" t="s">
        <v>11</v>
      </c>
      <c r="T341" s="70" t="s">
        <v>4</v>
      </c>
      <c r="U341" s="65" t="s">
        <v>14</v>
      </c>
      <c r="V341" s="65" t="s">
        <v>1917</v>
      </c>
      <c r="W341" s="65" t="s">
        <v>1925</v>
      </c>
      <c r="X341" s="65" t="s">
        <v>306</v>
      </c>
      <c r="Y341" s="65" t="s">
        <v>4</v>
      </c>
      <c r="Z341" s="65" t="s">
        <v>4</v>
      </c>
      <c r="AA341" s="65" t="s">
        <v>3397</v>
      </c>
    </row>
    <row r="342" spans="1:27" ht="17.45" hidden="1" customHeight="1">
      <c r="A342" s="100" t="str">
        <f>IF(priority(Main[[#This Row],[Comments]])&lt;&gt;0, priority(Main[[#This Row],[Comments]]),"")</f>
        <v/>
      </c>
      <c r="B342" s="77" t="s">
        <v>1983</v>
      </c>
      <c r="C342" s="65" t="s">
        <v>4</v>
      </c>
      <c r="D342" s="66" t="s">
        <v>1984</v>
      </c>
      <c r="E342" s="67"/>
      <c r="F342" s="67"/>
      <c r="G342" s="64" t="str">
        <f>IF(stdProdLT(Main[[#This Row],[Comments]])=0.1,"N/A",IF(stdProdLT(Main[[#This Row],[Comments]])=0,"",stdProdLT(Main[[#This Row],[Comments]])))</f>
        <v/>
      </c>
      <c r="H342" s="68" t="str">
        <f>IF(AND(Main[[#This Row],[In Stock Date]]&lt;&gt;"",Main[[#This Row],[Revised Due Date]]&lt;&gt;""),Main[[#This Row],[In Stock Date]]-Main[[#This Row],[Revised Due Date]],"")</f>
        <v/>
      </c>
      <c r="I342" s="65" t="s">
        <v>4</v>
      </c>
      <c r="J342" s="65" t="s">
        <v>4</v>
      </c>
      <c r="K342" s="65" t="s">
        <v>4</v>
      </c>
      <c r="L342" s="67"/>
      <c r="M342" s="69" t="str">
        <f>IF(Main[[#This Row],[Tech Start Date]]&lt;1/1/1990,"",IF(Main[[#This Row],[Class]]="C",WORKDAY(Main[[#This Row],[Tech Start Date]],9),IF(Main[[#This Row],[Class]]="B", WORKDAY(Main[[#This Row],[Tech Start Date]],6),IF(Main[[#This Row],[Class]]="A",WORKDAY(Main[[#This Row],[Tech Start Date]],2),""))))</f>
        <v/>
      </c>
      <c r="N342" s="69" t="str">
        <f>IF(Main[[#This Row],[Tech Start Date]]&lt;1/1/1990,"",IF(Main[[#This Row],[Class]]="C",WORKDAY(Main[[#This Row],[Tech Start Date]],19),IF(Main[[#This Row],[Class]]="B", WORKDAY(Main[[#This Row],[Tech Start Date]],12),IF(Main[[#This Row],[Class]]="A",WORKDAY(Main[[#This Row],[Tech Start Date]],4),""))))</f>
        <v/>
      </c>
      <c r="O342" s="69" t="str">
        <f>IF(Main[[#This Row],[Tech Start Date]]&lt;1/1/1990,"",IF(Main[[#This Row],[Class]]="C",WORKDAY(Main[[#This Row],[Tech Start Date]],23),IF(Main[[#This Row],[Class]]="B", WORKDAY(Main[[#This Row],[Tech Start Date]],15),IF(Main[[#This Row],[Class]]="A",WORKDAY(Main[[#This Row],[Tech Start Date]],5),""))))</f>
        <v/>
      </c>
      <c r="P342" s="69" t="str">
        <f>IF(Main[[#This Row],[Tech Start Date]]&lt;1/1/1990,"",IF(Main[[#This Row],[Class]]="C",WORKDAY(Main[[#This Row],[Tech Start Date]],28),IF(Main[[#This Row],[Class]]="B", WORKDAY(Main[[#This Row],[Tech Start Date]],19),IF(Main[[#This Row],[Class]]="A",WORKDAY(Main[[#This Row],[Tech Start Date]],9),""))))</f>
        <v/>
      </c>
      <c r="Q342" s="67"/>
      <c r="R342" s="67"/>
      <c r="S342" s="65" t="s">
        <v>11</v>
      </c>
      <c r="T342" s="70" t="s">
        <v>4</v>
      </c>
      <c r="U342" s="65" t="s">
        <v>12</v>
      </c>
      <c r="V342" s="65" t="s">
        <v>1914</v>
      </c>
      <c r="W342" s="65" t="s">
        <v>1918</v>
      </c>
      <c r="X342" s="65" t="s">
        <v>937</v>
      </c>
      <c r="Y342" s="65" t="s">
        <v>2984</v>
      </c>
      <c r="Z342" s="65" t="s">
        <v>4</v>
      </c>
      <c r="AA342" s="65" t="s">
        <v>937</v>
      </c>
    </row>
    <row r="343" spans="1:27" ht="17.45" hidden="1" customHeight="1">
      <c r="A343" s="100" t="str">
        <f>IF(priority(Main[[#This Row],[Comments]])&lt;&gt;0, priority(Main[[#This Row],[Comments]]),"")</f>
        <v/>
      </c>
      <c r="B343" s="77" t="s">
        <v>1301</v>
      </c>
      <c r="C343" s="65" t="s">
        <v>4</v>
      </c>
      <c r="D343" s="66" t="s">
        <v>97</v>
      </c>
      <c r="E343" s="67"/>
      <c r="F343" s="67"/>
      <c r="G343" s="64" t="str">
        <f>IF(stdProdLT(Main[[#This Row],[Comments]])=0.1,"N/A",IF(stdProdLT(Main[[#This Row],[Comments]])=0,"",stdProdLT(Main[[#This Row],[Comments]])))</f>
        <v/>
      </c>
      <c r="H343" s="68" t="str">
        <f>IF(AND(Main[[#This Row],[In Stock Date]]&lt;&gt;"",Main[[#This Row],[Revised Due Date]]&lt;&gt;""),Main[[#This Row],[In Stock Date]]-Main[[#This Row],[Revised Due Date]],"")</f>
        <v/>
      </c>
      <c r="I343" s="65" t="s">
        <v>4</v>
      </c>
      <c r="J343" s="65" t="s">
        <v>4</v>
      </c>
      <c r="K343" s="65" t="s">
        <v>4</v>
      </c>
      <c r="L343" s="67"/>
      <c r="M343" s="69" t="str">
        <f>IF(Main[[#This Row],[Tech Start Date]]&lt;1/1/1990,"",IF(Main[[#This Row],[Class]]="C",WORKDAY(Main[[#This Row],[Tech Start Date]],9),IF(Main[[#This Row],[Class]]="B", WORKDAY(Main[[#This Row],[Tech Start Date]],6),IF(Main[[#This Row],[Class]]="A",WORKDAY(Main[[#This Row],[Tech Start Date]],2),""))))</f>
        <v/>
      </c>
      <c r="N343" s="69" t="str">
        <f>IF(Main[[#This Row],[Tech Start Date]]&lt;1/1/1990,"",IF(Main[[#This Row],[Class]]="C",WORKDAY(Main[[#This Row],[Tech Start Date]],19),IF(Main[[#This Row],[Class]]="B", WORKDAY(Main[[#This Row],[Tech Start Date]],12),IF(Main[[#This Row],[Class]]="A",WORKDAY(Main[[#This Row],[Tech Start Date]],4),""))))</f>
        <v/>
      </c>
      <c r="O343" s="69" t="str">
        <f>IF(Main[[#This Row],[Tech Start Date]]&lt;1/1/1990,"",IF(Main[[#This Row],[Class]]="C",WORKDAY(Main[[#This Row],[Tech Start Date]],23),IF(Main[[#This Row],[Class]]="B", WORKDAY(Main[[#This Row],[Tech Start Date]],15),IF(Main[[#This Row],[Class]]="A",WORKDAY(Main[[#This Row],[Tech Start Date]],5),""))))</f>
        <v/>
      </c>
      <c r="P343" s="69" t="str">
        <f>IF(Main[[#This Row],[Tech Start Date]]&lt;1/1/1990,"",IF(Main[[#This Row],[Class]]="C",WORKDAY(Main[[#This Row],[Tech Start Date]],28),IF(Main[[#This Row],[Class]]="B", WORKDAY(Main[[#This Row],[Tech Start Date]],19),IF(Main[[#This Row],[Class]]="A",WORKDAY(Main[[#This Row],[Tech Start Date]],9),""))))</f>
        <v/>
      </c>
      <c r="Q343" s="67">
        <v>40858</v>
      </c>
      <c r="R343" s="67"/>
      <c r="S343" s="65" t="s">
        <v>17</v>
      </c>
      <c r="T343" s="70" t="s">
        <v>4</v>
      </c>
      <c r="U343" s="65" t="s">
        <v>14</v>
      </c>
      <c r="V343" s="65" t="s">
        <v>1914</v>
      </c>
      <c r="W343" s="65" t="s">
        <v>1919</v>
      </c>
      <c r="X343" s="65" t="s">
        <v>50</v>
      </c>
      <c r="Y343" s="65" t="s">
        <v>2959</v>
      </c>
      <c r="Z343" s="65" t="s">
        <v>4</v>
      </c>
      <c r="AA343" s="65" t="s">
        <v>2828</v>
      </c>
    </row>
    <row r="344" spans="1:27" ht="17.45" hidden="1" customHeight="1">
      <c r="A344" s="100" t="str">
        <f>IF(priority(Main[[#This Row],[Comments]])&lt;&gt;0, priority(Main[[#This Row],[Comments]]),"")</f>
        <v/>
      </c>
      <c r="B344" s="77" t="s">
        <v>1302</v>
      </c>
      <c r="C344" s="65" t="s">
        <v>95</v>
      </c>
      <c r="D344" s="66" t="s">
        <v>375</v>
      </c>
      <c r="E344" s="67"/>
      <c r="F344" s="67">
        <v>40195</v>
      </c>
      <c r="G344" s="64" t="str">
        <f>IF(stdProdLT(Main[[#This Row],[Comments]])=0.1,"N/A",IF(stdProdLT(Main[[#This Row],[Comments]])=0,"",stdProdLT(Main[[#This Row],[Comments]])))</f>
        <v/>
      </c>
      <c r="H344" s="68" t="str">
        <f>IF(AND(Main[[#This Row],[In Stock Date]]&lt;&gt;"",Main[[#This Row],[Revised Due Date]]&lt;&gt;""),Main[[#This Row],[In Stock Date]]-Main[[#This Row],[Revised Due Date]],"")</f>
        <v/>
      </c>
      <c r="I344" s="65" t="s">
        <v>4</v>
      </c>
      <c r="J344" s="65" t="s">
        <v>4</v>
      </c>
      <c r="K344" s="65" t="s">
        <v>4</v>
      </c>
      <c r="L344" s="67"/>
      <c r="M344" s="69" t="str">
        <f>IF(Main[[#This Row],[Tech Start Date]]&lt;1/1/1990,"",IF(Main[[#This Row],[Class]]="C",WORKDAY(Main[[#This Row],[Tech Start Date]],9),IF(Main[[#This Row],[Class]]="B", WORKDAY(Main[[#This Row],[Tech Start Date]],6),IF(Main[[#This Row],[Class]]="A",WORKDAY(Main[[#This Row],[Tech Start Date]],2),""))))</f>
        <v/>
      </c>
      <c r="N344" s="69" t="str">
        <f>IF(Main[[#This Row],[Tech Start Date]]&lt;1/1/1990,"",IF(Main[[#This Row],[Class]]="C",WORKDAY(Main[[#This Row],[Tech Start Date]],19),IF(Main[[#This Row],[Class]]="B", WORKDAY(Main[[#This Row],[Tech Start Date]],12),IF(Main[[#This Row],[Class]]="A",WORKDAY(Main[[#This Row],[Tech Start Date]],4),""))))</f>
        <v/>
      </c>
      <c r="O344" s="69" t="str">
        <f>IF(Main[[#This Row],[Tech Start Date]]&lt;1/1/1990,"",IF(Main[[#This Row],[Class]]="C",WORKDAY(Main[[#This Row],[Tech Start Date]],23),IF(Main[[#This Row],[Class]]="B", WORKDAY(Main[[#This Row],[Tech Start Date]],15),IF(Main[[#This Row],[Class]]="A",WORKDAY(Main[[#This Row],[Tech Start Date]],5),""))))</f>
        <v/>
      </c>
      <c r="P344" s="69" t="str">
        <f>IF(Main[[#This Row],[Tech Start Date]]&lt;1/1/1990,"",IF(Main[[#This Row],[Class]]="C",WORKDAY(Main[[#This Row],[Tech Start Date]],28),IF(Main[[#This Row],[Class]]="B", WORKDAY(Main[[#This Row],[Tech Start Date]],19),IF(Main[[#This Row],[Class]]="A",WORKDAY(Main[[#This Row],[Tech Start Date]],9),""))))</f>
        <v/>
      </c>
      <c r="Q344" s="67">
        <v>40070</v>
      </c>
      <c r="R344" s="67"/>
      <c r="S344" s="65" t="s">
        <v>11</v>
      </c>
      <c r="T344" s="70" t="s">
        <v>4</v>
      </c>
      <c r="U344" s="65" t="s">
        <v>14</v>
      </c>
      <c r="V344" s="65" t="s">
        <v>1917</v>
      </c>
      <c r="W344" s="65" t="s">
        <v>1920</v>
      </c>
      <c r="X344" s="65" t="s">
        <v>2876</v>
      </c>
      <c r="Y344" s="65" t="s">
        <v>4</v>
      </c>
      <c r="Z344" s="65" t="s">
        <v>4</v>
      </c>
      <c r="AA344" s="65" t="s">
        <v>3407</v>
      </c>
    </row>
    <row r="345" spans="1:27" ht="17.45" hidden="1" customHeight="1">
      <c r="A345" s="100" t="str">
        <f>IF(priority(Main[[#This Row],[Comments]])&lt;&gt;0, priority(Main[[#This Row],[Comments]]),"")</f>
        <v/>
      </c>
      <c r="B345" s="77" t="s">
        <v>1826</v>
      </c>
      <c r="C345" s="65" t="s">
        <v>4</v>
      </c>
      <c r="D345" s="66" t="s">
        <v>878</v>
      </c>
      <c r="E345" s="67">
        <v>40122.528101851851</v>
      </c>
      <c r="F345" s="67"/>
      <c r="G345" s="64" t="str">
        <f>IF(stdProdLT(Main[[#This Row],[Comments]])=0.1,"N/A",IF(stdProdLT(Main[[#This Row],[Comments]])=0,"",stdProdLT(Main[[#This Row],[Comments]])))</f>
        <v/>
      </c>
      <c r="H345" s="68" t="str">
        <f>IF(AND(Main[[#This Row],[In Stock Date]]&lt;&gt;"",Main[[#This Row],[Revised Due Date]]&lt;&gt;""),Main[[#This Row],[In Stock Date]]-Main[[#This Row],[Revised Due Date]],"")</f>
        <v/>
      </c>
      <c r="I345" s="65" t="s">
        <v>4</v>
      </c>
      <c r="J345" s="65" t="s">
        <v>4</v>
      </c>
      <c r="K345" s="65" t="s">
        <v>4</v>
      </c>
      <c r="L345" s="67"/>
      <c r="M345" s="69" t="str">
        <f>IF(Main[[#This Row],[Tech Start Date]]&lt;1/1/1990,"",IF(Main[[#This Row],[Class]]="C",WORKDAY(Main[[#This Row],[Tech Start Date]],9),IF(Main[[#This Row],[Class]]="B", WORKDAY(Main[[#This Row],[Tech Start Date]],6),IF(Main[[#This Row],[Class]]="A",WORKDAY(Main[[#This Row],[Tech Start Date]],2),""))))</f>
        <v/>
      </c>
      <c r="N345" s="69" t="str">
        <f>IF(Main[[#This Row],[Tech Start Date]]&lt;1/1/1990,"",IF(Main[[#This Row],[Class]]="C",WORKDAY(Main[[#This Row],[Tech Start Date]],19),IF(Main[[#This Row],[Class]]="B", WORKDAY(Main[[#This Row],[Tech Start Date]],12),IF(Main[[#This Row],[Class]]="A",WORKDAY(Main[[#This Row],[Tech Start Date]],4),""))))</f>
        <v/>
      </c>
      <c r="O345" s="69" t="str">
        <f>IF(Main[[#This Row],[Tech Start Date]]&lt;1/1/1990,"",IF(Main[[#This Row],[Class]]="C",WORKDAY(Main[[#This Row],[Tech Start Date]],23),IF(Main[[#This Row],[Class]]="B", WORKDAY(Main[[#This Row],[Tech Start Date]],15),IF(Main[[#This Row],[Class]]="A",WORKDAY(Main[[#This Row],[Tech Start Date]],5),""))))</f>
        <v/>
      </c>
      <c r="P345" s="69" t="str">
        <f>IF(Main[[#This Row],[Tech Start Date]]&lt;1/1/1990,"",IF(Main[[#This Row],[Class]]="C",WORKDAY(Main[[#This Row],[Tech Start Date]],28),IF(Main[[#This Row],[Class]]="B", WORKDAY(Main[[#This Row],[Tech Start Date]],19),IF(Main[[#This Row],[Class]]="A",WORKDAY(Main[[#This Row],[Tech Start Date]],9),""))))</f>
        <v/>
      </c>
      <c r="Q345" s="67"/>
      <c r="R345" s="67">
        <v>40368</v>
      </c>
      <c r="S345" s="65" t="s">
        <v>17</v>
      </c>
      <c r="T345" s="70" t="s">
        <v>4</v>
      </c>
      <c r="U345" s="65" t="s">
        <v>29</v>
      </c>
      <c r="V345" s="65" t="s">
        <v>1915</v>
      </c>
      <c r="W345" s="65" t="s">
        <v>1919</v>
      </c>
      <c r="X345" s="65" t="s">
        <v>2862</v>
      </c>
      <c r="Y345" s="65" t="s">
        <v>3006</v>
      </c>
      <c r="Z345" s="65" t="s">
        <v>4</v>
      </c>
      <c r="AA345" s="65" t="s">
        <v>2862</v>
      </c>
    </row>
    <row r="346" spans="1:27" ht="17.45" hidden="1" customHeight="1">
      <c r="A346" s="100" t="str">
        <f>IF(priority(Main[[#This Row],[Comments]])&lt;&gt;0, priority(Main[[#This Row],[Comments]]),"")</f>
        <v/>
      </c>
      <c r="B346" s="77" t="s">
        <v>1852</v>
      </c>
      <c r="C346" s="65" t="s">
        <v>67</v>
      </c>
      <c r="D346" s="66" t="s">
        <v>908</v>
      </c>
      <c r="E346" s="67">
        <v>39981.49927083333</v>
      </c>
      <c r="F346" s="67"/>
      <c r="G346" s="64" t="str">
        <f>IF(stdProdLT(Main[[#This Row],[Comments]])=0.1,"N/A",IF(stdProdLT(Main[[#This Row],[Comments]])=0,"",stdProdLT(Main[[#This Row],[Comments]])))</f>
        <v/>
      </c>
      <c r="H346" s="68" t="str">
        <f>IF(AND(Main[[#This Row],[In Stock Date]]&lt;&gt;"",Main[[#This Row],[Revised Due Date]]&lt;&gt;""),Main[[#This Row],[In Stock Date]]-Main[[#This Row],[Revised Due Date]],"")</f>
        <v/>
      </c>
      <c r="I346" s="65" t="s">
        <v>974</v>
      </c>
      <c r="J346" s="65" t="s">
        <v>4</v>
      </c>
      <c r="K346" s="65" t="s">
        <v>1926</v>
      </c>
      <c r="L346" s="67"/>
      <c r="M346" s="69" t="str">
        <f>IF(Main[[#This Row],[Tech Start Date]]&lt;1/1/1990,"",IF(Main[[#This Row],[Class]]="C",WORKDAY(Main[[#This Row],[Tech Start Date]],9),IF(Main[[#This Row],[Class]]="B", WORKDAY(Main[[#This Row],[Tech Start Date]],6),IF(Main[[#This Row],[Class]]="A",WORKDAY(Main[[#This Row],[Tech Start Date]],2),""))))</f>
        <v/>
      </c>
      <c r="N346" s="69" t="str">
        <f>IF(Main[[#This Row],[Tech Start Date]]&lt;1/1/1990,"",IF(Main[[#This Row],[Class]]="C",WORKDAY(Main[[#This Row],[Tech Start Date]],19),IF(Main[[#This Row],[Class]]="B", WORKDAY(Main[[#This Row],[Tech Start Date]],12),IF(Main[[#This Row],[Class]]="A",WORKDAY(Main[[#This Row],[Tech Start Date]],4),""))))</f>
        <v/>
      </c>
      <c r="O346" s="69" t="str">
        <f>IF(Main[[#This Row],[Tech Start Date]]&lt;1/1/1990,"",IF(Main[[#This Row],[Class]]="C",WORKDAY(Main[[#This Row],[Tech Start Date]],23),IF(Main[[#This Row],[Class]]="B", WORKDAY(Main[[#This Row],[Tech Start Date]],15),IF(Main[[#This Row],[Class]]="A",WORKDAY(Main[[#This Row],[Tech Start Date]],5),""))))</f>
        <v/>
      </c>
      <c r="P346" s="69" t="str">
        <f>IF(Main[[#This Row],[Tech Start Date]]&lt;1/1/1990,"",IF(Main[[#This Row],[Class]]="C",WORKDAY(Main[[#This Row],[Tech Start Date]],28),IF(Main[[#This Row],[Class]]="B", WORKDAY(Main[[#This Row],[Tech Start Date]],19),IF(Main[[#This Row],[Class]]="A",WORKDAY(Main[[#This Row],[Tech Start Date]],9),""))))</f>
        <v/>
      </c>
      <c r="Q346" s="67">
        <v>40057</v>
      </c>
      <c r="R346" s="67">
        <v>40908</v>
      </c>
      <c r="S346" s="65" t="s">
        <v>17</v>
      </c>
      <c r="T346" s="70" t="s">
        <v>4</v>
      </c>
      <c r="U346" s="65" t="s">
        <v>29</v>
      </c>
      <c r="V346" s="65" t="s">
        <v>1917</v>
      </c>
      <c r="W346" s="65" t="s">
        <v>1919</v>
      </c>
      <c r="X346" s="65" t="s">
        <v>2820</v>
      </c>
      <c r="Y346" s="65" t="s">
        <v>3028</v>
      </c>
      <c r="Z346" s="65" t="s">
        <v>415</v>
      </c>
      <c r="AA346" s="65" t="s">
        <v>3410</v>
      </c>
    </row>
    <row r="347" spans="1:27" ht="17.45" hidden="1" customHeight="1">
      <c r="A347" s="100" t="str">
        <f>IF(priority(Main[[#This Row],[Comments]])&lt;&gt;0, priority(Main[[#This Row],[Comments]]),"")</f>
        <v/>
      </c>
      <c r="B347" s="77" t="s">
        <v>2079</v>
      </c>
      <c r="C347" s="65" t="s">
        <v>951</v>
      </c>
      <c r="D347" s="66" t="s">
        <v>2080</v>
      </c>
      <c r="E347" s="67"/>
      <c r="F347" s="67">
        <v>40871</v>
      </c>
      <c r="G347" s="64" t="str">
        <f>IF(stdProdLT(Main[[#This Row],[Comments]])=0.1,"N/A",IF(stdProdLT(Main[[#This Row],[Comments]])=0,"",stdProdLT(Main[[#This Row],[Comments]])))</f>
        <v/>
      </c>
      <c r="H347" s="68" t="str">
        <f>IF(AND(Main[[#This Row],[In Stock Date]]&lt;&gt;"",Main[[#This Row],[Revised Due Date]]&lt;&gt;""),Main[[#This Row],[In Stock Date]]-Main[[#This Row],[Revised Due Date]],"")</f>
        <v/>
      </c>
      <c r="I347" s="65" t="s">
        <v>4</v>
      </c>
      <c r="J347" s="65" t="s">
        <v>4</v>
      </c>
      <c r="K347" s="65" t="s">
        <v>4</v>
      </c>
      <c r="L347" s="67"/>
      <c r="M347" s="69" t="str">
        <f>IF(Main[[#This Row],[Tech Start Date]]&lt;1/1/1990,"",IF(Main[[#This Row],[Class]]="C",WORKDAY(Main[[#This Row],[Tech Start Date]],9),IF(Main[[#This Row],[Class]]="B", WORKDAY(Main[[#This Row],[Tech Start Date]],6),IF(Main[[#This Row],[Class]]="A",WORKDAY(Main[[#This Row],[Tech Start Date]],2),""))))</f>
        <v/>
      </c>
      <c r="N347" s="69" t="str">
        <f>IF(Main[[#This Row],[Tech Start Date]]&lt;1/1/1990,"",IF(Main[[#This Row],[Class]]="C",WORKDAY(Main[[#This Row],[Tech Start Date]],19),IF(Main[[#This Row],[Class]]="B", WORKDAY(Main[[#This Row],[Tech Start Date]],12),IF(Main[[#This Row],[Class]]="A",WORKDAY(Main[[#This Row],[Tech Start Date]],4),""))))</f>
        <v/>
      </c>
      <c r="O347" s="69" t="str">
        <f>IF(Main[[#This Row],[Tech Start Date]]&lt;1/1/1990,"",IF(Main[[#This Row],[Class]]="C",WORKDAY(Main[[#This Row],[Tech Start Date]],23),IF(Main[[#This Row],[Class]]="B", WORKDAY(Main[[#This Row],[Tech Start Date]],15),IF(Main[[#This Row],[Class]]="A",WORKDAY(Main[[#This Row],[Tech Start Date]],5),""))))</f>
        <v/>
      </c>
      <c r="P347" s="69" t="str">
        <f>IF(Main[[#This Row],[Tech Start Date]]&lt;1/1/1990,"",IF(Main[[#This Row],[Class]]="C",WORKDAY(Main[[#This Row],[Tech Start Date]],28),IF(Main[[#This Row],[Class]]="B", WORKDAY(Main[[#This Row],[Tech Start Date]],19),IF(Main[[#This Row],[Class]]="A",WORKDAY(Main[[#This Row],[Tech Start Date]],9),""))))</f>
        <v/>
      </c>
      <c r="Q347" s="67"/>
      <c r="R347" s="67"/>
      <c r="S347" s="65" t="s">
        <v>11</v>
      </c>
      <c r="T347" s="70" t="s">
        <v>4</v>
      </c>
      <c r="U347" s="65" t="s">
        <v>14</v>
      </c>
      <c r="V347" s="65" t="s">
        <v>1917</v>
      </c>
      <c r="W347" s="65" t="s">
        <v>1922</v>
      </c>
      <c r="X347" s="65" t="s">
        <v>50</v>
      </c>
      <c r="Y347" s="65" t="s">
        <v>2961</v>
      </c>
      <c r="Z347" s="65" t="s">
        <v>4</v>
      </c>
      <c r="AA347" s="65" t="s">
        <v>50</v>
      </c>
    </row>
    <row r="348" spans="1:27" ht="17.45" hidden="1" customHeight="1">
      <c r="A348" s="100" t="str">
        <f>IF(priority(Main[[#This Row],[Comments]])&lt;&gt;0, priority(Main[[#This Row],[Comments]]),"")</f>
        <v/>
      </c>
      <c r="B348" s="77" t="s">
        <v>1303</v>
      </c>
      <c r="C348" s="65" t="s">
        <v>376</v>
      </c>
      <c r="D348" s="66" t="s">
        <v>377</v>
      </c>
      <c r="E348" s="67">
        <v>39952.325474537036</v>
      </c>
      <c r="F348" s="67"/>
      <c r="G348" s="64" t="str">
        <f>IF(stdProdLT(Main[[#This Row],[Comments]])=0.1,"N/A",IF(stdProdLT(Main[[#This Row],[Comments]])=0,"",stdProdLT(Main[[#This Row],[Comments]])))</f>
        <v/>
      </c>
      <c r="H348" s="68" t="str">
        <f>IF(AND(Main[[#This Row],[In Stock Date]]&lt;&gt;"",Main[[#This Row],[Revised Due Date]]&lt;&gt;""),Main[[#This Row],[In Stock Date]]-Main[[#This Row],[Revised Due Date]],"")</f>
        <v/>
      </c>
      <c r="I348" s="65" t="s">
        <v>4</v>
      </c>
      <c r="J348" s="65" t="s">
        <v>4</v>
      </c>
      <c r="K348" s="65" t="s">
        <v>4</v>
      </c>
      <c r="L348" s="67"/>
      <c r="M348" s="69" t="str">
        <f>IF(Main[[#This Row],[Tech Start Date]]&lt;1/1/1990,"",IF(Main[[#This Row],[Class]]="C",WORKDAY(Main[[#This Row],[Tech Start Date]],9),IF(Main[[#This Row],[Class]]="B", WORKDAY(Main[[#This Row],[Tech Start Date]],6),IF(Main[[#This Row],[Class]]="A",WORKDAY(Main[[#This Row],[Tech Start Date]],2),""))))</f>
        <v/>
      </c>
      <c r="N348" s="69" t="str">
        <f>IF(Main[[#This Row],[Tech Start Date]]&lt;1/1/1990,"",IF(Main[[#This Row],[Class]]="C",WORKDAY(Main[[#This Row],[Tech Start Date]],19),IF(Main[[#This Row],[Class]]="B", WORKDAY(Main[[#This Row],[Tech Start Date]],12),IF(Main[[#This Row],[Class]]="A",WORKDAY(Main[[#This Row],[Tech Start Date]],4),""))))</f>
        <v/>
      </c>
      <c r="O348" s="69" t="str">
        <f>IF(Main[[#This Row],[Tech Start Date]]&lt;1/1/1990,"",IF(Main[[#This Row],[Class]]="C",WORKDAY(Main[[#This Row],[Tech Start Date]],23),IF(Main[[#This Row],[Class]]="B", WORKDAY(Main[[#This Row],[Tech Start Date]],15),IF(Main[[#This Row],[Class]]="A",WORKDAY(Main[[#This Row],[Tech Start Date]],5),""))))</f>
        <v/>
      </c>
      <c r="P348" s="69" t="str">
        <f>IF(Main[[#This Row],[Tech Start Date]]&lt;1/1/1990,"",IF(Main[[#This Row],[Class]]="C",WORKDAY(Main[[#This Row],[Tech Start Date]],28),IF(Main[[#This Row],[Class]]="B", WORKDAY(Main[[#This Row],[Tech Start Date]],19),IF(Main[[#This Row],[Class]]="A",WORKDAY(Main[[#This Row],[Tech Start Date]],9),""))))</f>
        <v/>
      </c>
      <c r="Q348" s="67"/>
      <c r="R348" s="67"/>
      <c r="S348" s="65" t="s">
        <v>17</v>
      </c>
      <c r="T348" s="70" t="s">
        <v>4</v>
      </c>
      <c r="U348" s="65" t="s">
        <v>7</v>
      </c>
      <c r="V348" s="65" t="s">
        <v>1917</v>
      </c>
      <c r="W348" s="65" t="s">
        <v>4</v>
      </c>
      <c r="X348" s="65" t="s">
        <v>2880</v>
      </c>
      <c r="Y348" s="65" t="s">
        <v>4</v>
      </c>
      <c r="Z348" s="65" t="s">
        <v>4</v>
      </c>
      <c r="AA348" s="65" t="s">
        <v>2880</v>
      </c>
    </row>
    <row r="349" spans="1:27" ht="17.45" hidden="1" customHeight="1">
      <c r="A349" s="100" t="str">
        <f>IF(priority(Main[[#This Row],[Comments]])&lt;&gt;0, priority(Main[[#This Row],[Comments]]),"")</f>
        <v/>
      </c>
      <c r="B349" s="77" t="s">
        <v>1304</v>
      </c>
      <c r="C349" s="65" t="s">
        <v>378</v>
      </c>
      <c r="D349" s="66" t="s">
        <v>379</v>
      </c>
      <c r="E349" s="67"/>
      <c r="F349" s="67">
        <v>40228</v>
      </c>
      <c r="G349" s="64" t="str">
        <f>IF(stdProdLT(Main[[#This Row],[Comments]])=0.1,"N/A",IF(stdProdLT(Main[[#This Row],[Comments]])=0,"",stdProdLT(Main[[#This Row],[Comments]])))</f>
        <v/>
      </c>
      <c r="H349" s="68" t="str">
        <f>IF(AND(Main[[#This Row],[In Stock Date]]&lt;&gt;"",Main[[#This Row],[Revised Due Date]]&lt;&gt;""),Main[[#This Row],[In Stock Date]]-Main[[#This Row],[Revised Due Date]],"")</f>
        <v/>
      </c>
      <c r="I349" s="65" t="s">
        <v>4</v>
      </c>
      <c r="J349" s="65" t="s">
        <v>4</v>
      </c>
      <c r="K349" s="65" t="s">
        <v>4</v>
      </c>
      <c r="L349" s="67"/>
      <c r="M349" s="69" t="str">
        <f>IF(Main[[#This Row],[Tech Start Date]]&lt;1/1/1990,"",IF(Main[[#This Row],[Class]]="C",WORKDAY(Main[[#This Row],[Tech Start Date]],9),IF(Main[[#This Row],[Class]]="B", WORKDAY(Main[[#This Row],[Tech Start Date]],6),IF(Main[[#This Row],[Class]]="A",WORKDAY(Main[[#This Row],[Tech Start Date]],2),""))))</f>
        <v/>
      </c>
      <c r="N349" s="69" t="str">
        <f>IF(Main[[#This Row],[Tech Start Date]]&lt;1/1/1990,"",IF(Main[[#This Row],[Class]]="C",WORKDAY(Main[[#This Row],[Tech Start Date]],19),IF(Main[[#This Row],[Class]]="B", WORKDAY(Main[[#This Row],[Tech Start Date]],12),IF(Main[[#This Row],[Class]]="A",WORKDAY(Main[[#This Row],[Tech Start Date]],4),""))))</f>
        <v/>
      </c>
      <c r="O349" s="69" t="str">
        <f>IF(Main[[#This Row],[Tech Start Date]]&lt;1/1/1990,"",IF(Main[[#This Row],[Class]]="C",WORKDAY(Main[[#This Row],[Tech Start Date]],23),IF(Main[[#This Row],[Class]]="B", WORKDAY(Main[[#This Row],[Tech Start Date]],15),IF(Main[[#This Row],[Class]]="A",WORKDAY(Main[[#This Row],[Tech Start Date]],5),""))))</f>
        <v/>
      </c>
      <c r="P349" s="69" t="str">
        <f>IF(Main[[#This Row],[Tech Start Date]]&lt;1/1/1990,"",IF(Main[[#This Row],[Class]]="C",WORKDAY(Main[[#This Row],[Tech Start Date]],28),IF(Main[[#This Row],[Class]]="B", WORKDAY(Main[[#This Row],[Tech Start Date]],19),IF(Main[[#This Row],[Class]]="A",WORKDAY(Main[[#This Row],[Tech Start Date]],9),""))))</f>
        <v/>
      </c>
      <c r="Q349" s="67">
        <v>40153</v>
      </c>
      <c r="R349" s="67"/>
      <c r="S349" s="65" t="s">
        <v>11</v>
      </c>
      <c r="T349" s="70" t="s">
        <v>4</v>
      </c>
      <c r="U349" s="65" t="s">
        <v>14</v>
      </c>
      <c r="V349" s="65" t="s">
        <v>1917</v>
      </c>
      <c r="W349" s="65" t="s">
        <v>1922</v>
      </c>
      <c r="X349" s="65" t="s">
        <v>2863</v>
      </c>
      <c r="Y349" s="65" t="s">
        <v>4</v>
      </c>
      <c r="Z349" s="65" t="s">
        <v>4</v>
      </c>
      <c r="AA349" s="65" t="s">
        <v>2863</v>
      </c>
    </row>
    <row r="350" spans="1:27" ht="17.45" hidden="1" customHeight="1">
      <c r="A350" s="100" t="str">
        <f>IF(priority(Main[[#This Row],[Comments]])&lt;&gt;0, priority(Main[[#This Row],[Comments]]),"")</f>
        <v/>
      </c>
      <c r="B350" s="77" t="s">
        <v>1306</v>
      </c>
      <c r="C350" s="65" t="s">
        <v>380</v>
      </c>
      <c r="D350" s="66" t="s">
        <v>381</v>
      </c>
      <c r="E350" s="67"/>
      <c r="F350" s="67"/>
      <c r="G350" s="64" t="str">
        <f>IF(stdProdLT(Main[[#This Row],[Comments]])=0.1,"N/A",IF(stdProdLT(Main[[#This Row],[Comments]])=0,"",stdProdLT(Main[[#This Row],[Comments]])))</f>
        <v/>
      </c>
      <c r="H350" s="68" t="str">
        <f>IF(AND(Main[[#This Row],[In Stock Date]]&lt;&gt;"",Main[[#This Row],[Revised Due Date]]&lt;&gt;""),Main[[#This Row],[In Stock Date]]-Main[[#This Row],[Revised Due Date]],"")</f>
        <v/>
      </c>
      <c r="I350" s="65" t="s">
        <v>4</v>
      </c>
      <c r="J350" s="65" t="s">
        <v>4</v>
      </c>
      <c r="K350" s="71" t="s">
        <v>4</v>
      </c>
      <c r="L350" s="67"/>
      <c r="M350" s="69" t="str">
        <f>IF(Main[[#This Row],[Tech Start Date]]&lt;1/1/1990,"",IF(Main[[#This Row],[Class]]="C",WORKDAY(Main[[#This Row],[Tech Start Date]],9),IF(Main[[#This Row],[Class]]="B", WORKDAY(Main[[#This Row],[Tech Start Date]],6),IF(Main[[#This Row],[Class]]="A",WORKDAY(Main[[#This Row],[Tech Start Date]],2),""))))</f>
        <v/>
      </c>
      <c r="N350" s="69" t="str">
        <f>IF(Main[[#This Row],[Tech Start Date]]&lt;1/1/1990,"",IF(Main[[#This Row],[Class]]="C",WORKDAY(Main[[#This Row],[Tech Start Date]],19),IF(Main[[#This Row],[Class]]="B", WORKDAY(Main[[#This Row],[Tech Start Date]],12),IF(Main[[#This Row],[Class]]="A",WORKDAY(Main[[#This Row],[Tech Start Date]],4),""))))</f>
        <v/>
      </c>
      <c r="O350" s="69" t="str">
        <f>IF(Main[[#This Row],[Tech Start Date]]&lt;1/1/1990,"",IF(Main[[#This Row],[Class]]="C",WORKDAY(Main[[#This Row],[Tech Start Date]],23),IF(Main[[#This Row],[Class]]="B", WORKDAY(Main[[#This Row],[Tech Start Date]],15),IF(Main[[#This Row],[Class]]="A",WORKDAY(Main[[#This Row],[Tech Start Date]],5),""))))</f>
        <v/>
      </c>
      <c r="P350" s="69" t="str">
        <f>IF(Main[[#This Row],[Tech Start Date]]&lt;1/1/1990,"",IF(Main[[#This Row],[Class]]="C",WORKDAY(Main[[#This Row],[Tech Start Date]],28),IF(Main[[#This Row],[Class]]="B", WORKDAY(Main[[#This Row],[Tech Start Date]],19),IF(Main[[#This Row],[Class]]="A",WORKDAY(Main[[#This Row],[Tech Start Date]],9),""))))</f>
        <v/>
      </c>
      <c r="Q350" s="67"/>
      <c r="R350" s="67"/>
      <c r="S350" s="65" t="s">
        <v>11</v>
      </c>
      <c r="T350" s="70" t="s">
        <v>4</v>
      </c>
      <c r="U350" s="65" t="s">
        <v>14</v>
      </c>
      <c r="V350" s="65" t="s">
        <v>1915</v>
      </c>
      <c r="W350" s="65" t="s">
        <v>1922</v>
      </c>
      <c r="X350" s="65" t="s">
        <v>2827</v>
      </c>
      <c r="Y350" s="65" t="s">
        <v>2948</v>
      </c>
      <c r="Z350" s="65" t="s">
        <v>4</v>
      </c>
      <c r="AA350" s="65" t="s">
        <v>2827</v>
      </c>
    </row>
    <row r="351" spans="1:27" ht="17.45" hidden="1" customHeight="1">
      <c r="A351" s="100" t="str">
        <f>IF(priority(Main[[#This Row],[Comments]])&lt;&gt;0, priority(Main[[#This Row],[Comments]]),"")</f>
        <v/>
      </c>
      <c r="B351" s="77" t="s">
        <v>1307</v>
      </c>
      <c r="C351" s="65" t="s">
        <v>382</v>
      </c>
      <c r="D351" s="66" t="s">
        <v>383</v>
      </c>
      <c r="E351" s="67"/>
      <c r="F351" s="67"/>
      <c r="G351" s="64" t="str">
        <f>IF(stdProdLT(Main[[#This Row],[Comments]])=0.1,"N/A",IF(stdProdLT(Main[[#This Row],[Comments]])=0,"",stdProdLT(Main[[#This Row],[Comments]])))</f>
        <v/>
      </c>
      <c r="H351" s="68" t="str">
        <f>IF(AND(Main[[#This Row],[In Stock Date]]&lt;&gt;"",Main[[#This Row],[Revised Due Date]]&lt;&gt;""),Main[[#This Row],[In Stock Date]]-Main[[#This Row],[Revised Due Date]],"")</f>
        <v/>
      </c>
      <c r="I351" s="65" t="s">
        <v>4</v>
      </c>
      <c r="J351" s="65" t="s">
        <v>4</v>
      </c>
      <c r="K351" s="65" t="s">
        <v>4</v>
      </c>
      <c r="L351" s="67"/>
      <c r="M351" s="69" t="str">
        <f>IF(Main[[#This Row],[Tech Start Date]]&lt;1/1/1990,"",IF(Main[[#This Row],[Class]]="C",WORKDAY(Main[[#This Row],[Tech Start Date]],9),IF(Main[[#This Row],[Class]]="B", WORKDAY(Main[[#This Row],[Tech Start Date]],6),IF(Main[[#This Row],[Class]]="A",WORKDAY(Main[[#This Row],[Tech Start Date]],2),""))))</f>
        <v/>
      </c>
      <c r="N351" s="69" t="str">
        <f>IF(Main[[#This Row],[Tech Start Date]]&lt;1/1/1990,"",IF(Main[[#This Row],[Class]]="C",WORKDAY(Main[[#This Row],[Tech Start Date]],19),IF(Main[[#This Row],[Class]]="B", WORKDAY(Main[[#This Row],[Tech Start Date]],12),IF(Main[[#This Row],[Class]]="A",WORKDAY(Main[[#This Row],[Tech Start Date]],4),""))))</f>
        <v/>
      </c>
      <c r="O351" s="69" t="str">
        <f>IF(Main[[#This Row],[Tech Start Date]]&lt;1/1/1990,"",IF(Main[[#This Row],[Class]]="C",WORKDAY(Main[[#This Row],[Tech Start Date]],23),IF(Main[[#This Row],[Class]]="B", WORKDAY(Main[[#This Row],[Tech Start Date]],15),IF(Main[[#This Row],[Class]]="A",WORKDAY(Main[[#This Row],[Tech Start Date]],5),""))))</f>
        <v/>
      </c>
      <c r="P351" s="69" t="str">
        <f>IF(Main[[#This Row],[Tech Start Date]]&lt;1/1/1990,"",IF(Main[[#This Row],[Class]]="C",WORKDAY(Main[[#This Row],[Tech Start Date]],28),IF(Main[[#This Row],[Class]]="B", WORKDAY(Main[[#This Row],[Tech Start Date]],19),IF(Main[[#This Row],[Class]]="A",WORKDAY(Main[[#This Row],[Tech Start Date]],9),""))))</f>
        <v/>
      </c>
      <c r="Q351" s="67"/>
      <c r="R351" s="67"/>
      <c r="S351" s="65" t="s">
        <v>11</v>
      </c>
      <c r="T351" s="70" t="s">
        <v>4</v>
      </c>
      <c r="U351" s="65" t="s">
        <v>14</v>
      </c>
      <c r="V351" s="65" t="s">
        <v>1915</v>
      </c>
      <c r="W351" s="65" t="s">
        <v>1922</v>
      </c>
      <c r="X351" s="65" t="s">
        <v>2827</v>
      </c>
      <c r="Y351" s="65" t="s">
        <v>2948</v>
      </c>
      <c r="Z351" s="65" t="s">
        <v>4</v>
      </c>
      <c r="AA351" s="65" t="s">
        <v>2827</v>
      </c>
    </row>
    <row r="352" spans="1:27" ht="17.45" hidden="1" customHeight="1">
      <c r="A352" s="100" t="str">
        <f>IF(priority(Main[[#This Row],[Comments]])&lt;&gt;0, priority(Main[[#This Row],[Comments]]),"")</f>
        <v/>
      </c>
      <c r="B352" s="77" t="s">
        <v>1329</v>
      </c>
      <c r="C352" s="65" t="s">
        <v>93</v>
      </c>
      <c r="D352" s="66" t="s">
        <v>384</v>
      </c>
      <c r="E352" s="67"/>
      <c r="F352" s="67">
        <v>40299</v>
      </c>
      <c r="G352" s="64" t="str">
        <f>IF(stdProdLT(Main[[#This Row],[Comments]])=0.1,"N/A",IF(stdProdLT(Main[[#This Row],[Comments]])=0,"",stdProdLT(Main[[#This Row],[Comments]])))</f>
        <v/>
      </c>
      <c r="H352" s="68" t="str">
        <f>IF(AND(Main[[#This Row],[In Stock Date]]&lt;&gt;"",Main[[#This Row],[Revised Due Date]]&lt;&gt;""),Main[[#This Row],[In Stock Date]]-Main[[#This Row],[Revised Due Date]],"")</f>
        <v/>
      </c>
      <c r="I352" s="65" t="s">
        <v>4</v>
      </c>
      <c r="J352" s="65" t="s">
        <v>4</v>
      </c>
      <c r="K352" s="65" t="s">
        <v>4</v>
      </c>
      <c r="L352" s="67"/>
      <c r="M352" s="69" t="str">
        <f>IF(Main[[#This Row],[Tech Start Date]]&lt;1/1/1990,"",IF(Main[[#This Row],[Class]]="C",WORKDAY(Main[[#This Row],[Tech Start Date]],9),IF(Main[[#This Row],[Class]]="B", WORKDAY(Main[[#This Row],[Tech Start Date]],6),IF(Main[[#This Row],[Class]]="A",WORKDAY(Main[[#This Row],[Tech Start Date]],2),""))))</f>
        <v/>
      </c>
      <c r="N352" s="69" t="str">
        <f>IF(Main[[#This Row],[Tech Start Date]]&lt;1/1/1990,"",IF(Main[[#This Row],[Class]]="C",WORKDAY(Main[[#This Row],[Tech Start Date]],19),IF(Main[[#This Row],[Class]]="B", WORKDAY(Main[[#This Row],[Tech Start Date]],12),IF(Main[[#This Row],[Class]]="A",WORKDAY(Main[[#This Row],[Tech Start Date]],4),""))))</f>
        <v/>
      </c>
      <c r="O352" s="69" t="str">
        <f>IF(Main[[#This Row],[Tech Start Date]]&lt;1/1/1990,"",IF(Main[[#This Row],[Class]]="C",WORKDAY(Main[[#This Row],[Tech Start Date]],23),IF(Main[[#This Row],[Class]]="B", WORKDAY(Main[[#This Row],[Tech Start Date]],15),IF(Main[[#This Row],[Class]]="A",WORKDAY(Main[[#This Row],[Tech Start Date]],5),""))))</f>
        <v/>
      </c>
      <c r="P352" s="69" t="str">
        <f>IF(Main[[#This Row],[Tech Start Date]]&lt;1/1/1990,"",IF(Main[[#This Row],[Class]]="C",WORKDAY(Main[[#This Row],[Tech Start Date]],28),IF(Main[[#This Row],[Class]]="B", WORKDAY(Main[[#This Row],[Tech Start Date]],19),IF(Main[[#This Row],[Class]]="A",WORKDAY(Main[[#This Row],[Tech Start Date]],9),""))))</f>
        <v/>
      </c>
      <c r="Q352" s="67">
        <v>40209</v>
      </c>
      <c r="R352" s="67"/>
      <c r="S352" s="65" t="s">
        <v>11</v>
      </c>
      <c r="T352" s="70" t="s">
        <v>4</v>
      </c>
      <c r="U352" s="65" t="s">
        <v>14</v>
      </c>
      <c r="V352" s="65" t="s">
        <v>1914</v>
      </c>
      <c r="W352" s="65" t="s">
        <v>1925</v>
      </c>
      <c r="X352" s="65" t="s">
        <v>2845</v>
      </c>
      <c r="Y352" s="65" t="s">
        <v>4</v>
      </c>
      <c r="Z352" s="65" t="s">
        <v>4</v>
      </c>
      <c r="AA352" s="65" t="s">
        <v>2845</v>
      </c>
    </row>
    <row r="353" spans="1:27" ht="17.45" hidden="1" customHeight="1">
      <c r="A353" s="100" t="str">
        <f>IF(priority(Main[[#This Row],[Comments]])&lt;&gt;0, priority(Main[[#This Row],[Comments]]),"")</f>
        <v/>
      </c>
      <c r="B353" s="77" t="s">
        <v>2083</v>
      </c>
      <c r="C353" s="65" t="s">
        <v>4</v>
      </c>
      <c r="D353" s="66" t="s">
        <v>2084</v>
      </c>
      <c r="E353" s="67">
        <v>40763.356041666666</v>
      </c>
      <c r="F353" s="67"/>
      <c r="G353" s="64" t="str">
        <f>IF(stdProdLT(Main[[#This Row],[Comments]])=0.1,"N/A",IF(stdProdLT(Main[[#This Row],[Comments]])=0,"",stdProdLT(Main[[#This Row],[Comments]])))</f>
        <v/>
      </c>
      <c r="H353" s="68" t="str">
        <f>IF(AND(Main[[#This Row],[In Stock Date]]&lt;&gt;"",Main[[#This Row],[Revised Due Date]]&lt;&gt;""),Main[[#This Row],[In Stock Date]]-Main[[#This Row],[Revised Due Date]],"")</f>
        <v/>
      </c>
      <c r="I353" s="65" t="s">
        <v>912</v>
      </c>
      <c r="J353" s="65" t="s">
        <v>52</v>
      </c>
      <c r="K353" s="65" t="s">
        <v>4</v>
      </c>
      <c r="L353" s="67"/>
      <c r="M353" s="69" t="str">
        <f>IF(Main[[#This Row],[Tech Start Date]]&lt;1/1/1990,"",IF(Main[[#This Row],[Class]]="C",WORKDAY(Main[[#This Row],[Tech Start Date]],9),IF(Main[[#This Row],[Class]]="B", WORKDAY(Main[[#This Row],[Tech Start Date]],6),IF(Main[[#This Row],[Class]]="A",WORKDAY(Main[[#This Row],[Tech Start Date]],2),""))))</f>
        <v/>
      </c>
      <c r="N353" s="69" t="str">
        <f>IF(Main[[#This Row],[Tech Start Date]]&lt;1/1/1990,"",IF(Main[[#This Row],[Class]]="C",WORKDAY(Main[[#This Row],[Tech Start Date]],19),IF(Main[[#This Row],[Class]]="B", WORKDAY(Main[[#This Row],[Tech Start Date]],12),IF(Main[[#This Row],[Class]]="A",WORKDAY(Main[[#This Row],[Tech Start Date]],4),""))))</f>
        <v/>
      </c>
      <c r="O353" s="69" t="str">
        <f>IF(Main[[#This Row],[Tech Start Date]]&lt;1/1/1990,"",IF(Main[[#This Row],[Class]]="C",WORKDAY(Main[[#This Row],[Tech Start Date]],23),IF(Main[[#This Row],[Class]]="B", WORKDAY(Main[[#This Row],[Tech Start Date]],15),IF(Main[[#This Row],[Class]]="A",WORKDAY(Main[[#This Row],[Tech Start Date]],5),""))))</f>
        <v/>
      </c>
      <c r="P353" s="69" t="str">
        <f>IF(Main[[#This Row],[Tech Start Date]]&lt;1/1/1990,"",IF(Main[[#This Row],[Class]]="C",WORKDAY(Main[[#This Row],[Tech Start Date]],28),IF(Main[[#This Row],[Class]]="B", WORKDAY(Main[[#This Row],[Tech Start Date]],19),IF(Main[[#This Row],[Class]]="A",WORKDAY(Main[[#This Row],[Tech Start Date]],9),""))))</f>
        <v/>
      </c>
      <c r="Q353" s="67">
        <v>40787</v>
      </c>
      <c r="R353" s="67"/>
      <c r="S353" s="65" t="s">
        <v>6</v>
      </c>
      <c r="T353" s="70" t="s">
        <v>4</v>
      </c>
      <c r="U353" s="65" t="s">
        <v>29</v>
      </c>
      <c r="V353" s="65" t="s">
        <v>1914</v>
      </c>
      <c r="W353" s="65" t="s">
        <v>4</v>
      </c>
      <c r="X353" s="65" t="s">
        <v>2822</v>
      </c>
      <c r="Y353" s="65" t="s">
        <v>2938</v>
      </c>
      <c r="Z353" s="65" t="s">
        <v>129</v>
      </c>
      <c r="AA353" s="65" t="s">
        <v>2822</v>
      </c>
    </row>
    <row r="354" spans="1:27" ht="17.45" hidden="1" customHeight="1">
      <c r="A354" s="100" t="str">
        <f>IF(priority(Main[[#This Row],[Comments]])&lt;&gt;0, priority(Main[[#This Row],[Comments]]),"")</f>
        <v/>
      </c>
      <c r="B354" s="77" t="s">
        <v>1663</v>
      </c>
      <c r="C354" s="65" t="s">
        <v>4</v>
      </c>
      <c r="D354" s="66" t="s">
        <v>725</v>
      </c>
      <c r="E354" s="67"/>
      <c r="F354" s="67"/>
      <c r="G354" s="64" t="str">
        <f>IF(stdProdLT(Main[[#This Row],[Comments]])=0.1,"N/A",IF(stdProdLT(Main[[#This Row],[Comments]])=0,"",stdProdLT(Main[[#This Row],[Comments]])))</f>
        <v/>
      </c>
      <c r="H354" s="68" t="str">
        <f>IF(AND(Main[[#This Row],[In Stock Date]]&lt;&gt;"",Main[[#This Row],[Revised Due Date]]&lt;&gt;""),Main[[#This Row],[In Stock Date]]-Main[[#This Row],[Revised Due Date]],"")</f>
        <v/>
      </c>
      <c r="I354" s="65" t="s">
        <v>894</v>
      </c>
      <c r="J354" s="65" t="s">
        <v>52</v>
      </c>
      <c r="K354" s="65" t="s">
        <v>1923</v>
      </c>
      <c r="L354" s="67"/>
      <c r="M354" s="69" t="str">
        <f>IF(Main[[#This Row],[Tech Start Date]]&lt;1/1/1990,"",IF(Main[[#This Row],[Class]]="C",WORKDAY(Main[[#This Row],[Tech Start Date]],9),IF(Main[[#This Row],[Class]]="B", WORKDAY(Main[[#This Row],[Tech Start Date]],6),IF(Main[[#This Row],[Class]]="A",WORKDAY(Main[[#This Row],[Tech Start Date]],2),""))))</f>
        <v/>
      </c>
      <c r="N354" s="69" t="str">
        <f>IF(Main[[#This Row],[Tech Start Date]]&lt;1/1/1990,"",IF(Main[[#This Row],[Class]]="C",WORKDAY(Main[[#This Row],[Tech Start Date]],19),IF(Main[[#This Row],[Class]]="B", WORKDAY(Main[[#This Row],[Tech Start Date]],12),IF(Main[[#This Row],[Class]]="A",WORKDAY(Main[[#This Row],[Tech Start Date]],4),""))))</f>
        <v/>
      </c>
      <c r="O354" s="69" t="str">
        <f>IF(Main[[#This Row],[Tech Start Date]]&lt;1/1/1990,"",IF(Main[[#This Row],[Class]]="C",WORKDAY(Main[[#This Row],[Tech Start Date]],23),IF(Main[[#This Row],[Class]]="B", WORKDAY(Main[[#This Row],[Tech Start Date]],15),IF(Main[[#This Row],[Class]]="A",WORKDAY(Main[[#This Row],[Tech Start Date]],5),""))))</f>
        <v/>
      </c>
      <c r="P354" s="69" t="str">
        <f>IF(Main[[#This Row],[Tech Start Date]]&lt;1/1/1990,"",IF(Main[[#This Row],[Class]]="C",WORKDAY(Main[[#This Row],[Tech Start Date]],28),IF(Main[[#This Row],[Class]]="B", WORKDAY(Main[[#This Row],[Tech Start Date]],19),IF(Main[[#This Row],[Class]]="A",WORKDAY(Main[[#This Row],[Tech Start Date]],9),""))))</f>
        <v/>
      </c>
      <c r="Q354" s="67">
        <v>40581</v>
      </c>
      <c r="R354" s="67"/>
      <c r="S354" s="65" t="s">
        <v>6</v>
      </c>
      <c r="T354" s="70" t="s">
        <v>4</v>
      </c>
      <c r="U354" s="65" t="s">
        <v>14</v>
      </c>
      <c r="V354" s="65" t="s">
        <v>1917</v>
      </c>
      <c r="W354" s="65" t="s">
        <v>1918</v>
      </c>
      <c r="X354" s="65" t="s">
        <v>2819</v>
      </c>
      <c r="Y354" s="65" t="s">
        <v>2932</v>
      </c>
      <c r="Z354" s="65" t="s">
        <v>44</v>
      </c>
      <c r="AA354" s="65" t="s">
        <v>2819</v>
      </c>
    </row>
    <row r="355" spans="1:27" ht="17.45" hidden="1" customHeight="1">
      <c r="A355" s="100" t="str">
        <f>IF(priority(Main[[#This Row],[Comments]])&lt;&gt;0, priority(Main[[#This Row],[Comments]]),"")</f>
        <v/>
      </c>
      <c r="B355" s="77" t="s">
        <v>1330</v>
      </c>
      <c r="C355" s="65" t="s">
        <v>31</v>
      </c>
      <c r="D355" s="66" t="s">
        <v>385</v>
      </c>
      <c r="E355" s="67"/>
      <c r="F355" s="67"/>
      <c r="G355" s="64" t="str">
        <f>IF(stdProdLT(Main[[#This Row],[Comments]])=0.1,"N/A",IF(stdProdLT(Main[[#This Row],[Comments]])=0,"",stdProdLT(Main[[#This Row],[Comments]])))</f>
        <v/>
      </c>
      <c r="H355" s="68" t="str">
        <f>IF(AND(Main[[#This Row],[In Stock Date]]&lt;&gt;"",Main[[#This Row],[Revised Due Date]]&lt;&gt;""),Main[[#This Row],[In Stock Date]]-Main[[#This Row],[Revised Due Date]],"")</f>
        <v/>
      </c>
      <c r="I355" s="65" t="s">
        <v>4</v>
      </c>
      <c r="J355" s="65" t="s">
        <v>4</v>
      </c>
      <c r="K355" s="65" t="s">
        <v>4</v>
      </c>
      <c r="L355" s="67"/>
      <c r="M355" s="69" t="str">
        <f>IF(Main[[#This Row],[Tech Start Date]]&lt;1/1/1990,"",IF(Main[[#This Row],[Class]]="C",WORKDAY(Main[[#This Row],[Tech Start Date]],9),IF(Main[[#This Row],[Class]]="B", WORKDAY(Main[[#This Row],[Tech Start Date]],6),IF(Main[[#This Row],[Class]]="A",WORKDAY(Main[[#This Row],[Tech Start Date]],2),""))))</f>
        <v/>
      </c>
      <c r="N355" s="69" t="str">
        <f>IF(Main[[#This Row],[Tech Start Date]]&lt;1/1/1990,"",IF(Main[[#This Row],[Class]]="C",WORKDAY(Main[[#This Row],[Tech Start Date]],19),IF(Main[[#This Row],[Class]]="B", WORKDAY(Main[[#This Row],[Tech Start Date]],12),IF(Main[[#This Row],[Class]]="A",WORKDAY(Main[[#This Row],[Tech Start Date]],4),""))))</f>
        <v/>
      </c>
      <c r="O355" s="69" t="str">
        <f>IF(Main[[#This Row],[Tech Start Date]]&lt;1/1/1990,"",IF(Main[[#This Row],[Class]]="C",WORKDAY(Main[[#This Row],[Tech Start Date]],23),IF(Main[[#This Row],[Class]]="B", WORKDAY(Main[[#This Row],[Tech Start Date]],15),IF(Main[[#This Row],[Class]]="A",WORKDAY(Main[[#This Row],[Tech Start Date]],5),""))))</f>
        <v/>
      </c>
      <c r="P355" s="69" t="str">
        <f>IF(Main[[#This Row],[Tech Start Date]]&lt;1/1/1990,"",IF(Main[[#This Row],[Class]]="C",WORKDAY(Main[[#This Row],[Tech Start Date]],28),IF(Main[[#This Row],[Class]]="B", WORKDAY(Main[[#This Row],[Tech Start Date]],19),IF(Main[[#This Row],[Class]]="A",WORKDAY(Main[[#This Row],[Tech Start Date]],9),""))))</f>
        <v/>
      </c>
      <c r="Q355" s="67">
        <v>40318</v>
      </c>
      <c r="R355" s="67"/>
      <c r="S355" s="65" t="s">
        <v>11</v>
      </c>
      <c r="T355" s="70" t="s">
        <v>4</v>
      </c>
      <c r="U355" s="65" t="s">
        <v>14</v>
      </c>
      <c r="V355" s="65" t="s">
        <v>1917</v>
      </c>
      <c r="W355" s="65" t="s">
        <v>1916</v>
      </c>
      <c r="X355" s="65" t="s">
        <v>2830</v>
      </c>
      <c r="Y355" s="65" t="s">
        <v>4</v>
      </c>
      <c r="Z355" s="65" t="s">
        <v>4</v>
      </c>
      <c r="AA355" s="65" t="s">
        <v>2830</v>
      </c>
    </row>
    <row r="356" spans="1:27" ht="17.45" hidden="1" customHeight="1">
      <c r="A356" s="100" t="str">
        <f>IF(priority(Main[[#This Row],[Comments]])&lt;&gt;0, priority(Main[[#This Row],[Comments]]),"")</f>
        <v/>
      </c>
      <c r="B356" s="77" t="s">
        <v>1331</v>
      </c>
      <c r="C356" s="65" t="s">
        <v>31</v>
      </c>
      <c r="D356" s="66" t="s">
        <v>386</v>
      </c>
      <c r="E356" s="67"/>
      <c r="F356" s="67"/>
      <c r="G356" s="64" t="str">
        <f>IF(stdProdLT(Main[[#This Row],[Comments]])=0.1,"N/A",IF(stdProdLT(Main[[#This Row],[Comments]])=0,"",stdProdLT(Main[[#This Row],[Comments]])))</f>
        <v/>
      </c>
      <c r="H356" s="68" t="str">
        <f>IF(AND(Main[[#This Row],[In Stock Date]]&lt;&gt;"",Main[[#This Row],[Revised Due Date]]&lt;&gt;""),Main[[#This Row],[In Stock Date]]-Main[[#This Row],[Revised Due Date]],"")</f>
        <v/>
      </c>
      <c r="I356" s="65" t="s">
        <v>4</v>
      </c>
      <c r="J356" s="65" t="s">
        <v>4</v>
      </c>
      <c r="K356" s="65" t="s">
        <v>4</v>
      </c>
      <c r="L356" s="67"/>
      <c r="M356" s="69" t="str">
        <f>IF(Main[[#This Row],[Tech Start Date]]&lt;1/1/1990,"",IF(Main[[#This Row],[Class]]="C",WORKDAY(Main[[#This Row],[Tech Start Date]],9),IF(Main[[#This Row],[Class]]="B", WORKDAY(Main[[#This Row],[Tech Start Date]],6),IF(Main[[#This Row],[Class]]="A",WORKDAY(Main[[#This Row],[Tech Start Date]],2),""))))</f>
        <v/>
      </c>
      <c r="N356" s="69" t="str">
        <f>IF(Main[[#This Row],[Tech Start Date]]&lt;1/1/1990,"",IF(Main[[#This Row],[Class]]="C",WORKDAY(Main[[#This Row],[Tech Start Date]],19),IF(Main[[#This Row],[Class]]="B", WORKDAY(Main[[#This Row],[Tech Start Date]],12),IF(Main[[#This Row],[Class]]="A",WORKDAY(Main[[#This Row],[Tech Start Date]],4),""))))</f>
        <v/>
      </c>
      <c r="O356" s="69" t="str">
        <f>IF(Main[[#This Row],[Tech Start Date]]&lt;1/1/1990,"",IF(Main[[#This Row],[Class]]="C",WORKDAY(Main[[#This Row],[Tech Start Date]],23),IF(Main[[#This Row],[Class]]="B", WORKDAY(Main[[#This Row],[Tech Start Date]],15),IF(Main[[#This Row],[Class]]="A",WORKDAY(Main[[#This Row],[Tech Start Date]],5),""))))</f>
        <v/>
      </c>
      <c r="P356" s="69" t="str">
        <f>IF(Main[[#This Row],[Tech Start Date]]&lt;1/1/1990,"",IF(Main[[#This Row],[Class]]="C",WORKDAY(Main[[#This Row],[Tech Start Date]],28),IF(Main[[#This Row],[Class]]="B", WORKDAY(Main[[#This Row],[Tech Start Date]],19),IF(Main[[#This Row],[Class]]="A",WORKDAY(Main[[#This Row],[Tech Start Date]],9),""))))</f>
        <v/>
      </c>
      <c r="Q356" s="67">
        <v>40318</v>
      </c>
      <c r="R356" s="67"/>
      <c r="S356" s="65" t="s">
        <v>11</v>
      </c>
      <c r="T356" s="70" t="s">
        <v>4</v>
      </c>
      <c r="U356" s="65" t="s">
        <v>14</v>
      </c>
      <c r="V356" s="65" t="s">
        <v>1924</v>
      </c>
      <c r="W356" s="65" t="s">
        <v>1925</v>
      </c>
      <c r="X356" s="65" t="s">
        <v>2830</v>
      </c>
      <c r="Y356" s="65" t="s">
        <v>4</v>
      </c>
      <c r="Z356" s="65" t="s">
        <v>4</v>
      </c>
      <c r="AA356" s="65" t="s">
        <v>2830</v>
      </c>
    </row>
    <row r="357" spans="1:27" ht="17.45" hidden="1" customHeight="1">
      <c r="A357" s="100" t="str">
        <f>IF(priority(Main[[#This Row],[Comments]])&lt;&gt;0, priority(Main[[#This Row],[Comments]]),"")</f>
        <v/>
      </c>
      <c r="B357" s="77" t="s">
        <v>2369</v>
      </c>
      <c r="C357" s="65" t="s">
        <v>4</v>
      </c>
      <c r="D357" s="66" t="s">
        <v>2370</v>
      </c>
      <c r="E357" s="67"/>
      <c r="F357" s="67"/>
      <c r="G357" s="64" t="str">
        <f>IF(stdProdLT(Main[[#This Row],[Comments]])=0.1,"N/A",IF(stdProdLT(Main[[#This Row],[Comments]])=0,"",stdProdLT(Main[[#This Row],[Comments]])))</f>
        <v/>
      </c>
      <c r="H357" s="68" t="str">
        <f>IF(AND(Main[[#This Row],[In Stock Date]]&lt;&gt;"",Main[[#This Row],[Revised Due Date]]&lt;&gt;""),Main[[#This Row],[In Stock Date]]-Main[[#This Row],[Revised Due Date]],"")</f>
        <v/>
      </c>
      <c r="I357" s="65" t="s">
        <v>4</v>
      </c>
      <c r="J357" s="65" t="s">
        <v>4</v>
      </c>
      <c r="K357" s="65" t="s">
        <v>4</v>
      </c>
      <c r="L357" s="67"/>
      <c r="M357" s="69" t="str">
        <f>IF(Main[[#This Row],[Tech Start Date]]&lt;1/1/1990,"",IF(Main[[#This Row],[Class]]="C",WORKDAY(Main[[#This Row],[Tech Start Date]],9),IF(Main[[#This Row],[Class]]="B", WORKDAY(Main[[#This Row],[Tech Start Date]],6),IF(Main[[#This Row],[Class]]="A",WORKDAY(Main[[#This Row],[Tech Start Date]],2),""))))</f>
        <v/>
      </c>
      <c r="N357" s="69" t="str">
        <f>IF(Main[[#This Row],[Tech Start Date]]&lt;1/1/1990,"",IF(Main[[#This Row],[Class]]="C",WORKDAY(Main[[#This Row],[Tech Start Date]],19),IF(Main[[#This Row],[Class]]="B", WORKDAY(Main[[#This Row],[Tech Start Date]],12),IF(Main[[#This Row],[Class]]="A",WORKDAY(Main[[#This Row],[Tech Start Date]],4),""))))</f>
        <v/>
      </c>
      <c r="O357" s="69" t="str">
        <f>IF(Main[[#This Row],[Tech Start Date]]&lt;1/1/1990,"",IF(Main[[#This Row],[Class]]="C",WORKDAY(Main[[#This Row],[Tech Start Date]],23),IF(Main[[#This Row],[Class]]="B", WORKDAY(Main[[#This Row],[Tech Start Date]],15),IF(Main[[#This Row],[Class]]="A",WORKDAY(Main[[#This Row],[Tech Start Date]],5),""))))</f>
        <v/>
      </c>
      <c r="P357" s="69" t="str">
        <f>IF(Main[[#This Row],[Tech Start Date]]&lt;1/1/1990,"",IF(Main[[#This Row],[Class]]="C",WORKDAY(Main[[#This Row],[Tech Start Date]],28),IF(Main[[#This Row],[Class]]="B", WORKDAY(Main[[#This Row],[Tech Start Date]],19),IF(Main[[#This Row],[Class]]="A",WORKDAY(Main[[#This Row],[Tech Start Date]],9),""))))</f>
        <v/>
      </c>
      <c r="Q357" s="67"/>
      <c r="R357" s="67"/>
      <c r="S357" s="65" t="s">
        <v>11</v>
      </c>
      <c r="T357" s="70" t="s">
        <v>4</v>
      </c>
      <c r="U357" s="65" t="s">
        <v>14</v>
      </c>
      <c r="V357" s="65" t="s">
        <v>1915</v>
      </c>
      <c r="W357" s="65" t="s">
        <v>4</v>
      </c>
      <c r="X357" s="65" t="s">
        <v>2249</v>
      </c>
      <c r="Y357" s="65" t="s">
        <v>4</v>
      </c>
      <c r="Z357" s="65" t="s">
        <v>4</v>
      </c>
      <c r="AA357" s="65" t="s">
        <v>4</v>
      </c>
    </row>
    <row r="358" spans="1:27" ht="17.45" hidden="1" customHeight="1">
      <c r="A358" s="100" t="str">
        <f>IF(priority(Main[[#This Row],[Comments]])&lt;&gt;0, priority(Main[[#This Row],[Comments]]),"")</f>
        <v/>
      </c>
      <c r="B358" s="77" t="s">
        <v>3598</v>
      </c>
      <c r="C358" s="65" t="s">
        <v>3599</v>
      </c>
      <c r="D358" s="66" t="s">
        <v>3600</v>
      </c>
      <c r="E358" s="67"/>
      <c r="F358" s="67">
        <v>40982</v>
      </c>
      <c r="G358" s="64" t="str">
        <f>IF(stdProdLT(Main[[#This Row],[Comments]])=0.1,"N/A",IF(stdProdLT(Main[[#This Row],[Comments]])=0,"",stdProdLT(Main[[#This Row],[Comments]])))</f>
        <v/>
      </c>
      <c r="H358" s="68" t="str">
        <f>IF(AND(Main[[#This Row],[In Stock Date]]&lt;&gt;"",Main[[#This Row],[Revised Due Date]]&lt;&gt;""),Main[[#This Row],[In Stock Date]]-Main[[#This Row],[Revised Due Date]],"")</f>
        <v/>
      </c>
      <c r="I358" s="65" t="s">
        <v>4</v>
      </c>
      <c r="J358" s="65" t="s">
        <v>4</v>
      </c>
      <c r="K358" s="65" t="s">
        <v>4</v>
      </c>
      <c r="L358" s="67"/>
      <c r="M358" s="69" t="str">
        <f>IF(Main[[#This Row],[Tech Start Date]]&lt;1/1/1990,"",IF(Main[[#This Row],[Class]]="C",WORKDAY(Main[[#This Row],[Tech Start Date]],9),IF(Main[[#This Row],[Class]]="B", WORKDAY(Main[[#This Row],[Tech Start Date]],6),IF(Main[[#This Row],[Class]]="A",WORKDAY(Main[[#This Row],[Tech Start Date]],2),""))))</f>
        <v/>
      </c>
      <c r="N358" s="69" t="str">
        <f>IF(Main[[#This Row],[Tech Start Date]]&lt;1/1/1990,"",IF(Main[[#This Row],[Class]]="C",WORKDAY(Main[[#This Row],[Tech Start Date]],19),IF(Main[[#This Row],[Class]]="B", WORKDAY(Main[[#This Row],[Tech Start Date]],12),IF(Main[[#This Row],[Class]]="A",WORKDAY(Main[[#This Row],[Tech Start Date]],4),""))))</f>
        <v/>
      </c>
      <c r="O358" s="69" t="str">
        <f>IF(Main[[#This Row],[Tech Start Date]]&lt;1/1/1990,"",IF(Main[[#This Row],[Class]]="C",WORKDAY(Main[[#This Row],[Tech Start Date]],23),IF(Main[[#This Row],[Class]]="B", WORKDAY(Main[[#This Row],[Tech Start Date]],15),IF(Main[[#This Row],[Class]]="A",WORKDAY(Main[[#This Row],[Tech Start Date]],5),""))))</f>
        <v/>
      </c>
      <c r="P358" s="69" t="str">
        <f>IF(Main[[#This Row],[Tech Start Date]]&lt;1/1/1990,"",IF(Main[[#This Row],[Class]]="C",WORKDAY(Main[[#This Row],[Tech Start Date]],28),IF(Main[[#This Row],[Class]]="B", WORKDAY(Main[[#This Row],[Tech Start Date]],19),IF(Main[[#This Row],[Class]]="A",WORKDAY(Main[[#This Row],[Tech Start Date]],9),""))))</f>
        <v/>
      </c>
      <c r="Q358" s="67"/>
      <c r="R358" s="67"/>
      <c r="S358" s="65" t="s">
        <v>11</v>
      </c>
      <c r="T358" s="70" t="s">
        <v>4</v>
      </c>
      <c r="U358" s="65" t="s">
        <v>12</v>
      </c>
      <c r="V358" s="65" t="s">
        <v>1917</v>
      </c>
      <c r="W358" s="65" t="s">
        <v>1919</v>
      </c>
      <c r="X358" s="65" t="s">
        <v>2834</v>
      </c>
      <c r="Y358" s="65" t="s">
        <v>3591</v>
      </c>
      <c r="Z358" s="65" t="s">
        <v>4</v>
      </c>
      <c r="AA358" s="65" t="s">
        <v>2834</v>
      </c>
    </row>
    <row r="359" spans="1:27" ht="17.45" hidden="1" customHeight="1">
      <c r="A359" s="100" t="str">
        <f>IF(priority(Main[[#This Row],[Comments]])&lt;&gt;0, priority(Main[[#This Row],[Comments]]),"")</f>
        <v/>
      </c>
      <c r="B359" s="77" t="s">
        <v>1332</v>
      </c>
      <c r="C359" s="65" t="s">
        <v>31</v>
      </c>
      <c r="D359" s="66" t="s">
        <v>387</v>
      </c>
      <c r="E359" s="67"/>
      <c r="F359" s="67"/>
      <c r="G359" s="64" t="str">
        <f>IF(stdProdLT(Main[[#This Row],[Comments]])=0.1,"N/A",IF(stdProdLT(Main[[#This Row],[Comments]])=0,"",stdProdLT(Main[[#This Row],[Comments]])))</f>
        <v/>
      </c>
      <c r="H359" s="68" t="str">
        <f>IF(AND(Main[[#This Row],[In Stock Date]]&lt;&gt;"",Main[[#This Row],[Revised Due Date]]&lt;&gt;""),Main[[#This Row],[In Stock Date]]-Main[[#This Row],[Revised Due Date]],"")</f>
        <v/>
      </c>
      <c r="I359" s="65" t="s">
        <v>4</v>
      </c>
      <c r="J359" s="65" t="s">
        <v>4</v>
      </c>
      <c r="K359" s="65" t="s">
        <v>4</v>
      </c>
      <c r="L359" s="67"/>
      <c r="M359" s="69" t="str">
        <f>IF(Main[[#This Row],[Tech Start Date]]&lt;1/1/1990,"",IF(Main[[#This Row],[Class]]="C",WORKDAY(Main[[#This Row],[Tech Start Date]],9),IF(Main[[#This Row],[Class]]="B", WORKDAY(Main[[#This Row],[Tech Start Date]],6),IF(Main[[#This Row],[Class]]="A",WORKDAY(Main[[#This Row],[Tech Start Date]],2),""))))</f>
        <v/>
      </c>
      <c r="N359" s="69" t="str">
        <f>IF(Main[[#This Row],[Tech Start Date]]&lt;1/1/1990,"",IF(Main[[#This Row],[Class]]="C",WORKDAY(Main[[#This Row],[Tech Start Date]],19),IF(Main[[#This Row],[Class]]="B", WORKDAY(Main[[#This Row],[Tech Start Date]],12),IF(Main[[#This Row],[Class]]="A",WORKDAY(Main[[#This Row],[Tech Start Date]],4),""))))</f>
        <v/>
      </c>
      <c r="O359" s="69" t="str">
        <f>IF(Main[[#This Row],[Tech Start Date]]&lt;1/1/1990,"",IF(Main[[#This Row],[Class]]="C",WORKDAY(Main[[#This Row],[Tech Start Date]],23),IF(Main[[#This Row],[Class]]="B", WORKDAY(Main[[#This Row],[Tech Start Date]],15),IF(Main[[#This Row],[Class]]="A",WORKDAY(Main[[#This Row],[Tech Start Date]],5),""))))</f>
        <v/>
      </c>
      <c r="P359" s="69" t="str">
        <f>IF(Main[[#This Row],[Tech Start Date]]&lt;1/1/1990,"",IF(Main[[#This Row],[Class]]="C",WORKDAY(Main[[#This Row],[Tech Start Date]],28),IF(Main[[#This Row],[Class]]="B", WORKDAY(Main[[#This Row],[Tech Start Date]],19),IF(Main[[#This Row],[Class]]="A",WORKDAY(Main[[#This Row],[Tech Start Date]],9),""))))</f>
        <v/>
      </c>
      <c r="Q359" s="67">
        <v>40318</v>
      </c>
      <c r="R359" s="67"/>
      <c r="S359" s="65" t="s">
        <v>11</v>
      </c>
      <c r="T359" s="70" t="s">
        <v>4</v>
      </c>
      <c r="U359" s="65" t="s">
        <v>14</v>
      </c>
      <c r="V359" s="65" t="s">
        <v>1924</v>
      </c>
      <c r="W359" s="65" t="s">
        <v>1916</v>
      </c>
      <c r="X359" s="65" t="s">
        <v>2830</v>
      </c>
      <c r="Y359" s="65" t="s">
        <v>4</v>
      </c>
      <c r="Z359" s="65" t="s">
        <v>4</v>
      </c>
      <c r="AA359" s="65" t="s">
        <v>2830</v>
      </c>
    </row>
    <row r="360" spans="1:27" ht="17.45" hidden="1" customHeight="1">
      <c r="A360" s="100" t="str">
        <f>IF(priority(Main[[#This Row],[Comments]])&lt;&gt;0, priority(Main[[#This Row],[Comments]]),"")</f>
        <v/>
      </c>
      <c r="B360" s="77" t="s">
        <v>1333</v>
      </c>
      <c r="C360" s="65" t="s">
        <v>31</v>
      </c>
      <c r="D360" s="66" t="s">
        <v>388</v>
      </c>
      <c r="E360" s="67"/>
      <c r="F360" s="67">
        <v>40288</v>
      </c>
      <c r="G360" s="64" t="str">
        <f>IF(stdProdLT(Main[[#This Row],[Comments]])=0.1,"N/A",IF(stdProdLT(Main[[#This Row],[Comments]])=0,"",stdProdLT(Main[[#This Row],[Comments]])))</f>
        <v/>
      </c>
      <c r="H360" s="68" t="str">
        <f>IF(AND(Main[[#This Row],[In Stock Date]]&lt;&gt;"",Main[[#This Row],[Revised Due Date]]&lt;&gt;""),Main[[#This Row],[In Stock Date]]-Main[[#This Row],[Revised Due Date]],"")</f>
        <v/>
      </c>
      <c r="I360" s="65" t="s">
        <v>4</v>
      </c>
      <c r="J360" s="65" t="s">
        <v>4</v>
      </c>
      <c r="K360" s="65" t="s">
        <v>4</v>
      </c>
      <c r="L360" s="67"/>
      <c r="M360" s="69" t="str">
        <f>IF(Main[[#This Row],[Tech Start Date]]&lt;1/1/1990,"",IF(Main[[#This Row],[Class]]="C",WORKDAY(Main[[#This Row],[Tech Start Date]],9),IF(Main[[#This Row],[Class]]="B", WORKDAY(Main[[#This Row],[Tech Start Date]],6),IF(Main[[#This Row],[Class]]="A",WORKDAY(Main[[#This Row],[Tech Start Date]],2),""))))</f>
        <v/>
      </c>
      <c r="N360" s="69" t="str">
        <f>IF(Main[[#This Row],[Tech Start Date]]&lt;1/1/1990,"",IF(Main[[#This Row],[Class]]="C",WORKDAY(Main[[#This Row],[Tech Start Date]],19),IF(Main[[#This Row],[Class]]="B", WORKDAY(Main[[#This Row],[Tech Start Date]],12),IF(Main[[#This Row],[Class]]="A",WORKDAY(Main[[#This Row],[Tech Start Date]],4),""))))</f>
        <v/>
      </c>
      <c r="O360" s="69" t="str">
        <f>IF(Main[[#This Row],[Tech Start Date]]&lt;1/1/1990,"",IF(Main[[#This Row],[Class]]="C",WORKDAY(Main[[#This Row],[Tech Start Date]],23),IF(Main[[#This Row],[Class]]="B", WORKDAY(Main[[#This Row],[Tech Start Date]],15),IF(Main[[#This Row],[Class]]="A",WORKDAY(Main[[#This Row],[Tech Start Date]],5),""))))</f>
        <v/>
      </c>
      <c r="P360" s="69" t="str">
        <f>IF(Main[[#This Row],[Tech Start Date]]&lt;1/1/1990,"",IF(Main[[#This Row],[Class]]="C",WORKDAY(Main[[#This Row],[Tech Start Date]],28),IF(Main[[#This Row],[Class]]="B", WORKDAY(Main[[#This Row],[Tech Start Date]],19),IF(Main[[#This Row],[Class]]="A",WORKDAY(Main[[#This Row],[Tech Start Date]],9),""))))</f>
        <v/>
      </c>
      <c r="Q360" s="67">
        <v>40106</v>
      </c>
      <c r="R360" s="67"/>
      <c r="S360" s="65" t="s">
        <v>11</v>
      </c>
      <c r="T360" s="70" t="s">
        <v>4</v>
      </c>
      <c r="U360" s="65" t="s">
        <v>14</v>
      </c>
      <c r="V360" s="65" t="s">
        <v>1917</v>
      </c>
      <c r="W360" s="65" t="s">
        <v>1925</v>
      </c>
      <c r="X360" s="65" t="s">
        <v>2830</v>
      </c>
      <c r="Y360" s="65" t="s">
        <v>4</v>
      </c>
      <c r="Z360" s="65" t="s">
        <v>4</v>
      </c>
      <c r="AA360" s="65" t="s">
        <v>2830</v>
      </c>
    </row>
    <row r="361" spans="1:27" ht="17.45" hidden="1" customHeight="1">
      <c r="A361" s="100" t="str">
        <f>IF(priority(Main[[#This Row],[Comments]])&lt;&gt;0, priority(Main[[#This Row],[Comments]]),"")</f>
        <v/>
      </c>
      <c r="B361" s="77" t="s">
        <v>1902</v>
      </c>
      <c r="C361" s="65" t="s">
        <v>277</v>
      </c>
      <c r="D361" s="66" t="s">
        <v>953</v>
      </c>
      <c r="E361" s="67"/>
      <c r="F361" s="67">
        <v>40543</v>
      </c>
      <c r="G361" s="64" t="str">
        <f>IF(stdProdLT(Main[[#This Row],[Comments]])=0.1,"N/A",IF(stdProdLT(Main[[#This Row],[Comments]])=0,"",stdProdLT(Main[[#This Row],[Comments]])))</f>
        <v/>
      </c>
      <c r="H361" s="68">
        <f>IF(AND(Main[[#This Row],[In Stock Date]]&lt;&gt;"",Main[[#This Row],[Revised Due Date]]&lt;&gt;""),Main[[#This Row],[In Stock Date]]-Main[[#This Row],[Revised Due Date]],"")</f>
        <v>-200</v>
      </c>
      <c r="I361" s="65" t="s">
        <v>163</v>
      </c>
      <c r="J361" s="65" t="s">
        <v>4</v>
      </c>
      <c r="K361" s="65" t="s">
        <v>1926</v>
      </c>
      <c r="L361" s="67"/>
      <c r="M361" s="69" t="str">
        <f>IF(Main[[#This Row],[Tech Start Date]]&lt;1/1/1990,"",IF(Main[[#This Row],[Class]]="C",WORKDAY(Main[[#This Row],[Tech Start Date]],9),IF(Main[[#This Row],[Class]]="B", WORKDAY(Main[[#This Row],[Tech Start Date]],6),IF(Main[[#This Row],[Class]]="A",WORKDAY(Main[[#This Row],[Tech Start Date]],2),""))))</f>
        <v/>
      </c>
      <c r="N361" s="69" t="str">
        <f>IF(Main[[#This Row],[Tech Start Date]]&lt;1/1/1990,"",IF(Main[[#This Row],[Class]]="C",WORKDAY(Main[[#This Row],[Tech Start Date]],19),IF(Main[[#This Row],[Class]]="B", WORKDAY(Main[[#This Row],[Tech Start Date]],12),IF(Main[[#This Row],[Class]]="A",WORKDAY(Main[[#This Row],[Tech Start Date]],4),""))))</f>
        <v/>
      </c>
      <c r="O361" s="69" t="str">
        <f>IF(Main[[#This Row],[Tech Start Date]]&lt;1/1/1990,"",IF(Main[[#This Row],[Class]]="C",WORKDAY(Main[[#This Row],[Tech Start Date]],23),IF(Main[[#This Row],[Class]]="B", WORKDAY(Main[[#This Row],[Tech Start Date]],15),IF(Main[[#This Row],[Class]]="A",WORKDAY(Main[[#This Row],[Tech Start Date]],5),""))))</f>
        <v/>
      </c>
      <c r="P361" s="69" t="str">
        <f>IF(Main[[#This Row],[Tech Start Date]]&lt;1/1/1990,"",IF(Main[[#This Row],[Class]]="C",WORKDAY(Main[[#This Row],[Tech Start Date]],28),IF(Main[[#This Row],[Class]]="B", WORKDAY(Main[[#This Row],[Tech Start Date]],19),IF(Main[[#This Row],[Class]]="A",WORKDAY(Main[[#This Row],[Tech Start Date]],9),""))))</f>
        <v/>
      </c>
      <c r="Q361" s="67">
        <v>40543</v>
      </c>
      <c r="R361" s="67">
        <v>40743</v>
      </c>
      <c r="S361" s="65" t="s">
        <v>17</v>
      </c>
      <c r="T361" s="70" t="s">
        <v>4</v>
      </c>
      <c r="U361" s="65" t="s">
        <v>14</v>
      </c>
      <c r="V361" s="65" t="s">
        <v>1917</v>
      </c>
      <c r="W361" s="65" t="s">
        <v>1916</v>
      </c>
      <c r="X361" s="65" t="s">
        <v>65</v>
      </c>
      <c r="Y361" s="65" t="s">
        <v>4</v>
      </c>
      <c r="Z361" s="65" t="s">
        <v>415</v>
      </c>
      <c r="AA361" s="65" t="s">
        <v>65</v>
      </c>
    </row>
    <row r="362" spans="1:27" ht="17.45" hidden="1" customHeight="1">
      <c r="A362" s="100" t="str">
        <f>IF(priority(Main[[#This Row],[Comments]])&lt;&gt;0, priority(Main[[#This Row],[Comments]]),"")</f>
        <v/>
      </c>
      <c r="B362" s="77" t="s">
        <v>1308</v>
      </c>
      <c r="C362" s="65" t="s">
        <v>4</v>
      </c>
      <c r="D362" s="66" t="s">
        <v>389</v>
      </c>
      <c r="E362" s="67"/>
      <c r="F362" s="67"/>
      <c r="G362" s="64" t="str">
        <f>IF(stdProdLT(Main[[#This Row],[Comments]])=0.1,"N/A",IF(stdProdLT(Main[[#This Row],[Comments]])=0,"",stdProdLT(Main[[#This Row],[Comments]])))</f>
        <v/>
      </c>
      <c r="H362" s="68" t="str">
        <f>IF(AND(Main[[#This Row],[In Stock Date]]&lt;&gt;"",Main[[#This Row],[Revised Due Date]]&lt;&gt;""),Main[[#This Row],[In Stock Date]]-Main[[#This Row],[Revised Due Date]],"")</f>
        <v/>
      </c>
      <c r="I362" s="65" t="s">
        <v>4</v>
      </c>
      <c r="J362" s="65" t="s">
        <v>4</v>
      </c>
      <c r="K362" s="65" t="s">
        <v>4</v>
      </c>
      <c r="L362" s="67"/>
      <c r="M362" s="69" t="str">
        <f>IF(Main[[#This Row],[Tech Start Date]]&lt;1/1/1990,"",IF(Main[[#This Row],[Class]]="C",WORKDAY(Main[[#This Row],[Tech Start Date]],9),IF(Main[[#This Row],[Class]]="B", WORKDAY(Main[[#This Row],[Tech Start Date]],6),IF(Main[[#This Row],[Class]]="A",WORKDAY(Main[[#This Row],[Tech Start Date]],2),""))))</f>
        <v/>
      </c>
      <c r="N362" s="69" t="str">
        <f>IF(Main[[#This Row],[Tech Start Date]]&lt;1/1/1990,"",IF(Main[[#This Row],[Class]]="C",WORKDAY(Main[[#This Row],[Tech Start Date]],19),IF(Main[[#This Row],[Class]]="B", WORKDAY(Main[[#This Row],[Tech Start Date]],12),IF(Main[[#This Row],[Class]]="A",WORKDAY(Main[[#This Row],[Tech Start Date]],4),""))))</f>
        <v/>
      </c>
      <c r="O362" s="69" t="str">
        <f>IF(Main[[#This Row],[Tech Start Date]]&lt;1/1/1990,"",IF(Main[[#This Row],[Class]]="C",WORKDAY(Main[[#This Row],[Tech Start Date]],23),IF(Main[[#This Row],[Class]]="B", WORKDAY(Main[[#This Row],[Tech Start Date]],15),IF(Main[[#This Row],[Class]]="A",WORKDAY(Main[[#This Row],[Tech Start Date]],5),""))))</f>
        <v/>
      </c>
      <c r="P362" s="69" t="str">
        <f>IF(Main[[#This Row],[Tech Start Date]]&lt;1/1/1990,"",IF(Main[[#This Row],[Class]]="C",WORKDAY(Main[[#This Row],[Tech Start Date]],28),IF(Main[[#This Row],[Class]]="B", WORKDAY(Main[[#This Row],[Tech Start Date]],19),IF(Main[[#This Row],[Class]]="A",WORKDAY(Main[[#This Row],[Tech Start Date]],9),""))))</f>
        <v/>
      </c>
      <c r="Q362" s="67"/>
      <c r="R362" s="67"/>
      <c r="S362" s="65" t="s">
        <v>4</v>
      </c>
      <c r="T362" s="70" t="s">
        <v>4</v>
      </c>
      <c r="U362" s="65" t="s">
        <v>14</v>
      </c>
      <c r="V362" s="65" t="s">
        <v>1915</v>
      </c>
      <c r="W362" s="65" t="s">
        <v>4</v>
      </c>
      <c r="X362" s="65" t="s">
        <v>922</v>
      </c>
      <c r="Y362" s="65" t="s">
        <v>4</v>
      </c>
      <c r="Z362" s="65" t="s">
        <v>4</v>
      </c>
      <c r="AA362" s="65" t="s">
        <v>4</v>
      </c>
    </row>
    <row r="363" spans="1:27" ht="17.45" hidden="1" customHeight="1">
      <c r="A363" s="100" t="str">
        <f>IF(priority(Main[[#This Row],[Comments]])&lt;&gt;0, priority(Main[[#This Row],[Comments]]),"")</f>
        <v/>
      </c>
      <c r="B363" s="77" t="s">
        <v>1192</v>
      </c>
      <c r="C363" s="65" t="s">
        <v>4</v>
      </c>
      <c r="D363" s="66" t="s">
        <v>252</v>
      </c>
      <c r="E363" s="67"/>
      <c r="F363" s="67"/>
      <c r="G363" s="64" t="str">
        <f>IF(stdProdLT(Main[[#This Row],[Comments]])=0.1,"N/A",IF(stdProdLT(Main[[#This Row],[Comments]])=0,"",stdProdLT(Main[[#This Row],[Comments]])))</f>
        <v/>
      </c>
      <c r="H363" s="68" t="str">
        <f>IF(AND(Main[[#This Row],[In Stock Date]]&lt;&gt;"",Main[[#This Row],[Revised Due Date]]&lt;&gt;""),Main[[#This Row],[In Stock Date]]-Main[[#This Row],[Revised Due Date]],"")</f>
        <v/>
      </c>
      <c r="I363" s="65" t="s">
        <v>4</v>
      </c>
      <c r="J363" s="65" t="s">
        <v>4</v>
      </c>
      <c r="K363" s="65" t="s">
        <v>4</v>
      </c>
      <c r="L363" s="67"/>
      <c r="M363" s="69" t="str">
        <f>IF(Main[[#This Row],[Tech Start Date]]&lt;1/1/1990,"",IF(Main[[#This Row],[Class]]="C",WORKDAY(Main[[#This Row],[Tech Start Date]],9),IF(Main[[#This Row],[Class]]="B", WORKDAY(Main[[#This Row],[Tech Start Date]],6),IF(Main[[#This Row],[Class]]="A",WORKDAY(Main[[#This Row],[Tech Start Date]],2),""))))</f>
        <v/>
      </c>
      <c r="N363" s="69" t="str">
        <f>IF(Main[[#This Row],[Tech Start Date]]&lt;1/1/1990,"",IF(Main[[#This Row],[Class]]="C",WORKDAY(Main[[#This Row],[Tech Start Date]],19),IF(Main[[#This Row],[Class]]="B", WORKDAY(Main[[#This Row],[Tech Start Date]],12),IF(Main[[#This Row],[Class]]="A",WORKDAY(Main[[#This Row],[Tech Start Date]],4),""))))</f>
        <v/>
      </c>
      <c r="O363" s="69" t="str">
        <f>IF(Main[[#This Row],[Tech Start Date]]&lt;1/1/1990,"",IF(Main[[#This Row],[Class]]="C",WORKDAY(Main[[#This Row],[Tech Start Date]],23),IF(Main[[#This Row],[Class]]="B", WORKDAY(Main[[#This Row],[Tech Start Date]],15),IF(Main[[#This Row],[Class]]="A",WORKDAY(Main[[#This Row],[Tech Start Date]],5),""))))</f>
        <v/>
      </c>
      <c r="P363" s="69" t="str">
        <f>IF(Main[[#This Row],[Tech Start Date]]&lt;1/1/1990,"",IF(Main[[#This Row],[Class]]="C",WORKDAY(Main[[#This Row],[Tech Start Date]],28),IF(Main[[#This Row],[Class]]="B", WORKDAY(Main[[#This Row],[Tech Start Date]],19),IF(Main[[#This Row],[Class]]="A",WORKDAY(Main[[#This Row],[Tech Start Date]],9),""))))</f>
        <v/>
      </c>
      <c r="Q363" s="67"/>
      <c r="R363" s="67"/>
      <c r="S363" s="65" t="s">
        <v>11</v>
      </c>
      <c r="T363" s="70" t="s">
        <v>4</v>
      </c>
      <c r="U363" s="65" t="s">
        <v>12</v>
      </c>
      <c r="V363" s="65" t="s">
        <v>1914</v>
      </c>
      <c r="W363" s="65" t="s">
        <v>1918</v>
      </c>
      <c r="X363" s="65" t="s">
        <v>877</v>
      </c>
      <c r="Y363" s="65" t="s">
        <v>3034</v>
      </c>
      <c r="Z363" s="65" t="s">
        <v>4</v>
      </c>
      <c r="AA363" s="65" t="s">
        <v>3402</v>
      </c>
    </row>
    <row r="364" spans="1:27" ht="17.45" hidden="1" customHeight="1">
      <c r="A364" s="100" t="str">
        <f>IF(priority(Main[[#This Row],[Comments]])&lt;&gt;0, priority(Main[[#This Row],[Comments]]),"")</f>
        <v/>
      </c>
      <c r="B364" s="77" t="s">
        <v>1193</v>
      </c>
      <c r="C364" s="65" t="s">
        <v>155</v>
      </c>
      <c r="D364" s="66" t="s">
        <v>253</v>
      </c>
      <c r="E364" s="67"/>
      <c r="F364" s="67"/>
      <c r="G364" s="64" t="str">
        <f>IF(stdProdLT(Main[[#This Row],[Comments]])=0.1,"N/A",IF(stdProdLT(Main[[#This Row],[Comments]])=0,"",stdProdLT(Main[[#This Row],[Comments]])))</f>
        <v/>
      </c>
      <c r="H364" s="68" t="str">
        <f>IF(AND(Main[[#This Row],[In Stock Date]]&lt;&gt;"",Main[[#This Row],[Revised Due Date]]&lt;&gt;""),Main[[#This Row],[In Stock Date]]-Main[[#This Row],[Revised Due Date]],"")</f>
        <v/>
      </c>
      <c r="I364" s="65" t="s">
        <v>4</v>
      </c>
      <c r="J364" s="65" t="s">
        <v>4</v>
      </c>
      <c r="K364" s="65" t="s">
        <v>4</v>
      </c>
      <c r="L364" s="67"/>
      <c r="M364" s="69" t="str">
        <f>IF(Main[[#This Row],[Tech Start Date]]&lt;1/1/1990,"",IF(Main[[#This Row],[Class]]="C",WORKDAY(Main[[#This Row],[Tech Start Date]],9),IF(Main[[#This Row],[Class]]="B", WORKDAY(Main[[#This Row],[Tech Start Date]],6),IF(Main[[#This Row],[Class]]="A",WORKDAY(Main[[#This Row],[Tech Start Date]],2),""))))</f>
        <v/>
      </c>
      <c r="N364" s="69" t="str">
        <f>IF(Main[[#This Row],[Tech Start Date]]&lt;1/1/1990,"",IF(Main[[#This Row],[Class]]="C",WORKDAY(Main[[#This Row],[Tech Start Date]],19),IF(Main[[#This Row],[Class]]="B", WORKDAY(Main[[#This Row],[Tech Start Date]],12),IF(Main[[#This Row],[Class]]="A",WORKDAY(Main[[#This Row],[Tech Start Date]],4),""))))</f>
        <v/>
      </c>
      <c r="O364" s="69" t="str">
        <f>IF(Main[[#This Row],[Tech Start Date]]&lt;1/1/1990,"",IF(Main[[#This Row],[Class]]="C",WORKDAY(Main[[#This Row],[Tech Start Date]],23),IF(Main[[#This Row],[Class]]="B", WORKDAY(Main[[#This Row],[Tech Start Date]],15),IF(Main[[#This Row],[Class]]="A",WORKDAY(Main[[#This Row],[Tech Start Date]],5),""))))</f>
        <v/>
      </c>
      <c r="P364" s="69" t="str">
        <f>IF(Main[[#This Row],[Tech Start Date]]&lt;1/1/1990,"",IF(Main[[#This Row],[Class]]="C",WORKDAY(Main[[#This Row],[Tech Start Date]],28),IF(Main[[#This Row],[Class]]="B", WORKDAY(Main[[#This Row],[Tech Start Date]],19),IF(Main[[#This Row],[Class]]="A",WORKDAY(Main[[#This Row],[Tech Start Date]],9),""))))</f>
        <v/>
      </c>
      <c r="Q364" s="67">
        <v>40144</v>
      </c>
      <c r="R364" s="67"/>
      <c r="S364" s="65" t="s">
        <v>11</v>
      </c>
      <c r="T364" s="70" t="s">
        <v>4</v>
      </c>
      <c r="U364" s="65" t="s">
        <v>14</v>
      </c>
      <c r="V364" s="65" t="s">
        <v>1914</v>
      </c>
      <c r="W364" s="65" t="s">
        <v>1916</v>
      </c>
      <c r="X364" s="65" t="s">
        <v>2854</v>
      </c>
      <c r="Y364" s="65" t="s">
        <v>4</v>
      </c>
      <c r="Z364" s="65" t="s">
        <v>4</v>
      </c>
      <c r="AA364" s="65" t="s">
        <v>2854</v>
      </c>
    </row>
    <row r="365" spans="1:27" ht="17.45" hidden="1" customHeight="1">
      <c r="A365" s="100" t="str">
        <f>IF(priority(Main[[#This Row],[Comments]])&lt;&gt;0, priority(Main[[#This Row],[Comments]]),"")</f>
        <v/>
      </c>
      <c r="B365" s="77" t="s">
        <v>1194</v>
      </c>
      <c r="C365" s="65" t="s">
        <v>4</v>
      </c>
      <c r="D365" s="66" t="s">
        <v>254</v>
      </c>
      <c r="E365" s="67">
        <v>40703.393472222226</v>
      </c>
      <c r="F365" s="67"/>
      <c r="G365" s="64" t="str">
        <f>IF(stdProdLT(Main[[#This Row],[Comments]])=0.1,"N/A",IF(stdProdLT(Main[[#This Row],[Comments]])=0,"",stdProdLT(Main[[#This Row],[Comments]])))</f>
        <v/>
      </c>
      <c r="H365" s="68" t="str">
        <f>IF(AND(Main[[#This Row],[In Stock Date]]&lt;&gt;"",Main[[#This Row],[Revised Due Date]]&lt;&gt;""),Main[[#This Row],[In Stock Date]]-Main[[#This Row],[Revised Due Date]],"")</f>
        <v/>
      </c>
      <c r="I365" s="65" t="s">
        <v>4</v>
      </c>
      <c r="J365" s="65" t="s">
        <v>4</v>
      </c>
      <c r="K365" s="71" t="s">
        <v>4</v>
      </c>
      <c r="L365" s="67"/>
      <c r="M365" s="69" t="str">
        <f>IF(Main[[#This Row],[Tech Start Date]]&lt;1/1/1990,"",IF(Main[[#This Row],[Class]]="C",WORKDAY(Main[[#This Row],[Tech Start Date]],9),IF(Main[[#This Row],[Class]]="B", WORKDAY(Main[[#This Row],[Tech Start Date]],6),IF(Main[[#This Row],[Class]]="A",WORKDAY(Main[[#This Row],[Tech Start Date]],2),""))))</f>
        <v/>
      </c>
      <c r="N365" s="69" t="str">
        <f>IF(Main[[#This Row],[Tech Start Date]]&lt;1/1/1990,"",IF(Main[[#This Row],[Class]]="C",WORKDAY(Main[[#This Row],[Tech Start Date]],19),IF(Main[[#This Row],[Class]]="B", WORKDAY(Main[[#This Row],[Tech Start Date]],12),IF(Main[[#This Row],[Class]]="A",WORKDAY(Main[[#This Row],[Tech Start Date]],4),""))))</f>
        <v/>
      </c>
      <c r="O365" s="69" t="str">
        <f>IF(Main[[#This Row],[Tech Start Date]]&lt;1/1/1990,"",IF(Main[[#This Row],[Class]]="C",WORKDAY(Main[[#This Row],[Tech Start Date]],23),IF(Main[[#This Row],[Class]]="B", WORKDAY(Main[[#This Row],[Tech Start Date]],15),IF(Main[[#This Row],[Class]]="A",WORKDAY(Main[[#This Row],[Tech Start Date]],5),""))))</f>
        <v/>
      </c>
      <c r="P365" s="69" t="str">
        <f>IF(Main[[#This Row],[Tech Start Date]]&lt;1/1/1990,"",IF(Main[[#This Row],[Class]]="C",WORKDAY(Main[[#This Row],[Tech Start Date]],28),IF(Main[[#This Row],[Class]]="B", WORKDAY(Main[[#This Row],[Tech Start Date]],19),IF(Main[[#This Row],[Class]]="A",WORKDAY(Main[[#This Row],[Tech Start Date]],9),""))))</f>
        <v/>
      </c>
      <c r="Q365" s="67">
        <v>40724</v>
      </c>
      <c r="R365" s="67"/>
      <c r="S365" s="65" t="s">
        <v>6</v>
      </c>
      <c r="T365" s="70" t="s">
        <v>4</v>
      </c>
      <c r="U365" s="65" t="s">
        <v>7</v>
      </c>
      <c r="V365" s="65" t="s">
        <v>1914</v>
      </c>
      <c r="W365" s="65" t="s">
        <v>1918</v>
      </c>
      <c r="X365" s="65" t="s">
        <v>2836</v>
      </c>
      <c r="Y365" s="65" t="s">
        <v>2965</v>
      </c>
      <c r="Z365" s="65" t="s">
        <v>4</v>
      </c>
      <c r="AA365" s="65" t="s">
        <v>2836</v>
      </c>
    </row>
    <row r="366" spans="1:27" ht="17.45" hidden="1" customHeight="1">
      <c r="A366" s="100" t="str">
        <f>IF(priority(Main[[#This Row],[Comments]])&lt;&gt;0, priority(Main[[#This Row],[Comments]]),"")</f>
        <v/>
      </c>
      <c r="B366" s="77" t="s">
        <v>1195</v>
      </c>
      <c r="C366" s="65" t="s">
        <v>33</v>
      </c>
      <c r="D366" s="66" t="s">
        <v>255</v>
      </c>
      <c r="E366" s="67"/>
      <c r="F366" s="67"/>
      <c r="G366" s="64" t="str">
        <f>IF(stdProdLT(Main[[#This Row],[Comments]])=0.1,"N/A",IF(stdProdLT(Main[[#This Row],[Comments]])=0,"",stdProdLT(Main[[#This Row],[Comments]])))</f>
        <v/>
      </c>
      <c r="H366" s="68" t="str">
        <f>IF(AND(Main[[#This Row],[In Stock Date]]&lt;&gt;"",Main[[#This Row],[Revised Due Date]]&lt;&gt;""),Main[[#This Row],[In Stock Date]]-Main[[#This Row],[Revised Due Date]],"")</f>
        <v/>
      </c>
      <c r="I366" s="65" t="s">
        <v>4</v>
      </c>
      <c r="J366" s="65" t="s">
        <v>28</v>
      </c>
      <c r="K366" s="71" t="s">
        <v>1927</v>
      </c>
      <c r="L366" s="67"/>
      <c r="M366" s="69" t="str">
        <f>IF(Main[[#This Row],[Tech Start Date]]&lt;1/1/1990,"",IF(Main[[#This Row],[Class]]="C",WORKDAY(Main[[#This Row],[Tech Start Date]],9),IF(Main[[#This Row],[Class]]="B", WORKDAY(Main[[#This Row],[Tech Start Date]],6),IF(Main[[#This Row],[Class]]="A",WORKDAY(Main[[#This Row],[Tech Start Date]],2),""))))</f>
        <v/>
      </c>
      <c r="N366" s="69" t="str">
        <f>IF(Main[[#This Row],[Tech Start Date]]&lt;1/1/1990,"",IF(Main[[#This Row],[Class]]="C",WORKDAY(Main[[#This Row],[Tech Start Date]],19),IF(Main[[#This Row],[Class]]="B", WORKDAY(Main[[#This Row],[Tech Start Date]],12),IF(Main[[#This Row],[Class]]="A",WORKDAY(Main[[#This Row],[Tech Start Date]],4),""))))</f>
        <v/>
      </c>
      <c r="O366" s="69" t="str">
        <f>IF(Main[[#This Row],[Tech Start Date]]&lt;1/1/1990,"",IF(Main[[#This Row],[Class]]="C",WORKDAY(Main[[#This Row],[Tech Start Date]],23),IF(Main[[#This Row],[Class]]="B", WORKDAY(Main[[#This Row],[Tech Start Date]],15),IF(Main[[#This Row],[Class]]="A",WORKDAY(Main[[#This Row],[Tech Start Date]],5),""))))</f>
        <v/>
      </c>
      <c r="P366" s="69" t="str">
        <f>IF(Main[[#This Row],[Tech Start Date]]&lt;1/1/1990,"",IF(Main[[#This Row],[Class]]="C",WORKDAY(Main[[#This Row],[Tech Start Date]],28),IF(Main[[#This Row],[Class]]="B", WORKDAY(Main[[#This Row],[Tech Start Date]],19),IF(Main[[#This Row],[Class]]="A",WORKDAY(Main[[#This Row],[Tech Start Date]],9),""))))</f>
        <v/>
      </c>
      <c r="Q366" s="67">
        <v>40364</v>
      </c>
      <c r="R366" s="67"/>
      <c r="S366" s="65" t="s">
        <v>17</v>
      </c>
      <c r="T366" s="70" t="s">
        <v>4</v>
      </c>
      <c r="U366" s="65" t="s">
        <v>14</v>
      </c>
      <c r="V366" s="65" t="s">
        <v>1915</v>
      </c>
      <c r="W366" s="65" t="s">
        <v>1919</v>
      </c>
      <c r="X366" s="65" t="s">
        <v>2875</v>
      </c>
      <c r="Y366" s="65" t="s">
        <v>3021</v>
      </c>
      <c r="Z366" s="65" t="s">
        <v>108</v>
      </c>
      <c r="AA366" s="65" t="s">
        <v>2875</v>
      </c>
    </row>
    <row r="367" spans="1:27" ht="17.45" hidden="1" customHeight="1">
      <c r="A367" s="100" t="str">
        <f>IF(priority(Main[[#This Row],[Comments]])&lt;&gt;0, priority(Main[[#This Row],[Comments]]),"")</f>
        <v/>
      </c>
      <c r="B367" s="77" t="s">
        <v>1196</v>
      </c>
      <c r="C367" s="65" t="s">
        <v>31</v>
      </c>
      <c r="D367" s="66" t="s">
        <v>256</v>
      </c>
      <c r="E367" s="67"/>
      <c r="F367" s="67"/>
      <c r="G367" s="64" t="str">
        <f>IF(stdProdLT(Main[[#This Row],[Comments]])=0.1,"N/A",IF(stdProdLT(Main[[#This Row],[Comments]])=0,"",stdProdLT(Main[[#This Row],[Comments]])))</f>
        <v/>
      </c>
      <c r="H367" s="68" t="str">
        <f>IF(AND(Main[[#This Row],[In Stock Date]]&lt;&gt;"",Main[[#This Row],[Revised Due Date]]&lt;&gt;""),Main[[#This Row],[In Stock Date]]-Main[[#This Row],[Revised Due Date]],"")</f>
        <v/>
      </c>
      <c r="I367" s="65" t="s">
        <v>4</v>
      </c>
      <c r="J367" s="65" t="s">
        <v>4</v>
      </c>
      <c r="K367" s="65" t="s">
        <v>4</v>
      </c>
      <c r="L367" s="67"/>
      <c r="M367" s="69" t="str">
        <f>IF(Main[[#This Row],[Tech Start Date]]&lt;1/1/1990,"",IF(Main[[#This Row],[Class]]="C",WORKDAY(Main[[#This Row],[Tech Start Date]],9),IF(Main[[#This Row],[Class]]="B", WORKDAY(Main[[#This Row],[Tech Start Date]],6),IF(Main[[#This Row],[Class]]="A",WORKDAY(Main[[#This Row],[Tech Start Date]],2),""))))</f>
        <v/>
      </c>
      <c r="N367" s="69" t="str">
        <f>IF(Main[[#This Row],[Tech Start Date]]&lt;1/1/1990,"",IF(Main[[#This Row],[Class]]="C",WORKDAY(Main[[#This Row],[Tech Start Date]],19),IF(Main[[#This Row],[Class]]="B", WORKDAY(Main[[#This Row],[Tech Start Date]],12),IF(Main[[#This Row],[Class]]="A",WORKDAY(Main[[#This Row],[Tech Start Date]],4),""))))</f>
        <v/>
      </c>
      <c r="O367" s="69" t="str">
        <f>IF(Main[[#This Row],[Tech Start Date]]&lt;1/1/1990,"",IF(Main[[#This Row],[Class]]="C",WORKDAY(Main[[#This Row],[Tech Start Date]],23),IF(Main[[#This Row],[Class]]="B", WORKDAY(Main[[#This Row],[Tech Start Date]],15),IF(Main[[#This Row],[Class]]="A",WORKDAY(Main[[#This Row],[Tech Start Date]],5),""))))</f>
        <v/>
      </c>
      <c r="P367" s="69" t="str">
        <f>IF(Main[[#This Row],[Tech Start Date]]&lt;1/1/1990,"",IF(Main[[#This Row],[Class]]="C",WORKDAY(Main[[#This Row],[Tech Start Date]],28),IF(Main[[#This Row],[Class]]="B", WORKDAY(Main[[#This Row],[Tech Start Date]],19),IF(Main[[#This Row],[Class]]="A",WORKDAY(Main[[#This Row],[Tech Start Date]],9),""))))</f>
        <v/>
      </c>
      <c r="Q367" s="67">
        <v>40318</v>
      </c>
      <c r="R367" s="67"/>
      <c r="S367" s="65" t="s">
        <v>11</v>
      </c>
      <c r="T367" s="70" t="s">
        <v>4</v>
      </c>
      <c r="U367" s="65" t="s">
        <v>14</v>
      </c>
      <c r="V367" s="65" t="s">
        <v>1917</v>
      </c>
      <c r="W367" s="65" t="s">
        <v>1916</v>
      </c>
      <c r="X367" s="65" t="s">
        <v>2830</v>
      </c>
      <c r="Y367" s="65" t="s">
        <v>4</v>
      </c>
      <c r="Z367" s="65" t="s">
        <v>4</v>
      </c>
      <c r="AA367" s="65" t="s">
        <v>2830</v>
      </c>
    </row>
    <row r="368" spans="1:27" ht="17.45" hidden="1" customHeight="1">
      <c r="A368" s="100" t="str">
        <f>IF(priority(Main[[#This Row],[Comments]])&lt;&gt;0, priority(Main[[#This Row],[Comments]]),"")</f>
        <v/>
      </c>
      <c r="B368" s="77" t="s">
        <v>1197</v>
      </c>
      <c r="C368" s="65" t="s">
        <v>4</v>
      </c>
      <c r="D368" s="66" t="s">
        <v>257</v>
      </c>
      <c r="E368" s="67"/>
      <c r="F368" s="67"/>
      <c r="G368" s="64" t="str">
        <f>IF(stdProdLT(Main[[#This Row],[Comments]])=0.1,"N/A",IF(stdProdLT(Main[[#This Row],[Comments]])=0,"",stdProdLT(Main[[#This Row],[Comments]])))</f>
        <v/>
      </c>
      <c r="H368" s="68" t="str">
        <f>IF(AND(Main[[#This Row],[In Stock Date]]&lt;&gt;"",Main[[#This Row],[Revised Due Date]]&lt;&gt;""),Main[[#This Row],[In Stock Date]]-Main[[#This Row],[Revised Due Date]],"")</f>
        <v/>
      </c>
      <c r="I368" s="65" t="s">
        <v>4</v>
      </c>
      <c r="J368" s="65" t="s">
        <v>4</v>
      </c>
      <c r="K368" s="65" t="s">
        <v>4</v>
      </c>
      <c r="L368" s="67"/>
      <c r="M368" s="69" t="str">
        <f>IF(Main[[#This Row],[Tech Start Date]]&lt;1/1/1990,"",IF(Main[[#This Row],[Class]]="C",WORKDAY(Main[[#This Row],[Tech Start Date]],9),IF(Main[[#This Row],[Class]]="B", WORKDAY(Main[[#This Row],[Tech Start Date]],6),IF(Main[[#This Row],[Class]]="A",WORKDAY(Main[[#This Row],[Tech Start Date]],2),""))))</f>
        <v/>
      </c>
      <c r="N368" s="69" t="str">
        <f>IF(Main[[#This Row],[Tech Start Date]]&lt;1/1/1990,"",IF(Main[[#This Row],[Class]]="C",WORKDAY(Main[[#This Row],[Tech Start Date]],19),IF(Main[[#This Row],[Class]]="B", WORKDAY(Main[[#This Row],[Tech Start Date]],12),IF(Main[[#This Row],[Class]]="A",WORKDAY(Main[[#This Row],[Tech Start Date]],4),""))))</f>
        <v/>
      </c>
      <c r="O368" s="69" t="str">
        <f>IF(Main[[#This Row],[Tech Start Date]]&lt;1/1/1990,"",IF(Main[[#This Row],[Class]]="C",WORKDAY(Main[[#This Row],[Tech Start Date]],23),IF(Main[[#This Row],[Class]]="B", WORKDAY(Main[[#This Row],[Tech Start Date]],15),IF(Main[[#This Row],[Class]]="A",WORKDAY(Main[[#This Row],[Tech Start Date]],5),""))))</f>
        <v/>
      </c>
      <c r="P368" s="69" t="str">
        <f>IF(Main[[#This Row],[Tech Start Date]]&lt;1/1/1990,"",IF(Main[[#This Row],[Class]]="C",WORKDAY(Main[[#This Row],[Tech Start Date]],28),IF(Main[[#This Row],[Class]]="B", WORKDAY(Main[[#This Row],[Tech Start Date]],19),IF(Main[[#This Row],[Class]]="A",WORKDAY(Main[[#This Row],[Tech Start Date]],9),""))))</f>
        <v/>
      </c>
      <c r="Q368" s="67">
        <v>40390</v>
      </c>
      <c r="R368" s="67"/>
      <c r="S368" s="65" t="s">
        <v>6</v>
      </c>
      <c r="T368" s="70" t="s">
        <v>4</v>
      </c>
      <c r="U368" s="65" t="s">
        <v>14</v>
      </c>
      <c r="V368" s="65" t="s">
        <v>1917</v>
      </c>
      <c r="W368" s="65" t="s">
        <v>4</v>
      </c>
      <c r="X368" s="65" t="s">
        <v>2819</v>
      </c>
      <c r="Y368" s="65" t="s">
        <v>2932</v>
      </c>
      <c r="Z368" s="65" t="s">
        <v>4</v>
      </c>
      <c r="AA368" s="65" t="s">
        <v>2819</v>
      </c>
    </row>
    <row r="369" spans="1:27" ht="17.45" hidden="1" customHeight="1">
      <c r="A369" s="100" t="str">
        <f>IF(priority(Main[[#This Row],[Comments]])&lt;&gt;0, priority(Main[[#This Row],[Comments]]),"")</f>
        <v/>
      </c>
      <c r="B369" s="77" t="s">
        <v>1198</v>
      </c>
      <c r="C369" s="65" t="s">
        <v>211</v>
      </c>
      <c r="D369" s="66" t="s">
        <v>258</v>
      </c>
      <c r="E369" s="67"/>
      <c r="F369" s="67">
        <v>40452</v>
      </c>
      <c r="G369" s="64" t="str">
        <f>IF(stdProdLT(Main[[#This Row],[Comments]])=0.1,"N/A",IF(stdProdLT(Main[[#This Row],[Comments]])=0,"",stdProdLT(Main[[#This Row],[Comments]])))</f>
        <v/>
      </c>
      <c r="H369" s="68" t="str">
        <f>IF(AND(Main[[#This Row],[In Stock Date]]&lt;&gt;"",Main[[#This Row],[Revised Due Date]]&lt;&gt;""),Main[[#This Row],[In Stock Date]]-Main[[#This Row],[Revised Due Date]],"")</f>
        <v/>
      </c>
      <c r="I369" s="65" t="s">
        <v>4</v>
      </c>
      <c r="J369" s="65" t="s">
        <v>4</v>
      </c>
      <c r="K369" s="65" t="s">
        <v>4</v>
      </c>
      <c r="L369" s="67"/>
      <c r="M369" s="69" t="str">
        <f>IF(Main[[#This Row],[Tech Start Date]]&lt;1/1/1990,"",IF(Main[[#This Row],[Class]]="C",WORKDAY(Main[[#This Row],[Tech Start Date]],9),IF(Main[[#This Row],[Class]]="B", WORKDAY(Main[[#This Row],[Tech Start Date]],6),IF(Main[[#This Row],[Class]]="A",WORKDAY(Main[[#This Row],[Tech Start Date]],2),""))))</f>
        <v/>
      </c>
      <c r="N369" s="69" t="str">
        <f>IF(Main[[#This Row],[Tech Start Date]]&lt;1/1/1990,"",IF(Main[[#This Row],[Class]]="C",WORKDAY(Main[[#This Row],[Tech Start Date]],19),IF(Main[[#This Row],[Class]]="B", WORKDAY(Main[[#This Row],[Tech Start Date]],12),IF(Main[[#This Row],[Class]]="A",WORKDAY(Main[[#This Row],[Tech Start Date]],4),""))))</f>
        <v/>
      </c>
      <c r="O369" s="69" t="str">
        <f>IF(Main[[#This Row],[Tech Start Date]]&lt;1/1/1990,"",IF(Main[[#This Row],[Class]]="C",WORKDAY(Main[[#This Row],[Tech Start Date]],23),IF(Main[[#This Row],[Class]]="B", WORKDAY(Main[[#This Row],[Tech Start Date]],15),IF(Main[[#This Row],[Class]]="A",WORKDAY(Main[[#This Row],[Tech Start Date]],5),""))))</f>
        <v/>
      </c>
      <c r="P369" s="69" t="str">
        <f>IF(Main[[#This Row],[Tech Start Date]]&lt;1/1/1990,"",IF(Main[[#This Row],[Class]]="C",WORKDAY(Main[[#This Row],[Tech Start Date]],28),IF(Main[[#This Row],[Class]]="B", WORKDAY(Main[[#This Row],[Tech Start Date]],19),IF(Main[[#This Row],[Class]]="A",WORKDAY(Main[[#This Row],[Tech Start Date]],9),""))))</f>
        <v/>
      </c>
      <c r="Q369" s="67">
        <v>40357</v>
      </c>
      <c r="R369" s="67"/>
      <c r="S369" s="65" t="s">
        <v>11</v>
      </c>
      <c r="T369" s="70" t="s">
        <v>4</v>
      </c>
      <c r="U369" s="65" t="s">
        <v>12</v>
      </c>
      <c r="V369" s="65" t="s">
        <v>1914</v>
      </c>
      <c r="W369" s="65" t="s">
        <v>1922</v>
      </c>
      <c r="X369" s="65" t="s">
        <v>2833</v>
      </c>
      <c r="Y369" s="65" t="s">
        <v>4</v>
      </c>
      <c r="Z369" s="65" t="s">
        <v>4</v>
      </c>
      <c r="AA369" s="65" t="s">
        <v>2833</v>
      </c>
    </row>
    <row r="370" spans="1:27" ht="17.45" hidden="1" customHeight="1">
      <c r="A370" s="100" t="str">
        <f>IF(priority(Main[[#This Row],[Comments]])&lt;&gt;0, priority(Main[[#This Row],[Comments]]),"")</f>
        <v/>
      </c>
      <c r="B370" s="77" t="s">
        <v>1199</v>
      </c>
      <c r="C370" s="65" t="s">
        <v>211</v>
      </c>
      <c r="D370" s="66" t="s">
        <v>259</v>
      </c>
      <c r="E370" s="67"/>
      <c r="F370" s="67">
        <v>40452</v>
      </c>
      <c r="G370" s="64" t="str">
        <f>IF(stdProdLT(Main[[#This Row],[Comments]])=0.1,"N/A",IF(stdProdLT(Main[[#This Row],[Comments]])=0,"",stdProdLT(Main[[#This Row],[Comments]])))</f>
        <v/>
      </c>
      <c r="H370" s="68" t="str">
        <f>IF(AND(Main[[#This Row],[In Stock Date]]&lt;&gt;"",Main[[#This Row],[Revised Due Date]]&lt;&gt;""),Main[[#This Row],[In Stock Date]]-Main[[#This Row],[Revised Due Date]],"")</f>
        <v/>
      </c>
      <c r="I370" s="65" t="s">
        <v>4</v>
      </c>
      <c r="J370" s="65" t="s">
        <v>4</v>
      </c>
      <c r="K370" s="65" t="s">
        <v>4</v>
      </c>
      <c r="L370" s="67"/>
      <c r="M370" s="69" t="str">
        <f>IF(Main[[#This Row],[Tech Start Date]]&lt;1/1/1990,"",IF(Main[[#This Row],[Class]]="C",WORKDAY(Main[[#This Row],[Tech Start Date]],9),IF(Main[[#This Row],[Class]]="B", WORKDAY(Main[[#This Row],[Tech Start Date]],6),IF(Main[[#This Row],[Class]]="A",WORKDAY(Main[[#This Row],[Tech Start Date]],2),""))))</f>
        <v/>
      </c>
      <c r="N370" s="69" t="str">
        <f>IF(Main[[#This Row],[Tech Start Date]]&lt;1/1/1990,"",IF(Main[[#This Row],[Class]]="C",WORKDAY(Main[[#This Row],[Tech Start Date]],19),IF(Main[[#This Row],[Class]]="B", WORKDAY(Main[[#This Row],[Tech Start Date]],12),IF(Main[[#This Row],[Class]]="A",WORKDAY(Main[[#This Row],[Tech Start Date]],4),""))))</f>
        <v/>
      </c>
      <c r="O370" s="69" t="str">
        <f>IF(Main[[#This Row],[Tech Start Date]]&lt;1/1/1990,"",IF(Main[[#This Row],[Class]]="C",WORKDAY(Main[[#This Row],[Tech Start Date]],23),IF(Main[[#This Row],[Class]]="B", WORKDAY(Main[[#This Row],[Tech Start Date]],15),IF(Main[[#This Row],[Class]]="A",WORKDAY(Main[[#This Row],[Tech Start Date]],5),""))))</f>
        <v/>
      </c>
      <c r="P370" s="69" t="str">
        <f>IF(Main[[#This Row],[Tech Start Date]]&lt;1/1/1990,"",IF(Main[[#This Row],[Class]]="C",WORKDAY(Main[[#This Row],[Tech Start Date]],28),IF(Main[[#This Row],[Class]]="B", WORKDAY(Main[[#This Row],[Tech Start Date]],19),IF(Main[[#This Row],[Class]]="A",WORKDAY(Main[[#This Row],[Tech Start Date]],9),""))))</f>
        <v/>
      </c>
      <c r="Q370" s="67">
        <v>40357</v>
      </c>
      <c r="R370" s="67"/>
      <c r="S370" s="65" t="s">
        <v>11</v>
      </c>
      <c r="T370" s="70" t="s">
        <v>4</v>
      </c>
      <c r="U370" s="65" t="s">
        <v>12</v>
      </c>
      <c r="V370" s="65" t="s">
        <v>1914</v>
      </c>
      <c r="W370" s="65" t="s">
        <v>1922</v>
      </c>
      <c r="X370" s="65" t="s">
        <v>2833</v>
      </c>
      <c r="Y370" s="65" t="s">
        <v>4</v>
      </c>
      <c r="Z370" s="65" t="s">
        <v>4</v>
      </c>
      <c r="AA370" s="65" t="s">
        <v>2833</v>
      </c>
    </row>
    <row r="371" spans="1:27" ht="17.45" hidden="1" customHeight="1">
      <c r="A371" s="100" t="str">
        <f>IF(priority(Main[[#This Row],[Comments]])&lt;&gt;0, priority(Main[[#This Row],[Comments]]),"")</f>
        <v/>
      </c>
      <c r="B371" s="77" t="s">
        <v>1309</v>
      </c>
      <c r="C371" s="65" t="s">
        <v>390</v>
      </c>
      <c r="D371" s="66" t="s">
        <v>391</v>
      </c>
      <c r="E371" s="67"/>
      <c r="F371" s="67">
        <v>40512</v>
      </c>
      <c r="G371" s="64" t="str">
        <f>IF(stdProdLT(Main[[#This Row],[Comments]])=0.1,"N/A",IF(stdProdLT(Main[[#This Row],[Comments]])=0,"",stdProdLT(Main[[#This Row],[Comments]])))</f>
        <v/>
      </c>
      <c r="H371" s="68" t="str">
        <f>IF(AND(Main[[#This Row],[In Stock Date]]&lt;&gt;"",Main[[#This Row],[Revised Due Date]]&lt;&gt;""),Main[[#This Row],[In Stock Date]]-Main[[#This Row],[Revised Due Date]],"")</f>
        <v/>
      </c>
      <c r="I371" s="65" t="s">
        <v>4</v>
      </c>
      <c r="J371" s="65" t="s">
        <v>4</v>
      </c>
      <c r="K371" s="71" t="s">
        <v>4</v>
      </c>
      <c r="L371" s="67"/>
      <c r="M371" s="69" t="str">
        <f>IF(Main[[#This Row],[Tech Start Date]]&lt;1/1/1990,"",IF(Main[[#This Row],[Class]]="C",WORKDAY(Main[[#This Row],[Tech Start Date]],9),IF(Main[[#This Row],[Class]]="B", WORKDAY(Main[[#This Row],[Tech Start Date]],6),IF(Main[[#This Row],[Class]]="A",WORKDAY(Main[[#This Row],[Tech Start Date]],2),""))))</f>
        <v/>
      </c>
      <c r="N371" s="69" t="str">
        <f>IF(Main[[#This Row],[Tech Start Date]]&lt;1/1/1990,"",IF(Main[[#This Row],[Class]]="C",WORKDAY(Main[[#This Row],[Tech Start Date]],19),IF(Main[[#This Row],[Class]]="B", WORKDAY(Main[[#This Row],[Tech Start Date]],12),IF(Main[[#This Row],[Class]]="A",WORKDAY(Main[[#This Row],[Tech Start Date]],4),""))))</f>
        <v/>
      </c>
      <c r="O371" s="69" t="str">
        <f>IF(Main[[#This Row],[Tech Start Date]]&lt;1/1/1990,"",IF(Main[[#This Row],[Class]]="C",WORKDAY(Main[[#This Row],[Tech Start Date]],23),IF(Main[[#This Row],[Class]]="B", WORKDAY(Main[[#This Row],[Tech Start Date]],15),IF(Main[[#This Row],[Class]]="A",WORKDAY(Main[[#This Row],[Tech Start Date]],5),""))))</f>
        <v/>
      </c>
      <c r="P371" s="69" t="str">
        <f>IF(Main[[#This Row],[Tech Start Date]]&lt;1/1/1990,"",IF(Main[[#This Row],[Class]]="C",WORKDAY(Main[[#This Row],[Tech Start Date]],28),IF(Main[[#This Row],[Class]]="B", WORKDAY(Main[[#This Row],[Tech Start Date]],19),IF(Main[[#This Row],[Class]]="A",WORKDAY(Main[[#This Row],[Tech Start Date]],9),""))))</f>
        <v/>
      </c>
      <c r="Q371" s="67">
        <v>40316</v>
      </c>
      <c r="R371" s="67"/>
      <c r="S371" s="65" t="s">
        <v>11</v>
      </c>
      <c r="T371" s="70" t="s">
        <v>4</v>
      </c>
      <c r="U371" s="65" t="s">
        <v>14</v>
      </c>
      <c r="V371" s="65" t="s">
        <v>1914</v>
      </c>
      <c r="W371" s="65" t="s">
        <v>1920</v>
      </c>
      <c r="X371" s="65" t="s">
        <v>2852</v>
      </c>
      <c r="Y371" s="65" t="s">
        <v>4</v>
      </c>
      <c r="Z371" s="65" t="s">
        <v>4</v>
      </c>
      <c r="AA371" s="65" t="s">
        <v>2852</v>
      </c>
    </row>
    <row r="372" spans="1:27" ht="17.45" hidden="1" customHeight="1">
      <c r="A372" s="100" t="str">
        <f>IF(priority(Main[[#This Row],[Comments]])&lt;&gt;0, priority(Main[[#This Row],[Comments]]),"")</f>
        <v/>
      </c>
      <c r="B372" s="77" t="s">
        <v>1310</v>
      </c>
      <c r="C372" s="65" t="s">
        <v>213</v>
      </c>
      <c r="D372" s="66" t="s">
        <v>392</v>
      </c>
      <c r="E372" s="67"/>
      <c r="F372" s="67">
        <v>40390</v>
      </c>
      <c r="G372" s="64" t="str">
        <f>IF(stdProdLT(Main[[#This Row],[Comments]])=0.1,"N/A",IF(stdProdLT(Main[[#This Row],[Comments]])=0,"",stdProdLT(Main[[#This Row],[Comments]])))</f>
        <v/>
      </c>
      <c r="H372" s="68" t="str">
        <f>IF(AND(Main[[#This Row],[In Stock Date]]&lt;&gt;"",Main[[#This Row],[Revised Due Date]]&lt;&gt;""),Main[[#This Row],[In Stock Date]]-Main[[#This Row],[Revised Due Date]],"")</f>
        <v/>
      </c>
      <c r="I372" s="65" t="s">
        <v>4</v>
      </c>
      <c r="J372" s="65" t="s">
        <v>4</v>
      </c>
      <c r="K372" s="65" t="s">
        <v>4</v>
      </c>
      <c r="L372" s="67"/>
      <c r="M372" s="69" t="str">
        <f>IF(Main[[#This Row],[Tech Start Date]]&lt;1/1/1990,"",IF(Main[[#This Row],[Class]]="C",WORKDAY(Main[[#This Row],[Tech Start Date]],9),IF(Main[[#This Row],[Class]]="B", WORKDAY(Main[[#This Row],[Tech Start Date]],6),IF(Main[[#This Row],[Class]]="A",WORKDAY(Main[[#This Row],[Tech Start Date]],2),""))))</f>
        <v/>
      </c>
      <c r="N372" s="69" t="str">
        <f>IF(Main[[#This Row],[Tech Start Date]]&lt;1/1/1990,"",IF(Main[[#This Row],[Class]]="C",WORKDAY(Main[[#This Row],[Tech Start Date]],19),IF(Main[[#This Row],[Class]]="B", WORKDAY(Main[[#This Row],[Tech Start Date]],12),IF(Main[[#This Row],[Class]]="A",WORKDAY(Main[[#This Row],[Tech Start Date]],4),""))))</f>
        <v/>
      </c>
      <c r="O372" s="69" t="str">
        <f>IF(Main[[#This Row],[Tech Start Date]]&lt;1/1/1990,"",IF(Main[[#This Row],[Class]]="C",WORKDAY(Main[[#This Row],[Tech Start Date]],23),IF(Main[[#This Row],[Class]]="B", WORKDAY(Main[[#This Row],[Tech Start Date]],15),IF(Main[[#This Row],[Class]]="A",WORKDAY(Main[[#This Row],[Tech Start Date]],5),""))))</f>
        <v/>
      </c>
      <c r="P372" s="69" t="str">
        <f>IF(Main[[#This Row],[Tech Start Date]]&lt;1/1/1990,"",IF(Main[[#This Row],[Class]]="C",WORKDAY(Main[[#This Row],[Tech Start Date]],28),IF(Main[[#This Row],[Class]]="B", WORKDAY(Main[[#This Row],[Tech Start Date]],19),IF(Main[[#This Row],[Class]]="A",WORKDAY(Main[[#This Row],[Tech Start Date]],9),""))))</f>
        <v/>
      </c>
      <c r="Q372" s="67">
        <v>40278</v>
      </c>
      <c r="R372" s="67"/>
      <c r="S372" s="65" t="s">
        <v>11</v>
      </c>
      <c r="T372" s="70" t="s">
        <v>4</v>
      </c>
      <c r="U372" s="65" t="s">
        <v>14</v>
      </c>
      <c r="V372" s="65" t="s">
        <v>1917</v>
      </c>
      <c r="W372" s="65" t="s">
        <v>1919</v>
      </c>
      <c r="X372" s="65" t="s">
        <v>553</v>
      </c>
      <c r="Y372" s="65" t="s">
        <v>4</v>
      </c>
      <c r="Z372" s="65" t="s">
        <v>4</v>
      </c>
      <c r="AA372" s="65" t="s">
        <v>553</v>
      </c>
    </row>
    <row r="373" spans="1:27" ht="17.45" hidden="1" customHeight="1">
      <c r="A373" s="100" t="str">
        <f>IF(priority(Main[[#This Row],[Comments]])&lt;&gt;0, priority(Main[[#This Row],[Comments]]),"")</f>
        <v/>
      </c>
      <c r="B373" s="77" t="s">
        <v>1311</v>
      </c>
      <c r="C373" s="65" t="s">
        <v>275</v>
      </c>
      <c r="D373" s="66" t="s">
        <v>393</v>
      </c>
      <c r="E373" s="67"/>
      <c r="F373" s="67">
        <v>40186</v>
      </c>
      <c r="G373" s="64" t="str">
        <f>IF(stdProdLT(Main[[#This Row],[Comments]])=0.1,"N/A",IF(stdProdLT(Main[[#This Row],[Comments]])=0,"",stdProdLT(Main[[#This Row],[Comments]])))</f>
        <v/>
      </c>
      <c r="H373" s="68" t="str">
        <f>IF(AND(Main[[#This Row],[In Stock Date]]&lt;&gt;"",Main[[#This Row],[Revised Due Date]]&lt;&gt;""),Main[[#This Row],[In Stock Date]]-Main[[#This Row],[Revised Due Date]],"")</f>
        <v/>
      </c>
      <c r="I373" s="65" t="s">
        <v>4</v>
      </c>
      <c r="J373" s="65" t="s">
        <v>4</v>
      </c>
      <c r="K373" s="65" t="s">
        <v>4</v>
      </c>
      <c r="L373" s="67"/>
      <c r="M373" s="69" t="str">
        <f>IF(Main[[#This Row],[Tech Start Date]]&lt;1/1/1990,"",IF(Main[[#This Row],[Class]]="C",WORKDAY(Main[[#This Row],[Tech Start Date]],9),IF(Main[[#This Row],[Class]]="B", WORKDAY(Main[[#This Row],[Tech Start Date]],6),IF(Main[[#This Row],[Class]]="A",WORKDAY(Main[[#This Row],[Tech Start Date]],2),""))))</f>
        <v/>
      </c>
      <c r="N373" s="69" t="str">
        <f>IF(Main[[#This Row],[Tech Start Date]]&lt;1/1/1990,"",IF(Main[[#This Row],[Class]]="C",WORKDAY(Main[[#This Row],[Tech Start Date]],19),IF(Main[[#This Row],[Class]]="B", WORKDAY(Main[[#This Row],[Tech Start Date]],12),IF(Main[[#This Row],[Class]]="A",WORKDAY(Main[[#This Row],[Tech Start Date]],4),""))))</f>
        <v/>
      </c>
      <c r="O373" s="69" t="str">
        <f>IF(Main[[#This Row],[Tech Start Date]]&lt;1/1/1990,"",IF(Main[[#This Row],[Class]]="C",WORKDAY(Main[[#This Row],[Tech Start Date]],23),IF(Main[[#This Row],[Class]]="B", WORKDAY(Main[[#This Row],[Tech Start Date]],15),IF(Main[[#This Row],[Class]]="A",WORKDAY(Main[[#This Row],[Tech Start Date]],5),""))))</f>
        <v/>
      </c>
      <c r="P373" s="69" t="str">
        <f>IF(Main[[#This Row],[Tech Start Date]]&lt;1/1/1990,"",IF(Main[[#This Row],[Class]]="C",WORKDAY(Main[[#This Row],[Tech Start Date]],28),IF(Main[[#This Row],[Class]]="B", WORKDAY(Main[[#This Row],[Tech Start Date]],19),IF(Main[[#This Row],[Class]]="A",WORKDAY(Main[[#This Row],[Tech Start Date]],9),""))))</f>
        <v/>
      </c>
      <c r="Q373" s="67">
        <v>40186</v>
      </c>
      <c r="R373" s="67"/>
      <c r="S373" s="65" t="s">
        <v>11</v>
      </c>
      <c r="T373" s="70" t="s">
        <v>4</v>
      </c>
      <c r="U373" s="65" t="s">
        <v>14</v>
      </c>
      <c r="V373" s="65" t="s">
        <v>1917</v>
      </c>
      <c r="W373" s="65" t="s">
        <v>1922</v>
      </c>
      <c r="X373" s="65" t="s">
        <v>2842</v>
      </c>
      <c r="Y373" s="65" t="s">
        <v>4</v>
      </c>
      <c r="Z373" s="65" t="s">
        <v>4</v>
      </c>
      <c r="AA373" s="65" t="s">
        <v>2842</v>
      </c>
    </row>
    <row r="374" spans="1:27" ht="17.45" hidden="1" customHeight="1">
      <c r="A374" s="100" t="str">
        <f>IF(priority(Main[[#This Row],[Comments]])&lt;&gt;0, priority(Main[[#This Row],[Comments]]),"")</f>
        <v/>
      </c>
      <c r="B374" s="77" t="s">
        <v>1312</v>
      </c>
      <c r="C374" s="65" t="s">
        <v>394</v>
      </c>
      <c r="D374" s="66" t="s">
        <v>395</v>
      </c>
      <c r="E374" s="67"/>
      <c r="F374" s="67"/>
      <c r="G374" s="64" t="str">
        <f>IF(stdProdLT(Main[[#This Row],[Comments]])=0.1,"N/A",IF(stdProdLT(Main[[#This Row],[Comments]])=0,"",stdProdLT(Main[[#This Row],[Comments]])))</f>
        <v/>
      </c>
      <c r="H374" s="68" t="str">
        <f>IF(AND(Main[[#This Row],[In Stock Date]]&lt;&gt;"",Main[[#This Row],[Revised Due Date]]&lt;&gt;""),Main[[#This Row],[In Stock Date]]-Main[[#This Row],[Revised Due Date]],"")</f>
        <v/>
      </c>
      <c r="I374" s="65" t="s">
        <v>4</v>
      </c>
      <c r="J374" s="65" t="s">
        <v>4</v>
      </c>
      <c r="K374" s="65" t="s">
        <v>4</v>
      </c>
      <c r="L374" s="67"/>
      <c r="M374" s="69" t="str">
        <f>IF(Main[[#This Row],[Tech Start Date]]&lt;1/1/1990,"",IF(Main[[#This Row],[Class]]="C",WORKDAY(Main[[#This Row],[Tech Start Date]],9),IF(Main[[#This Row],[Class]]="B", WORKDAY(Main[[#This Row],[Tech Start Date]],6),IF(Main[[#This Row],[Class]]="A",WORKDAY(Main[[#This Row],[Tech Start Date]],2),""))))</f>
        <v/>
      </c>
      <c r="N374" s="69" t="str">
        <f>IF(Main[[#This Row],[Tech Start Date]]&lt;1/1/1990,"",IF(Main[[#This Row],[Class]]="C",WORKDAY(Main[[#This Row],[Tech Start Date]],19),IF(Main[[#This Row],[Class]]="B", WORKDAY(Main[[#This Row],[Tech Start Date]],12),IF(Main[[#This Row],[Class]]="A",WORKDAY(Main[[#This Row],[Tech Start Date]],4),""))))</f>
        <v/>
      </c>
      <c r="O374" s="69" t="str">
        <f>IF(Main[[#This Row],[Tech Start Date]]&lt;1/1/1990,"",IF(Main[[#This Row],[Class]]="C",WORKDAY(Main[[#This Row],[Tech Start Date]],23),IF(Main[[#This Row],[Class]]="B", WORKDAY(Main[[#This Row],[Tech Start Date]],15),IF(Main[[#This Row],[Class]]="A",WORKDAY(Main[[#This Row],[Tech Start Date]],5),""))))</f>
        <v/>
      </c>
      <c r="P374" s="69" t="str">
        <f>IF(Main[[#This Row],[Tech Start Date]]&lt;1/1/1990,"",IF(Main[[#This Row],[Class]]="C",WORKDAY(Main[[#This Row],[Tech Start Date]],28),IF(Main[[#This Row],[Class]]="B", WORKDAY(Main[[#This Row],[Tech Start Date]],19),IF(Main[[#This Row],[Class]]="A",WORKDAY(Main[[#This Row],[Tech Start Date]],9),""))))</f>
        <v/>
      </c>
      <c r="Q374" s="67"/>
      <c r="R374" s="67"/>
      <c r="S374" s="65" t="s">
        <v>11</v>
      </c>
      <c r="T374" s="70" t="s">
        <v>4</v>
      </c>
      <c r="U374" s="65" t="s">
        <v>14</v>
      </c>
      <c r="V374" s="65" t="s">
        <v>1915</v>
      </c>
      <c r="W374" s="65" t="s">
        <v>1922</v>
      </c>
      <c r="X374" s="65" t="s">
        <v>2853</v>
      </c>
      <c r="Y374" s="65" t="s">
        <v>2991</v>
      </c>
      <c r="Z374" s="65" t="s">
        <v>4</v>
      </c>
      <c r="AA374" s="65" t="s">
        <v>2853</v>
      </c>
    </row>
    <row r="375" spans="1:27" ht="17.45" hidden="1" customHeight="1">
      <c r="A375" s="100" t="str">
        <f>IF(priority(Main[[#This Row],[Comments]])&lt;&gt;0, priority(Main[[#This Row],[Comments]]),"")</f>
        <v/>
      </c>
      <c r="B375" s="77" t="s">
        <v>1314</v>
      </c>
      <c r="C375" s="65" t="s">
        <v>4</v>
      </c>
      <c r="D375" s="66" t="s">
        <v>396</v>
      </c>
      <c r="E375" s="67">
        <v>40319.627523148149</v>
      </c>
      <c r="F375" s="67"/>
      <c r="G375" s="64" t="str">
        <f>IF(stdProdLT(Main[[#This Row],[Comments]])=0.1,"N/A",IF(stdProdLT(Main[[#This Row],[Comments]])=0,"",stdProdLT(Main[[#This Row],[Comments]])))</f>
        <v/>
      </c>
      <c r="H375" s="68" t="str">
        <f>IF(AND(Main[[#This Row],[In Stock Date]]&lt;&gt;"",Main[[#This Row],[Revised Due Date]]&lt;&gt;""),Main[[#This Row],[In Stock Date]]-Main[[#This Row],[Revised Due Date]],"")</f>
        <v/>
      </c>
      <c r="I375" s="65" t="s">
        <v>129</v>
      </c>
      <c r="J375" s="65" t="s">
        <v>4</v>
      </c>
      <c r="K375" s="71" t="s">
        <v>4</v>
      </c>
      <c r="L375" s="67"/>
      <c r="M375" s="69" t="str">
        <f>IF(Main[[#This Row],[Tech Start Date]]&lt;1/1/1990,"",IF(Main[[#This Row],[Class]]="C",WORKDAY(Main[[#This Row],[Tech Start Date]],9),IF(Main[[#This Row],[Class]]="B", WORKDAY(Main[[#This Row],[Tech Start Date]],6),IF(Main[[#This Row],[Class]]="A",WORKDAY(Main[[#This Row],[Tech Start Date]],2),""))))</f>
        <v/>
      </c>
      <c r="N375" s="69" t="str">
        <f>IF(Main[[#This Row],[Tech Start Date]]&lt;1/1/1990,"",IF(Main[[#This Row],[Class]]="C",WORKDAY(Main[[#This Row],[Tech Start Date]],19),IF(Main[[#This Row],[Class]]="B", WORKDAY(Main[[#This Row],[Tech Start Date]],12),IF(Main[[#This Row],[Class]]="A",WORKDAY(Main[[#This Row],[Tech Start Date]],4),""))))</f>
        <v/>
      </c>
      <c r="O375" s="69" t="str">
        <f>IF(Main[[#This Row],[Tech Start Date]]&lt;1/1/1990,"",IF(Main[[#This Row],[Class]]="C",WORKDAY(Main[[#This Row],[Tech Start Date]],23),IF(Main[[#This Row],[Class]]="B", WORKDAY(Main[[#This Row],[Tech Start Date]],15),IF(Main[[#This Row],[Class]]="A",WORKDAY(Main[[#This Row],[Tech Start Date]],5),""))))</f>
        <v/>
      </c>
      <c r="P375" s="69" t="str">
        <f>IF(Main[[#This Row],[Tech Start Date]]&lt;1/1/1990,"",IF(Main[[#This Row],[Class]]="C",WORKDAY(Main[[#This Row],[Tech Start Date]],28),IF(Main[[#This Row],[Class]]="B", WORKDAY(Main[[#This Row],[Tech Start Date]],19),IF(Main[[#This Row],[Class]]="A",WORKDAY(Main[[#This Row],[Tech Start Date]],9),""))))</f>
        <v/>
      </c>
      <c r="Q375" s="67">
        <v>40337</v>
      </c>
      <c r="R375" s="67"/>
      <c r="S375" s="65" t="s">
        <v>6</v>
      </c>
      <c r="T375" s="70" t="s">
        <v>4</v>
      </c>
      <c r="U375" s="65" t="s">
        <v>7</v>
      </c>
      <c r="V375" s="65" t="s">
        <v>1914</v>
      </c>
      <c r="W375" s="65" t="s">
        <v>1918</v>
      </c>
      <c r="X375" s="65" t="s">
        <v>2821</v>
      </c>
      <c r="Y375" s="65" t="s">
        <v>2936</v>
      </c>
      <c r="Z375" s="65" t="s">
        <v>4</v>
      </c>
      <c r="AA375" s="65" t="s">
        <v>2821</v>
      </c>
    </row>
    <row r="376" spans="1:27" ht="17.45" hidden="1" customHeight="1">
      <c r="A376" s="100" t="str">
        <f>IF(priority(Main[[#This Row],[Comments]])&lt;&gt;0, priority(Main[[#This Row],[Comments]]),"")</f>
        <v/>
      </c>
      <c r="B376" s="77" t="s">
        <v>1315</v>
      </c>
      <c r="C376" s="65" t="s">
        <v>93</v>
      </c>
      <c r="D376" s="66" t="s">
        <v>397</v>
      </c>
      <c r="E376" s="67"/>
      <c r="F376" s="67">
        <v>40132</v>
      </c>
      <c r="G376" s="64" t="str">
        <f>IF(stdProdLT(Main[[#This Row],[Comments]])=0.1,"N/A",IF(stdProdLT(Main[[#This Row],[Comments]])=0,"",stdProdLT(Main[[#This Row],[Comments]])))</f>
        <v/>
      </c>
      <c r="H376" s="68" t="str">
        <f>IF(AND(Main[[#This Row],[In Stock Date]]&lt;&gt;"",Main[[#This Row],[Revised Due Date]]&lt;&gt;""),Main[[#This Row],[In Stock Date]]-Main[[#This Row],[Revised Due Date]],"")</f>
        <v/>
      </c>
      <c r="I376" s="65" t="s">
        <v>4</v>
      </c>
      <c r="J376" s="65" t="s">
        <v>4</v>
      </c>
      <c r="K376" s="71" t="s">
        <v>4</v>
      </c>
      <c r="L376" s="67"/>
      <c r="M376" s="69" t="str">
        <f>IF(Main[[#This Row],[Tech Start Date]]&lt;1/1/1990,"",IF(Main[[#This Row],[Class]]="C",WORKDAY(Main[[#This Row],[Tech Start Date]],9),IF(Main[[#This Row],[Class]]="B", WORKDAY(Main[[#This Row],[Tech Start Date]],6),IF(Main[[#This Row],[Class]]="A",WORKDAY(Main[[#This Row],[Tech Start Date]],2),""))))</f>
        <v/>
      </c>
      <c r="N376" s="69" t="str">
        <f>IF(Main[[#This Row],[Tech Start Date]]&lt;1/1/1990,"",IF(Main[[#This Row],[Class]]="C",WORKDAY(Main[[#This Row],[Tech Start Date]],19),IF(Main[[#This Row],[Class]]="B", WORKDAY(Main[[#This Row],[Tech Start Date]],12),IF(Main[[#This Row],[Class]]="A",WORKDAY(Main[[#This Row],[Tech Start Date]],4),""))))</f>
        <v/>
      </c>
      <c r="O376" s="69" t="str">
        <f>IF(Main[[#This Row],[Tech Start Date]]&lt;1/1/1990,"",IF(Main[[#This Row],[Class]]="C",WORKDAY(Main[[#This Row],[Tech Start Date]],23),IF(Main[[#This Row],[Class]]="B", WORKDAY(Main[[#This Row],[Tech Start Date]],15),IF(Main[[#This Row],[Class]]="A",WORKDAY(Main[[#This Row],[Tech Start Date]],5),""))))</f>
        <v/>
      </c>
      <c r="P376" s="69" t="str">
        <f>IF(Main[[#This Row],[Tech Start Date]]&lt;1/1/1990,"",IF(Main[[#This Row],[Class]]="C",WORKDAY(Main[[#This Row],[Tech Start Date]],28),IF(Main[[#This Row],[Class]]="B", WORKDAY(Main[[#This Row],[Tech Start Date]],19),IF(Main[[#This Row],[Class]]="A",WORKDAY(Main[[#This Row],[Tech Start Date]],9),""))))</f>
        <v/>
      </c>
      <c r="Q376" s="67">
        <v>40132</v>
      </c>
      <c r="R376" s="67"/>
      <c r="S376" s="65" t="s">
        <v>11</v>
      </c>
      <c r="T376" s="70" t="s">
        <v>4</v>
      </c>
      <c r="U376" s="65" t="s">
        <v>14</v>
      </c>
      <c r="V376" s="65" t="s">
        <v>1924</v>
      </c>
      <c r="W376" s="65" t="s">
        <v>1925</v>
      </c>
      <c r="X376" s="65" t="s">
        <v>2856</v>
      </c>
      <c r="Y376" s="65" t="s">
        <v>4</v>
      </c>
      <c r="Z376" s="65" t="s">
        <v>4</v>
      </c>
      <c r="AA376" s="65" t="s">
        <v>2856</v>
      </c>
    </row>
    <row r="377" spans="1:27" ht="17.45" hidden="1" customHeight="1">
      <c r="A377" s="100" t="str">
        <f>IF(priority(Main[[#This Row],[Comments]])&lt;&gt;0, priority(Main[[#This Row],[Comments]]),"")</f>
        <v/>
      </c>
      <c r="B377" s="77" t="s">
        <v>1316</v>
      </c>
      <c r="C377" s="65" t="s">
        <v>4</v>
      </c>
      <c r="D377" s="66" t="s">
        <v>398</v>
      </c>
      <c r="E377" s="67"/>
      <c r="F377" s="67">
        <v>40385</v>
      </c>
      <c r="G377" s="64" t="str">
        <f>IF(stdProdLT(Main[[#This Row],[Comments]])=0.1,"N/A",IF(stdProdLT(Main[[#This Row],[Comments]])=0,"",stdProdLT(Main[[#This Row],[Comments]])))</f>
        <v/>
      </c>
      <c r="H377" s="68" t="str">
        <f>IF(AND(Main[[#This Row],[In Stock Date]]&lt;&gt;"",Main[[#This Row],[Revised Due Date]]&lt;&gt;""),Main[[#This Row],[In Stock Date]]-Main[[#This Row],[Revised Due Date]],"")</f>
        <v/>
      </c>
      <c r="I377" s="65" t="s">
        <v>399</v>
      </c>
      <c r="J377" s="65" t="s">
        <v>4</v>
      </c>
      <c r="K377" s="65" t="s">
        <v>4</v>
      </c>
      <c r="L377" s="67"/>
      <c r="M377" s="69" t="str">
        <f>IF(Main[[#This Row],[Tech Start Date]]&lt;1/1/1990,"",IF(Main[[#This Row],[Class]]="C",WORKDAY(Main[[#This Row],[Tech Start Date]],9),IF(Main[[#This Row],[Class]]="B", WORKDAY(Main[[#This Row],[Tech Start Date]],6),IF(Main[[#This Row],[Class]]="A",WORKDAY(Main[[#This Row],[Tech Start Date]],2),""))))</f>
        <v/>
      </c>
      <c r="N377" s="69" t="str">
        <f>IF(Main[[#This Row],[Tech Start Date]]&lt;1/1/1990,"",IF(Main[[#This Row],[Class]]="C",WORKDAY(Main[[#This Row],[Tech Start Date]],19),IF(Main[[#This Row],[Class]]="B", WORKDAY(Main[[#This Row],[Tech Start Date]],12),IF(Main[[#This Row],[Class]]="A",WORKDAY(Main[[#This Row],[Tech Start Date]],4),""))))</f>
        <v/>
      </c>
      <c r="O377" s="69" t="str">
        <f>IF(Main[[#This Row],[Tech Start Date]]&lt;1/1/1990,"",IF(Main[[#This Row],[Class]]="C",WORKDAY(Main[[#This Row],[Tech Start Date]],23),IF(Main[[#This Row],[Class]]="B", WORKDAY(Main[[#This Row],[Tech Start Date]],15),IF(Main[[#This Row],[Class]]="A",WORKDAY(Main[[#This Row],[Tech Start Date]],5),""))))</f>
        <v/>
      </c>
      <c r="P377" s="69" t="str">
        <f>IF(Main[[#This Row],[Tech Start Date]]&lt;1/1/1990,"",IF(Main[[#This Row],[Class]]="C",WORKDAY(Main[[#This Row],[Tech Start Date]],28),IF(Main[[#This Row],[Class]]="B", WORKDAY(Main[[#This Row],[Tech Start Date]],19),IF(Main[[#This Row],[Class]]="A",WORKDAY(Main[[#This Row],[Tech Start Date]],9),""))))</f>
        <v/>
      </c>
      <c r="Q377" s="67">
        <v>40359</v>
      </c>
      <c r="R377" s="67"/>
      <c r="S377" s="65" t="s">
        <v>11</v>
      </c>
      <c r="T377" s="70" t="s">
        <v>4</v>
      </c>
      <c r="U377" s="65" t="s">
        <v>14</v>
      </c>
      <c r="V377" s="65" t="s">
        <v>1917</v>
      </c>
      <c r="W377" s="65" t="s">
        <v>1920</v>
      </c>
      <c r="X377" s="65" t="s">
        <v>2881</v>
      </c>
      <c r="Y377" s="65" t="s">
        <v>3030</v>
      </c>
      <c r="Z377" s="65" t="s">
        <v>306</v>
      </c>
      <c r="AA377" s="65" t="s">
        <v>2881</v>
      </c>
    </row>
    <row r="378" spans="1:27" ht="17.45" hidden="1" customHeight="1">
      <c r="A378" s="100" t="str">
        <f>IF(priority(Main[[#This Row],[Comments]])&lt;&gt;0, priority(Main[[#This Row],[Comments]]),"")</f>
        <v/>
      </c>
      <c r="B378" s="77" t="s">
        <v>1317</v>
      </c>
      <c r="C378" s="65" t="s">
        <v>31</v>
      </c>
      <c r="D378" s="66" t="s">
        <v>400</v>
      </c>
      <c r="E378" s="67"/>
      <c r="F378" s="67">
        <v>40203</v>
      </c>
      <c r="G378" s="64" t="str">
        <f>IF(stdProdLT(Main[[#This Row],[Comments]])=0.1,"N/A",IF(stdProdLT(Main[[#This Row],[Comments]])=0,"",stdProdLT(Main[[#This Row],[Comments]])))</f>
        <v/>
      </c>
      <c r="H378" s="68" t="str">
        <f>IF(AND(Main[[#This Row],[In Stock Date]]&lt;&gt;"",Main[[#This Row],[Revised Due Date]]&lt;&gt;""),Main[[#This Row],[In Stock Date]]-Main[[#This Row],[Revised Due Date]],"")</f>
        <v/>
      </c>
      <c r="I378" s="65" t="s">
        <v>4</v>
      </c>
      <c r="J378" s="65" t="s">
        <v>4</v>
      </c>
      <c r="K378" s="65" t="s">
        <v>4</v>
      </c>
      <c r="L378" s="67"/>
      <c r="M378" s="69" t="str">
        <f>IF(Main[[#This Row],[Tech Start Date]]&lt;1/1/1990,"",IF(Main[[#This Row],[Class]]="C",WORKDAY(Main[[#This Row],[Tech Start Date]],9),IF(Main[[#This Row],[Class]]="B", WORKDAY(Main[[#This Row],[Tech Start Date]],6),IF(Main[[#This Row],[Class]]="A",WORKDAY(Main[[#This Row],[Tech Start Date]],2),""))))</f>
        <v/>
      </c>
      <c r="N378" s="69" t="str">
        <f>IF(Main[[#This Row],[Tech Start Date]]&lt;1/1/1990,"",IF(Main[[#This Row],[Class]]="C",WORKDAY(Main[[#This Row],[Tech Start Date]],19),IF(Main[[#This Row],[Class]]="B", WORKDAY(Main[[#This Row],[Tech Start Date]],12),IF(Main[[#This Row],[Class]]="A",WORKDAY(Main[[#This Row],[Tech Start Date]],4),""))))</f>
        <v/>
      </c>
      <c r="O378" s="69" t="str">
        <f>IF(Main[[#This Row],[Tech Start Date]]&lt;1/1/1990,"",IF(Main[[#This Row],[Class]]="C",WORKDAY(Main[[#This Row],[Tech Start Date]],23),IF(Main[[#This Row],[Class]]="B", WORKDAY(Main[[#This Row],[Tech Start Date]],15),IF(Main[[#This Row],[Class]]="A",WORKDAY(Main[[#This Row],[Tech Start Date]],5),""))))</f>
        <v/>
      </c>
      <c r="P378" s="69" t="str">
        <f>IF(Main[[#This Row],[Tech Start Date]]&lt;1/1/1990,"",IF(Main[[#This Row],[Class]]="C",WORKDAY(Main[[#This Row],[Tech Start Date]],28),IF(Main[[#This Row],[Class]]="B", WORKDAY(Main[[#This Row],[Tech Start Date]],19),IF(Main[[#This Row],[Class]]="A",WORKDAY(Main[[#This Row],[Tech Start Date]],9),""))))</f>
        <v/>
      </c>
      <c r="Q378" s="67">
        <v>40063</v>
      </c>
      <c r="R378" s="67"/>
      <c r="S378" s="65" t="s">
        <v>11</v>
      </c>
      <c r="T378" s="70" t="s">
        <v>4</v>
      </c>
      <c r="U378" s="65" t="s">
        <v>14</v>
      </c>
      <c r="V378" s="65" t="s">
        <v>1924</v>
      </c>
      <c r="W378" s="65" t="s">
        <v>1920</v>
      </c>
      <c r="X378" s="65" t="s">
        <v>2871</v>
      </c>
      <c r="Y378" s="65" t="s">
        <v>4</v>
      </c>
      <c r="Z378" s="65" t="s">
        <v>4</v>
      </c>
      <c r="AA378" s="65" t="s">
        <v>2871</v>
      </c>
    </row>
    <row r="379" spans="1:27" ht="17.45" hidden="1" customHeight="1">
      <c r="A379" s="100" t="str">
        <f>IF(priority(Main[[#This Row],[Comments]])&lt;&gt;0, priority(Main[[#This Row],[Comments]]),"")</f>
        <v/>
      </c>
      <c r="B379" s="77" t="s">
        <v>1654</v>
      </c>
      <c r="C379" s="65" t="s">
        <v>4</v>
      </c>
      <c r="D379" s="66" t="s">
        <v>720</v>
      </c>
      <c r="E379" s="67"/>
      <c r="F379" s="67"/>
      <c r="G379" s="64" t="str">
        <f>IF(stdProdLT(Main[[#This Row],[Comments]])=0.1,"N/A",IF(stdProdLT(Main[[#This Row],[Comments]])=0,"",stdProdLT(Main[[#This Row],[Comments]])))</f>
        <v/>
      </c>
      <c r="H379" s="68" t="str">
        <f>IF(AND(Main[[#This Row],[In Stock Date]]&lt;&gt;"",Main[[#This Row],[Revised Due Date]]&lt;&gt;""),Main[[#This Row],[In Stock Date]]-Main[[#This Row],[Revised Due Date]],"")</f>
        <v/>
      </c>
      <c r="I379" s="65" t="s">
        <v>4</v>
      </c>
      <c r="J379" s="65" t="s">
        <v>4</v>
      </c>
      <c r="K379" s="65" t="s">
        <v>4</v>
      </c>
      <c r="L379" s="67"/>
      <c r="M379" s="69" t="str">
        <f>IF(Main[[#This Row],[Tech Start Date]]&lt;1/1/1990,"",IF(Main[[#This Row],[Class]]="C",WORKDAY(Main[[#This Row],[Tech Start Date]],9),IF(Main[[#This Row],[Class]]="B", WORKDAY(Main[[#This Row],[Tech Start Date]],6),IF(Main[[#This Row],[Class]]="A",WORKDAY(Main[[#This Row],[Tech Start Date]],2),""))))</f>
        <v/>
      </c>
      <c r="N379" s="69" t="str">
        <f>IF(Main[[#This Row],[Tech Start Date]]&lt;1/1/1990,"",IF(Main[[#This Row],[Class]]="C",WORKDAY(Main[[#This Row],[Tech Start Date]],19),IF(Main[[#This Row],[Class]]="B", WORKDAY(Main[[#This Row],[Tech Start Date]],12),IF(Main[[#This Row],[Class]]="A",WORKDAY(Main[[#This Row],[Tech Start Date]],4),""))))</f>
        <v/>
      </c>
      <c r="O379" s="69" t="str">
        <f>IF(Main[[#This Row],[Tech Start Date]]&lt;1/1/1990,"",IF(Main[[#This Row],[Class]]="C",WORKDAY(Main[[#This Row],[Tech Start Date]],23),IF(Main[[#This Row],[Class]]="B", WORKDAY(Main[[#This Row],[Tech Start Date]],15),IF(Main[[#This Row],[Class]]="A",WORKDAY(Main[[#This Row],[Tech Start Date]],5),""))))</f>
        <v/>
      </c>
      <c r="P379" s="69" t="str">
        <f>IF(Main[[#This Row],[Tech Start Date]]&lt;1/1/1990,"",IF(Main[[#This Row],[Class]]="C",WORKDAY(Main[[#This Row],[Tech Start Date]],28),IF(Main[[#This Row],[Class]]="B", WORKDAY(Main[[#This Row],[Tech Start Date]],19),IF(Main[[#This Row],[Class]]="A",WORKDAY(Main[[#This Row],[Tech Start Date]],9),""))))</f>
        <v/>
      </c>
      <c r="Q379" s="67">
        <v>40676</v>
      </c>
      <c r="R379" s="67"/>
      <c r="S379" s="65" t="s">
        <v>6</v>
      </c>
      <c r="T379" s="70" t="s">
        <v>4</v>
      </c>
      <c r="U379" s="65" t="s">
        <v>14</v>
      </c>
      <c r="V379" s="65" t="s">
        <v>1914</v>
      </c>
      <c r="W379" s="65" t="s">
        <v>1918</v>
      </c>
      <c r="X379" s="65" t="s">
        <v>2821</v>
      </c>
      <c r="Y379" s="65" t="s">
        <v>2936</v>
      </c>
      <c r="Z379" s="65" t="s">
        <v>4</v>
      </c>
      <c r="AA379" s="65" t="s">
        <v>2821</v>
      </c>
    </row>
    <row r="380" spans="1:27" ht="17.45" hidden="1" customHeight="1">
      <c r="A380" s="100" t="str">
        <f>IF(priority(Main[[#This Row],[Comments]])&lt;&gt;0, priority(Main[[#This Row],[Comments]]),"")</f>
        <v/>
      </c>
      <c r="B380" s="77" t="s">
        <v>1318</v>
      </c>
      <c r="C380" s="65" t="s">
        <v>47</v>
      </c>
      <c r="D380" s="66" t="s">
        <v>146</v>
      </c>
      <c r="E380" s="67"/>
      <c r="F380" s="67"/>
      <c r="G380" s="64" t="str">
        <f>IF(stdProdLT(Main[[#This Row],[Comments]])=0.1,"N/A",IF(stdProdLT(Main[[#This Row],[Comments]])=0,"",stdProdLT(Main[[#This Row],[Comments]])))</f>
        <v/>
      </c>
      <c r="H380" s="68" t="str">
        <f>IF(AND(Main[[#This Row],[In Stock Date]]&lt;&gt;"",Main[[#This Row],[Revised Due Date]]&lt;&gt;""),Main[[#This Row],[In Stock Date]]-Main[[#This Row],[Revised Due Date]],"")</f>
        <v/>
      </c>
      <c r="I380" s="65" t="s">
        <v>4</v>
      </c>
      <c r="J380" s="65" t="s">
        <v>4</v>
      </c>
      <c r="K380" s="65" t="s">
        <v>4</v>
      </c>
      <c r="L380" s="67"/>
      <c r="M380" s="69" t="str">
        <f>IF(Main[[#This Row],[Tech Start Date]]&lt;1/1/1990,"",IF(Main[[#This Row],[Class]]="C",WORKDAY(Main[[#This Row],[Tech Start Date]],9),IF(Main[[#This Row],[Class]]="B", WORKDAY(Main[[#This Row],[Tech Start Date]],6),IF(Main[[#This Row],[Class]]="A",WORKDAY(Main[[#This Row],[Tech Start Date]],2),""))))</f>
        <v/>
      </c>
      <c r="N380" s="69" t="str">
        <f>IF(Main[[#This Row],[Tech Start Date]]&lt;1/1/1990,"",IF(Main[[#This Row],[Class]]="C",WORKDAY(Main[[#This Row],[Tech Start Date]],19),IF(Main[[#This Row],[Class]]="B", WORKDAY(Main[[#This Row],[Tech Start Date]],12),IF(Main[[#This Row],[Class]]="A",WORKDAY(Main[[#This Row],[Tech Start Date]],4),""))))</f>
        <v/>
      </c>
      <c r="O380" s="69" t="str">
        <f>IF(Main[[#This Row],[Tech Start Date]]&lt;1/1/1990,"",IF(Main[[#This Row],[Class]]="C",WORKDAY(Main[[#This Row],[Tech Start Date]],23),IF(Main[[#This Row],[Class]]="B", WORKDAY(Main[[#This Row],[Tech Start Date]],15),IF(Main[[#This Row],[Class]]="A",WORKDAY(Main[[#This Row],[Tech Start Date]],5),""))))</f>
        <v/>
      </c>
      <c r="P380" s="69" t="str">
        <f>IF(Main[[#This Row],[Tech Start Date]]&lt;1/1/1990,"",IF(Main[[#This Row],[Class]]="C",WORKDAY(Main[[#This Row],[Tech Start Date]],28),IF(Main[[#This Row],[Class]]="B", WORKDAY(Main[[#This Row],[Tech Start Date]],19),IF(Main[[#This Row],[Class]]="A",WORKDAY(Main[[#This Row],[Tech Start Date]],9),""))))</f>
        <v/>
      </c>
      <c r="Q380" s="67"/>
      <c r="R380" s="67"/>
      <c r="S380" s="65" t="s">
        <v>4</v>
      </c>
      <c r="T380" s="70" t="s">
        <v>4</v>
      </c>
      <c r="U380" s="65" t="s">
        <v>14</v>
      </c>
      <c r="V380" s="65" t="s">
        <v>1915</v>
      </c>
      <c r="W380" s="65" t="s">
        <v>4</v>
      </c>
      <c r="X380" s="65" t="s">
        <v>306</v>
      </c>
      <c r="Y380" s="65" t="s">
        <v>2941</v>
      </c>
      <c r="Z380" s="65" t="s">
        <v>4</v>
      </c>
      <c r="AA380" s="65" t="s">
        <v>3377</v>
      </c>
    </row>
    <row r="381" spans="1:27" ht="17.45" hidden="1" customHeight="1">
      <c r="A381" s="100" t="str">
        <f>IF(priority(Main[[#This Row],[Comments]])&lt;&gt;0, priority(Main[[#This Row],[Comments]]),"")</f>
        <v/>
      </c>
      <c r="B381" s="77" t="s">
        <v>1319</v>
      </c>
      <c r="C381" s="65" t="s">
        <v>401</v>
      </c>
      <c r="D381" s="66" t="s">
        <v>402</v>
      </c>
      <c r="E381" s="67"/>
      <c r="F381" s="67">
        <v>40447</v>
      </c>
      <c r="G381" s="64" t="str">
        <f>IF(stdProdLT(Main[[#This Row],[Comments]])=0.1,"N/A",IF(stdProdLT(Main[[#This Row],[Comments]])=0,"",stdProdLT(Main[[#This Row],[Comments]])))</f>
        <v/>
      </c>
      <c r="H381" s="68" t="str">
        <f>IF(AND(Main[[#This Row],[In Stock Date]]&lt;&gt;"",Main[[#This Row],[Revised Due Date]]&lt;&gt;""),Main[[#This Row],[In Stock Date]]-Main[[#This Row],[Revised Due Date]],"")</f>
        <v/>
      </c>
      <c r="I381" s="65" t="s">
        <v>4</v>
      </c>
      <c r="J381" s="65" t="s">
        <v>4</v>
      </c>
      <c r="K381" s="65" t="s">
        <v>4</v>
      </c>
      <c r="L381" s="67"/>
      <c r="M381" s="69" t="str">
        <f>IF(Main[[#This Row],[Tech Start Date]]&lt;1/1/1990,"",IF(Main[[#This Row],[Class]]="C",WORKDAY(Main[[#This Row],[Tech Start Date]],9),IF(Main[[#This Row],[Class]]="B", WORKDAY(Main[[#This Row],[Tech Start Date]],6),IF(Main[[#This Row],[Class]]="A",WORKDAY(Main[[#This Row],[Tech Start Date]],2),""))))</f>
        <v/>
      </c>
      <c r="N381" s="69" t="str">
        <f>IF(Main[[#This Row],[Tech Start Date]]&lt;1/1/1990,"",IF(Main[[#This Row],[Class]]="C",WORKDAY(Main[[#This Row],[Tech Start Date]],19),IF(Main[[#This Row],[Class]]="B", WORKDAY(Main[[#This Row],[Tech Start Date]],12),IF(Main[[#This Row],[Class]]="A",WORKDAY(Main[[#This Row],[Tech Start Date]],4),""))))</f>
        <v/>
      </c>
      <c r="O381" s="69" t="str">
        <f>IF(Main[[#This Row],[Tech Start Date]]&lt;1/1/1990,"",IF(Main[[#This Row],[Class]]="C",WORKDAY(Main[[#This Row],[Tech Start Date]],23),IF(Main[[#This Row],[Class]]="B", WORKDAY(Main[[#This Row],[Tech Start Date]],15),IF(Main[[#This Row],[Class]]="A",WORKDAY(Main[[#This Row],[Tech Start Date]],5),""))))</f>
        <v/>
      </c>
      <c r="P381" s="69" t="str">
        <f>IF(Main[[#This Row],[Tech Start Date]]&lt;1/1/1990,"",IF(Main[[#This Row],[Class]]="C",WORKDAY(Main[[#This Row],[Tech Start Date]],28),IF(Main[[#This Row],[Class]]="B", WORKDAY(Main[[#This Row],[Tech Start Date]],19),IF(Main[[#This Row],[Class]]="A",WORKDAY(Main[[#This Row],[Tech Start Date]],9),""))))</f>
        <v/>
      </c>
      <c r="Q381" s="67">
        <v>40349</v>
      </c>
      <c r="R381" s="67"/>
      <c r="S381" s="65" t="s">
        <v>11</v>
      </c>
      <c r="T381" s="70" t="s">
        <v>4</v>
      </c>
      <c r="U381" s="65" t="s">
        <v>14</v>
      </c>
      <c r="V381" s="65" t="s">
        <v>1924</v>
      </c>
      <c r="W381" s="65" t="s">
        <v>1919</v>
      </c>
      <c r="X381" s="65" t="s">
        <v>2850</v>
      </c>
      <c r="Y381" s="65" t="s">
        <v>4</v>
      </c>
      <c r="Z381" s="65" t="s">
        <v>4</v>
      </c>
      <c r="AA381" s="65" t="s">
        <v>2850</v>
      </c>
    </row>
    <row r="382" spans="1:27" ht="17.45" hidden="1" customHeight="1">
      <c r="A382" s="100" t="str">
        <f>IF(priority(Main[[#This Row],[Comments]])&lt;&gt;0, priority(Main[[#This Row],[Comments]]),"")</f>
        <v/>
      </c>
      <c r="B382" s="77" t="s">
        <v>2086</v>
      </c>
      <c r="C382" s="65" t="s">
        <v>47</v>
      </c>
      <c r="D382" s="66" t="s">
        <v>876</v>
      </c>
      <c r="E382" s="67"/>
      <c r="F382" s="67"/>
      <c r="G382" s="64" t="str">
        <f>IF(stdProdLT(Main[[#This Row],[Comments]])=0.1,"N/A",IF(stdProdLT(Main[[#This Row],[Comments]])=0,"",stdProdLT(Main[[#This Row],[Comments]])))</f>
        <v/>
      </c>
      <c r="H382" s="68" t="str">
        <f>IF(AND(Main[[#This Row],[In Stock Date]]&lt;&gt;"",Main[[#This Row],[Revised Due Date]]&lt;&gt;""),Main[[#This Row],[In Stock Date]]-Main[[#This Row],[Revised Due Date]],"")</f>
        <v/>
      </c>
      <c r="I382" s="65" t="s">
        <v>4</v>
      </c>
      <c r="J382" s="65" t="s">
        <v>4</v>
      </c>
      <c r="K382" s="65" t="s">
        <v>4</v>
      </c>
      <c r="L382" s="67"/>
      <c r="M382" s="69" t="str">
        <f>IF(Main[[#This Row],[Tech Start Date]]&lt;1/1/1990,"",IF(Main[[#This Row],[Class]]="C",WORKDAY(Main[[#This Row],[Tech Start Date]],9),IF(Main[[#This Row],[Class]]="B", WORKDAY(Main[[#This Row],[Tech Start Date]],6),IF(Main[[#This Row],[Class]]="A",WORKDAY(Main[[#This Row],[Tech Start Date]],2),""))))</f>
        <v/>
      </c>
      <c r="N382" s="69" t="str">
        <f>IF(Main[[#This Row],[Tech Start Date]]&lt;1/1/1990,"",IF(Main[[#This Row],[Class]]="C",WORKDAY(Main[[#This Row],[Tech Start Date]],19),IF(Main[[#This Row],[Class]]="B", WORKDAY(Main[[#This Row],[Tech Start Date]],12),IF(Main[[#This Row],[Class]]="A",WORKDAY(Main[[#This Row],[Tech Start Date]],4),""))))</f>
        <v/>
      </c>
      <c r="O382" s="69" t="str">
        <f>IF(Main[[#This Row],[Tech Start Date]]&lt;1/1/1990,"",IF(Main[[#This Row],[Class]]="C",WORKDAY(Main[[#This Row],[Tech Start Date]],23),IF(Main[[#This Row],[Class]]="B", WORKDAY(Main[[#This Row],[Tech Start Date]],15),IF(Main[[#This Row],[Class]]="A",WORKDAY(Main[[#This Row],[Tech Start Date]],5),""))))</f>
        <v/>
      </c>
      <c r="P382" s="69" t="str">
        <f>IF(Main[[#This Row],[Tech Start Date]]&lt;1/1/1990,"",IF(Main[[#This Row],[Class]]="C",WORKDAY(Main[[#This Row],[Tech Start Date]],28),IF(Main[[#This Row],[Class]]="B", WORKDAY(Main[[#This Row],[Tech Start Date]],19),IF(Main[[#This Row],[Class]]="A",WORKDAY(Main[[#This Row],[Tech Start Date]],9),""))))</f>
        <v/>
      </c>
      <c r="Q382" s="67">
        <v>40267</v>
      </c>
      <c r="R382" s="67"/>
      <c r="S382" s="65" t="s">
        <v>17</v>
      </c>
      <c r="T382" s="70" t="s">
        <v>4</v>
      </c>
      <c r="U382" s="65" t="s">
        <v>14</v>
      </c>
      <c r="V382" s="65" t="s">
        <v>1914</v>
      </c>
      <c r="W382" s="65" t="s">
        <v>1918</v>
      </c>
      <c r="X382" s="65" t="s">
        <v>2882</v>
      </c>
      <c r="Y382" s="65" t="s">
        <v>2941</v>
      </c>
      <c r="Z382" s="65" t="s">
        <v>4</v>
      </c>
      <c r="AA382" s="65" t="s">
        <v>3377</v>
      </c>
    </row>
    <row r="383" spans="1:27" ht="17.45" hidden="1" customHeight="1">
      <c r="A383" s="100" t="str">
        <f>IF(priority(Main[[#This Row],[Comments]])&lt;&gt;0, priority(Main[[#This Row],[Comments]]),"")</f>
        <v/>
      </c>
      <c r="B383" s="77" t="s">
        <v>1320</v>
      </c>
      <c r="C383" s="65" t="s">
        <v>113</v>
      </c>
      <c r="D383" s="66" t="s">
        <v>403</v>
      </c>
      <c r="E383" s="67"/>
      <c r="F383" s="67"/>
      <c r="G383" s="64" t="str">
        <f>IF(stdProdLT(Main[[#This Row],[Comments]])=0.1,"N/A",IF(stdProdLT(Main[[#This Row],[Comments]])=0,"",stdProdLT(Main[[#This Row],[Comments]])))</f>
        <v/>
      </c>
      <c r="H383" s="68" t="str">
        <f>IF(AND(Main[[#This Row],[In Stock Date]]&lt;&gt;"",Main[[#This Row],[Revised Due Date]]&lt;&gt;""),Main[[#This Row],[In Stock Date]]-Main[[#This Row],[Revised Due Date]],"")</f>
        <v/>
      </c>
      <c r="I383" s="65" t="s">
        <v>4</v>
      </c>
      <c r="J383" s="65" t="s">
        <v>4</v>
      </c>
      <c r="K383" s="65" t="s">
        <v>4</v>
      </c>
      <c r="L383" s="67"/>
      <c r="M383" s="69" t="str">
        <f>IF(Main[[#This Row],[Tech Start Date]]&lt;1/1/1990,"",IF(Main[[#This Row],[Class]]="C",WORKDAY(Main[[#This Row],[Tech Start Date]],9),IF(Main[[#This Row],[Class]]="B", WORKDAY(Main[[#This Row],[Tech Start Date]],6),IF(Main[[#This Row],[Class]]="A",WORKDAY(Main[[#This Row],[Tech Start Date]],2),""))))</f>
        <v/>
      </c>
      <c r="N383" s="69" t="str">
        <f>IF(Main[[#This Row],[Tech Start Date]]&lt;1/1/1990,"",IF(Main[[#This Row],[Class]]="C",WORKDAY(Main[[#This Row],[Tech Start Date]],19),IF(Main[[#This Row],[Class]]="B", WORKDAY(Main[[#This Row],[Tech Start Date]],12),IF(Main[[#This Row],[Class]]="A",WORKDAY(Main[[#This Row],[Tech Start Date]],4),""))))</f>
        <v/>
      </c>
      <c r="O383" s="69" t="str">
        <f>IF(Main[[#This Row],[Tech Start Date]]&lt;1/1/1990,"",IF(Main[[#This Row],[Class]]="C",WORKDAY(Main[[#This Row],[Tech Start Date]],23),IF(Main[[#This Row],[Class]]="B", WORKDAY(Main[[#This Row],[Tech Start Date]],15),IF(Main[[#This Row],[Class]]="A",WORKDAY(Main[[#This Row],[Tech Start Date]],5),""))))</f>
        <v/>
      </c>
      <c r="P383" s="69" t="str">
        <f>IF(Main[[#This Row],[Tech Start Date]]&lt;1/1/1990,"",IF(Main[[#This Row],[Class]]="C",WORKDAY(Main[[#This Row],[Tech Start Date]],28),IF(Main[[#This Row],[Class]]="B", WORKDAY(Main[[#This Row],[Tech Start Date]],19),IF(Main[[#This Row],[Class]]="A",WORKDAY(Main[[#This Row],[Tech Start Date]],9),""))))</f>
        <v/>
      </c>
      <c r="Q383" s="67"/>
      <c r="R383" s="67"/>
      <c r="S383" s="65" t="s">
        <v>11</v>
      </c>
      <c r="T383" s="70" t="s">
        <v>4</v>
      </c>
      <c r="U383" s="65" t="s">
        <v>14</v>
      </c>
      <c r="V383" s="65" t="s">
        <v>1917</v>
      </c>
      <c r="W383" s="65" t="s">
        <v>1922</v>
      </c>
      <c r="X383" s="65" t="s">
        <v>2844</v>
      </c>
      <c r="Y383" s="65" t="s">
        <v>2977</v>
      </c>
      <c r="Z383" s="65" t="s">
        <v>4</v>
      </c>
      <c r="AA383" s="65" t="s">
        <v>2844</v>
      </c>
    </row>
    <row r="384" spans="1:27" ht="17.45" hidden="1" customHeight="1">
      <c r="A384" s="100" t="str">
        <f>IF(priority(Main[[#This Row],[Comments]])&lt;&gt;0, priority(Main[[#This Row],[Comments]]),"")</f>
        <v/>
      </c>
      <c r="B384" s="77" t="s">
        <v>1026</v>
      </c>
      <c r="C384" s="65" t="s">
        <v>4</v>
      </c>
      <c r="D384" s="66" t="s">
        <v>3601</v>
      </c>
      <c r="E384" s="67">
        <v>40294.37054398148</v>
      </c>
      <c r="F384" s="67"/>
      <c r="G384" s="64" t="str">
        <f>IF(stdProdLT(Main[[#This Row],[Comments]])=0.1,"N/A",IF(stdProdLT(Main[[#This Row],[Comments]])=0,"",stdProdLT(Main[[#This Row],[Comments]])))</f>
        <v/>
      </c>
      <c r="H384" s="68" t="str">
        <f>IF(AND(Main[[#This Row],[In Stock Date]]&lt;&gt;"",Main[[#This Row],[Revised Due Date]]&lt;&gt;""),Main[[#This Row],[In Stock Date]]-Main[[#This Row],[Revised Due Date]],"")</f>
        <v/>
      </c>
      <c r="I384" s="65" t="s">
        <v>2208</v>
      </c>
      <c r="J384" s="65" t="s">
        <v>75</v>
      </c>
      <c r="K384" s="65" t="s">
        <v>1923</v>
      </c>
      <c r="L384" s="67"/>
      <c r="M384" s="69" t="str">
        <f>IF(Main[[#This Row],[Tech Start Date]]&lt;1/1/1990,"",IF(Main[[#This Row],[Class]]="C",WORKDAY(Main[[#This Row],[Tech Start Date]],9),IF(Main[[#This Row],[Class]]="B", WORKDAY(Main[[#This Row],[Tech Start Date]],6),IF(Main[[#This Row],[Class]]="A",WORKDAY(Main[[#This Row],[Tech Start Date]],2),""))))</f>
        <v/>
      </c>
      <c r="N384" s="69" t="str">
        <f>IF(Main[[#This Row],[Tech Start Date]]&lt;1/1/1990,"",IF(Main[[#This Row],[Class]]="C",WORKDAY(Main[[#This Row],[Tech Start Date]],19),IF(Main[[#This Row],[Class]]="B", WORKDAY(Main[[#This Row],[Tech Start Date]],12),IF(Main[[#This Row],[Class]]="A",WORKDAY(Main[[#This Row],[Tech Start Date]],4),""))))</f>
        <v/>
      </c>
      <c r="O384" s="69" t="str">
        <f>IF(Main[[#This Row],[Tech Start Date]]&lt;1/1/1990,"",IF(Main[[#This Row],[Class]]="C",WORKDAY(Main[[#This Row],[Tech Start Date]],23),IF(Main[[#This Row],[Class]]="B", WORKDAY(Main[[#This Row],[Tech Start Date]],15),IF(Main[[#This Row],[Class]]="A",WORKDAY(Main[[#This Row],[Tech Start Date]],5),""))))</f>
        <v/>
      </c>
      <c r="P384" s="69" t="str">
        <f>IF(Main[[#This Row],[Tech Start Date]]&lt;1/1/1990,"",IF(Main[[#This Row],[Class]]="C",WORKDAY(Main[[#This Row],[Tech Start Date]],28),IF(Main[[#This Row],[Class]]="B", WORKDAY(Main[[#This Row],[Tech Start Date]],19),IF(Main[[#This Row],[Class]]="A",WORKDAY(Main[[#This Row],[Tech Start Date]],9),""))))</f>
        <v/>
      </c>
      <c r="Q384" s="67">
        <v>40909</v>
      </c>
      <c r="R384" s="67"/>
      <c r="S384" s="65" t="s">
        <v>6</v>
      </c>
      <c r="T384" s="70" t="s">
        <v>4</v>
      </c>
      <c r="U384" s="65" t="s">
        <v>29</v>
      </c>
      <c r="V384" s="65" t="s">
        <v>1917</v>
      </c>
      <c r="W384" s="65" t="s">
        <v>1918</v>
      </c>
      <c r="X384" s="65" t="s">
        <v>2819</v>
      </c>
      <c r="Y384" s="65" t="s">
        <v>2932</v>
      </c>
      <c r="Z384" s="65" t="s">
        <v>239</v>
      </c>
      <c r="AA384" s="65" t="s">
        <v>2819</v>
      </c>
    </row>
    <row r="385" spans="1:27" ht="17.45" hidden="1" customHeight="1">
      <c r="A385" s="100" t="str">
        <f>IF(priority(Main[[#This Row],[Comments]])&lt;&gt;0, priority(Main[[#This Row],[Comments]]),"")</f>
        <v/>
      </c>
      <c r="B385" s="77" t="s">
        <v>1323</v>
      </c>
      <c r="C385" s="65" t="s">
        <v>4</v>
      </c>
      <c r="D385" s="66" t="s">
        <v>405</v>
      </c>
      <c r="E385" s="67"/>
      <c r="F385" s="67"/>
      <c r="G385" s="64" t="str">
        <f>IF(stdProdLT(Main[[#This Row],[Comments]])=0.1,"N/A",IF(stdProdLT(Main[[#This Row],[Comments]])=0,"",stdProdLT(Main[[#This Row],[Comments]])))</f>
        <v/>
      </c>
      <c r="H385" s="68" t="str">
        <f>IF(AND(Main[[#This Row],[In Stock Date]]&lt;&gt;"",Main[[#This Row],[Revised Due Date]]&lt;&gt;""),Main[[#This Row],[In Stock Date]]-Main[[#This Row],[Revised Due Date]],"")</f>
        <v/>
      </c>
      <c r="I385" s="65" t="s">
        <v>4</v>
      </c>
      <c r="J385" s="65" t="s">
        <v>4</v>
      </c>
      <c r="K385" s="65" t="s">
        <v>4</v>
      </c>
      <c r="L385" s="67"/>
      <c r="M385" s="69" t="str">
        <f>IF(Main[[#This Row],[Tech Start Date]]&lt;1/1/1990,"",IF(Main[[#This Row],[Class]]="C",WORKDAY(Main[[#This Row],[Tech Start Date]],9),IF(Main[[#This Row],[Class]]="B", WORKDAY(Main[[#This Row],[Tech Start Date]],6),IF(Main[[#This Row],[Class]]="A",WORKDAY(Main[[#This Row],[Tech Start Date]],2),""))))</f>
        <v/>
      </c>
      <c r="N385" s="69" t="str">
        <f>IF(Main[[#This Row],[Tech Start Date]]&lt;1/1/1990,"",IF(Main[[#This Row],[Class]]="C",WORKDAY(Main[[#This Row],[Tech Start Date]],19),IF(Main[[#This Row],[Class]]="B", WORKDAY(Main[[#This Row],[Tech Start Date]],12),IF(Main[[#This Row],[Class]]="A",WORKDAY(Main[[#This Row],[Tech Start Date]],4),""))))</f>
        <v/>
      </c>
      <c r="O385" s="69" t="str">
        <f>IF(Main[[#This Row],[Tech Start Date]]&lt;1/1/1990,"",IF(Main[[#This Row],[Class]]="C",WORKDAY(Main[[#This Row],[Tech Start Date]],23),IF(Main[[#This Row],[Class]]="B", WORKDAY(Main[[#This Row],[Tech Start Date]],15),IF(Main[[#This Row],[Class]]="A",WORKDAY(Main[[#This Row],[Tech Start Date]],5),""))))</f>
        <v/>
      </c>
      <c r="P385" s="69" t="str">
        <f>IF(Main[[#This Row],[Tech Start Date]]&lt;1/1/1990,"",IF(Main[[#This Row],[Class]]="C",WORKDAY(Main[[#This Row],[Tech Start Date]],28),IF(Main[[#This Row],[Class]]="B", WORKDAY(Main[[#This Row],[Tech Start Date]],19),IF(Main[[#This Row],[Class]]="A",WORKDAY(Main[[#This Row],[Tech Start Date]],9),""))))</f>
        <v/>
      </c>
      <c r="Q385" s="67">
        <v>40390</v>
      </c>
      <c r="R385" s="67"/>
      <c r="S385" s="65" t="s">
        <v>6</v>
      </c>
      <c r="T385" s="70" t="s">
        <v>4</v>
      </c>
      <c r="U385" s="65" t="s">
        <v>14</v>
      </c>
      <c r="V385" s="65" t="s">
        <v>1917</v>
      </c>
      <c r="W385" s="65" t="s">
        <v>4</v>
      </c>
      <c r="X385" s="65" t="s">
        <v>2819</v>
      </c>
      <c r="Y385" s="65" t="s">
        <v>2932</v>
      </c>
      <c r="Z385" s="65" t="s">
        <v>4</v>
      </c>
      <c r="AA385" s="65" t="s">
        <v>2819</v>
      </c>
    </row>
    <row r="386" spans="1:27" ht="17.45" hidden="1" customHeight="1">
      <c r="A386" s="100" t="str">
        <f>IF(priority(Main[[#This Row],[Comments]])&lt;&gt;0, priority(Main[[#This Row],[Comments]]),"")</f>
        <v/>
      </c>
      <c r="B386" s="77" t="s">
        <v>1324</v>
      </c>
      <c r="C386" s="65" t="s">
        <v>169</v>
      </c>
      <c r="D386" s="66" t="s">
        <v>406</v>
      </c>
      <c r="E386" s="67"/>
      <c r="F386" s="67">
        <v>40237</v>
      </c>
      <c r="G386" s="64" t="str">
        <f>IF(stdProdLT(Main[[#This Row],[Comments]])=0.1,"N/A",IF(stdProdLT(Main[[#This Row],[Comments]])=0,"",stdProdLT(Main[[#This Row],[Comments]])))</f>
        <v/>
      </c>
      <c r="H386" s="68" t="str">
        <f>IF(AND(Main[[#This Row],[In Stock Date]]&lt;&gt;"",Main[[#This Row],[Revised Due Date]]&lt;&gt;""),Main[[#This Row],[In Stock Date]]-Main[[#This Row],[Revised Due Date]],"")</f>
        <v/>
      </c>
      <c r="I386" s="65" t="s">
        <v>4</v>
      </c>
      <c r="J386" s="65" t="s">
        <v>4</v>
      </c>
      <c r="K386" s="65" t="s">
        <v>4</v>
      </c>
      <c r="L386" s="67"/>
      <c r="M386" s="69" t="str">
        <f>IF(Main[[#This Row],[Tech Start Date]]&lt;1/1/1990,"",IF(Main[[#This Row],[Class]]="C",WORKDAY(Main[[#This Row],[Tech Start Date]],9),IF(Main[[#This Row],[Class]]="B", WORKDAY(Main[[#This Row],[Tech Start Date]],6),IF(Main[[#This Row],[Class]]="A",WORKDAY(Main[[#This Row],[Tech Start Date]],2),""))))</f>
        <v/>
      </c>
      <c r="N386" s="69" t="str">
        <f>IF(Main[[#This Row],[Tech Start Date]]&lt;1/1/1990,"",IF(Main[[#This Row],[Class]]="C",WORKDAY(Main[[#This Row],[Tech Start Date]],19),IF(Main[[#This Row],[Class]]="B", WORKDAY(Main[[#This Row],[Tech Start Date]],12),IF(Main[[#This Row],[Class]]="A",WORKDAY(Main[[#This Row],[Tech Start Date]],4),""))))</f>
        <v/>
      </c>
      <c r="O386" s="69" t="str">
        <f>IF(Main[[#This Row],[Tech Start Date]]&lt;1/1/1990,"",IF(Main[[#This Row],[Class]]="C",WORKDAY(Main[[#This Row],[Tech Start Date]],23),IF(Main[[#This Row],[Class]]="B", WORKDAY(Main[[#This Row],[Tech Start Date]],15),IF(Main[[#This Row],[Class]]="A",WORKDAY(Main[[#This Row],[Tech Start Date]],5),""))))</f>
        <v/>
      </c>
      <c r="P386" s="69" t="str">
        <f>IF(Main[[#This Row],[Tech Start Date]]&lt;1/1/1990,"",IF(Main[[#This Row],[Class]]="C",WORKDAY(Main[[#This Row],[Tech Start Date]],28),IF(Main[[#This Row],[Class]]="B", WORKDAY(Main[[#This Row],[Tech Start Date]],19),IF(Main[[#This Row],[Class]]="A",WORKDAY(Main[[#This Row],[Tech Start Date]],9),""))))</f>
        <v/>
      </c>
      <c r="Q386" s="67">
        <v>40132</v>
      </c>
      <c r="R386" s="67"/>
      <c r="S386" s="65" t="s">
        <v>11</v>
      </c>
      <c r="T386" s="70" t="s">
        <v>4</v>
      </c>
      <c r="U386" s="65" t="s">
        <v>14</v>
      </c>
      <c r="V386" s="65" t="s">
        <v>1914</v>
      </c>
      <c r="W386" s="65" t="s">
        <v>1919</v>
      </c>
      <c r="X386" s="65" t="s">
        <v>2858</v>
      </c>
      <c r="Y386" s="65" t="s">
        <v>4</v>
      </c>
      <c r="Z386" s="65" t="s">
        <v>4</v>
      </c>
      <c r="AA386" s="65" t="s">
        <v>2858</v>
      </c>
    </row>
    <row r="387" spans="1:27" ht="17.45" hidden="1" customHeight="1">
      <c r="A387" s="100" t="str">
        <f>IF(priority(Main[[#This Row],[Comments]])&lt;&gt;0, priority(Main[[#This Row],[Comments]]),"")</f>
        <v/>
      </c>
      <c r="B387" s="77" t="s">
        <v>1325</v>
      </c>
      <c r="C387" s="65" t="s">
        <v>169</v>
      </c>
      <c r="D387" s="66" t="s">
        <v>407</v>
      </c>
      <c r="E387" s="67"/>
      <c r="F387" s="67">
        <v>40237</v>
      </c>
      <c r="G387" s="64" t="str">
        <f>IF(stdProdLT(Main[[#This Row],[Comments]])=0.1,"N/A",IF(stdProdLT(Main[[#This Row],[Comments]])=0,"",stdProdLT(Main[[#This Row],[Comments]])))</f>
        <v/>
      </c>
      <c r="H387" s="68" t="str">
        <f>IF(AND(Main[[#This Row],[In Stock Date]]&lt;&gt;"",Main[[#This Row],[Revised Due Date]]&lt;&gt;""),Main[[#This Row],[In Stock Date]]-Main[[#This Row],[Revised Due Date]],"")</f>
        <v/>
      </c>
      <c r="I387" s="65" t="s">
        <v>4</v>
      </c>
      <c r="J387" s="65" t="s">
        <v>4</v>
      </c>
      <c r="K387" s="65" t="s">
        <v>4</v>
      </c>
      <c r="L387" s="67"/>
      <c r="M387" s="69" t="str">
        <f>IF(Main[[#This Row],[Tech Start Date]]&lt;1/1/1990,"",IF(Main[[#This Row],[Class]]="C",WORKDAY(Main[[#This Row],[Tech Start Date]],9),IF(Main[[#This Row],[Class]]="B", WORKDAY(Main[[#This Row],[Tech Start Date]],6),IF(Main[[#This Row],[Class]]="A",WORKDAY(Main[[#This Row],[Tech Start Date]],2),""))))</f>
        <v/>
      </c>
      <c r="N387" s="69" t="str">
        <f>IF(Main[[#This Row],[Tech Start Date]]&lt;1/1/1990,"",IF(Main[[#This Row],[Class]]="C",WORKDAY(Main[[#This Row],[Tech Start Date]],19),IF(Main[[#This Row],[Class]]="B", WORKDAY(Main[[#This Row],[Tech Start Date]],12),IF(Main[[#This Row],[Class]]="A",WORKDAY(Main[[#This Row],[Tech Start Date]],4),""))))</f>
        <v/>
      </c>
      <c r="O387" s="69" t="str">
        <f>IF(Main[[#This Row],[Tech Start Date]]&lt;1/1/1990,"",IF(Main[[#This Row],[Class]]="C",WORKDAY(Main[[#This Row],[Tech Start Date]],23),IF(Main[[#This Row],[Class]]="B", WORKDAY(Main[[#This Row],[Tech Start Date]],15),IF(Main[[#This Row],[Class]]="A",WORKDAY(Main[[#This Row],[Tech Start Date]],5),""))))</f>
        <v/>
      </c>
      <c r="P387" s="69" t="str">
        <f>IF(Main[[#This Row],[Tech Start Date]]&lt;1/1/1990,"",IF(Main[[#This Row],[Class]]="C",WORKDAY(Main[[#This Row],[Tech Start Date]],28),IF(Main[[#This Row],[Class]]="B", WORKDAY(Main[[#This Row],[Tech Start Date]],19),IF(Main[[#This Row],[Class]]="A",WORKDAY(Main[[#This Row],[Tech Start Date]],9),""))))</f>
        <v/>
      </c>
      <c r="Q387" s="67">
        <v>40132</v>
      </c>
      <c r="R387" s="67"/>
      <c r="S387" s="65" t="s">
        <v>11</v>
      </c>
      <c r="T387" s="70" t="s">
        <v>4</v>
      </c>
      <c r="U387" s="65" t="s">
        <v>14</v>
      </c>
      <c r="V387" s="65" t="s">
        <v>1914</v>
      </c>
      <c r="W387" s="65" t="s">
        <v>1919</v>
      </c>
      <c r="X387" s="65" t="s">
        <v>2858</v>
      </c>
      <c r="Y387" s="65" t="s">
        <v>4</v>
      </c>
      <c r="Z387" s="65" t="s">
        <v>4</v>
      </c>
      <c r="AA387" s="65" t="s">
        <v>2858</v>
      </c>
    </row>
    <row r="388" spans="1:27" ht="17.45" hidden="1" customHeight="1">
      <c r="A388" s="100" t="str">
        <f>IF(priority(Main[[#This Row],[Comments]])&lt;&gt;0, priority(Main[[#This Row],[Comments]]),"")</f>
        <v/>
      </c>
      <c r="B388" s="77" t="s">
        <v>1326</v>
      </c>
      <c r="C388" s="65" t="s">
        <v>4</v>
      </c>
      <c r="D388" s="66" t="s">
        <v>408</v>
      </c>
      <c r="E388" s="67"/>
      <c r="F388" s="67"/>
      <c r="G388" s="64" t="str">
        <f>IF(stdProdLT(Main[[#This Row],[Comments]])=0.1,"N/A",IF(stdProdLT(Main[[#This Row],[Comments]])=0,"",stdProdLT(Main[[#This Row],[Comments]])))</f>
        <v/>
      </c>
      <c r="H388" s="68" t="str">
        <f>IF(AND(Main[[#This Row],[In Stock Date]]&lt;&gt;"",Main[[#This Row],[Revised Due Date]]&lt;&gt;""),Main[[#This Row],[In Stock Date]]-Main[[#This Row],[Revised Due Date]],"")</f>
        <v/>
      </c>
      <c r="I388" s="65" t="s">
        <v>4</v>
      </c>
      <c r="J388" s="65" t="s">
        <v>28</v>
      </c>
      <c r="K388" s="65" t="s">
        <v>4</v>
      </c>
      <c r="L388" s="67"/>
      <c r="M388" s="69" t="str">
        <f>IF(Main[[#This Row],[Tech Start Date]]&lt;1/1/1990,"",IF(Main[[#This Row],[Class]]="C",WORKDAY(Main[[#This Row],[Tech Start Date]],9),IF(Main[[#This Row],[Class]]="B", WORKDAY(Main[[#This Row],[Tech Start Date]],6),IF(Main[[#This Row],[Class]]="A",WORKDAY(Main[[#This Row],[Tech Start Date]],2),""))))</f>
        <v/>
      </c>
      <c r="N388" s="69" t="str">
        <f>IF(Main[[#This Row],[Tech Start Date]]&lt;1/1/1990,"",IF(Main[[#This Row],[Class]]="C",WORKDAY(Main[[#This Row],[Tech Start Date]],19),IF(Main[[#This Row],[Class]]="B", WORKDAY(Main[[#This Row],[Tech Start Date]],12),IF(Main[[#This Row],[Class]]="A",WORKDAY(Main[[#This Row],[Tech Start Date]],4),""))))</f>
        <v/>
      </c>
      <c r="O388" s="69" t="str">
        <f>IF(Main[[#This Row],[Tech Start Date]]&lt;1/1/1990,"",IF(Main[[#This Row],[Class]]="C",WORKDAY(Main[[#This Row],[Tech Start Date]],23),IF(Main[[#This Row],[Class]]="B", WORKDAY(Main[[#This Row],[Tech Start Date]],15),IF(Main[[#This Row],[Class]]="A",WORKDAY(Main[[#This Row],[Tech Start Date]],5),""))))</f>
        <v/>
      </c>
      <c r="P388" s="69" t="str">
        <f>IF(Main[[#This Row],[Tech Start Date]]&lt;1/1/1990,"",IF(Main[[#This Row],[Class]]="C",WORKDAY(Main[[#This Row],[Tech Start Date]],28),IF(Main[[#This Row],[Class]]="B", WORKDAY(Main[[#This Row],[Tech Start Date]],19),IF(Main[[#This Row],[Class]]="A",WORKDAY(Main[[#This Row],[Tech Start Date]],9),""))))</f>
        <v/>
      </c>
      <c r="Q388" s="67">
        <v>40471</v>
      </c>
      <c r="R388" s="67"/>
      <c r="S388" s="65" t="s">
        <v>6</v>
      </c>
      <c r="T388" s="70" t="s">
        <v>4</v>
      </c>
      <c r="U388" s="65" t="s">
        <v>14</v>
      </c>
      <c r="V388" s="65" t="s">
        <v>1917</v>
      </c>
      <c r="W388" s="65" t="s">
        <v>1916</v>
      </c>
      <c r="X388" s="65" t="s">
        <v>2822</v>
      </c>
      <c r="Y388" s="65" t="s">
        <v>2938</v>
      </c>
      <c r="Z388" s="65" t="s">
        <v>530</v>
      </c>
      <c r="AA388" s="65" t="s">
        <v>2822</v>
      </c>
    </row>
    <row r="389" spans="1:27" ht="17.45" hidden="1" customHeight="1">
      <c r="A389" s="100" t="str">
        <f>IF(priority(Main[[#This Row],[Comments]])&lt;&gt;0, priority(Main[[#This Row],[Comments]]),"")</f>
        <v/>
      </c>
      <c r="B389" s="77" t="s">
        <v>1327</v>
      </c>
      <c r="C389" s="65" t="s">
        <v>4</v>
      </c>
      <c r="D389" s="66" t="s">
        <v>409</v>
      </c>
      <c r="E389" s="67"/>
      <c r="F389" s="67"/>
      <c r="G389" s="64" t="str">
        <f>IF(stdProdLT(Main[[#This Row],[Comments]])=0.1,"N/A",IF(stdProdLT(Main[[#This Row],[Comments]])=0,"",stdProdLT(Main[[#This Row],[Comments]])))</f>
        <v/>
      </c>
      <c r="H389" s="68" t="str">
        <f>IF(AND(Main[[#This Row],[In Stock Date]]&lt;&gt;"",Main[[#This Row],[Revised Due Date]]&lt;&gt;""),Main[[#This Row],[In Stock Date]]-Main[[#This Row],[Revised Due Date]],"")</f>
        <v/>
      </c>
      <c r="I389" s="65" t="s">
        <v>4</v>
      </c>
      <c r="J389" s="65" t="s">
        <v>4</v>
      </c>
      <c r="K389" s="71" t="s">
        <v>4</v>
      </c>
      <c r="L389" s="67"/>
      <c r="M389" s="69" t="str">
        <f>IF(Main[[#This Row],[Tech Start Date]]&lt;1/1/1990,"",IF(Main[[#This Row],[Class]]="C",WORKDAY(Main[[#This Row],[Tech Start Date]],9),IF(Main[[#This Row],[Class]]="B", WORKDAY(Main[[#This Row],[Tech Start Date]],6),IF(Main[[#This Row],[Class]]="A",WORKDAY(Main[[#This Row],[Tech Start Date]],2),""))))</f>
        <v/>
      </c>
      <c r="N389" s="69" t="str">
        <f>IF(Main[[#This Row],[Tech Start Date]]&lt;1/1/1990,"",IF(Main[[#This Row],[Class]]="C",WORKDAY(Main[[#This Row],[Tech Start Date]],19),IF(Main[[#This Row],[Class]]="B", WORKDAY(Main[[#This Row],[Tech Start Date]],12),IF(Main[[#This Row],[Class]]="A",WORKDAY(Main[[#This Row],[Tech Start Date]],4),""))))</f>
        <v/>
      </c>
      <c r="O389" s="69" t="str">
        <f>IF(Main[[#This Row],[Tech Start Date]]&lt;1/1/1990,"",IF(Main[[#This Row],[Class]]="C",WORKDAY(Main[[#This Row],[Tech Start Date]],23),IF(Main[[#This Row],[Class]]="B", WORKDAY(Main[[#This Row],[Tech Start Date]],15),IF(Main[[#This Row],[Class]]="A",WORKDAY(Main[[#This Row],[Tech Start Date]],5),""))))</f>
        <v/>
      </c>
      <c r="P389" s="69" t="str">
        <f>IF(Main[[#This Row],[Tech Start Date]]&lt;1/1/1990,"",IF(Main[[#This Row],[Class]]="C",WORKDAY(Main[[#This Row],[Tech Start Date]],28),IF(Main[[#This Row],[Class]]="B", WORKDAY(Main[[#This Row],[Tech Start Date]],19),IF(Main[[#This Row],[Class]]="A",WORKDAY(Main[[#This Row],[Tech Start Date]],9),""))))</f>
        <v/>
      </c>
      <c r="Q389" s="67"/>
      <c r="R389" s="67"/>
      <c r="S389" s="65" t="s">
        <v>6</v>
      </c>
      <c r="T389" s="70" t="s">
        <v>4</v>
      </c>
      <c r="U389" s="65" t="s">
        <v>12</v>
      </c>
      <c r="V389" s="65" t="s">
        <v>1915</v>
      </c>
      <c r="W389" s="65" t="s">
        <v>1922</v>
      </c>
      <c r="X389" s="65" t="s">
        <v>941</v>
      </c>
      <c r="Y389" s="65" t="s">
        <v>2995</v>
      </c>
      <c r="Z389" s="65" t="s">
        <v>4</v>
      </c>
      <c r="AA389" s="65" t="s">
        <v>941</v>
      </c>
    </row>
    <row r="390" spans="1:27" ht="17.45" hidden="1" customHeight="1">
      <c r="A390" s="100" t="str">
        <f>IF(priority(Main[[#This Row],[Comments]])&lt;&gt;0, priority(Main[[#This Row],[Comments]]),"")</f>
        <v/>
      </c>
      <c r="B390" s="77" t="s">
        <v>1328</v>
      </c>
      <c r="C390" s="65" t="s">
        <v>4</v>
      </c>
      <c r="D390" s="66" t="s">
        <v>410</v>
      </c>
      <c r="E390" s="67"/>
      <c r="F390" s="67"/>
      <c r="G390" s="64" t="str">
        <f>IF(stdProdLT(Main[[#This Row],[Comments]])=0.1,"N/A",IF(stdProdLT(Main[[#This Row],[Comments]])=0,"",stdProdLT(Main[[#This Row],[Comments]])))</f>
        <v/>
      </c>
      <c r="H390" s="68" t="str">
        <f>IF(AND(Main[[#This Row],[In Stock Date]]&lt;&gt;"",Main[[#This Row],[Revised Due Date]]&lt;&gt;""),Main[[#This Row],[In Stock Date]]-Main[[#This Row],[Revised Due Date]],"")</f>
        <v/>
      </c>
      <c r="I390" s="65" t="s">
        <v>4</v>
      </c>
      <c r="J390" s="65" t="s">
        <v>4</v>
      </c>
      <c r="K390" s="65" t="s">
        <v>4</v>
      </c>
      <c r="L390" s="67"/>
      <c r="M390" s="69" t="str">
        <f>IF(Main[[#This Row],[Tech Start Date]]&lt;1/1/1990,"",IF(Main[[#This Row],[Class]]="C",WORKDAY(Main[[#This Row],[Tech Start Date]],9),IF(Main[[#This Row],[Class]]="B", WORKDAY(Main[[#This Row],[Tech Start Date]],6),IF(Main[[#This Row],[Class]]="A",WORKDAY(Main[[#This Row],[Tech Start Date]],2),""))))</f>
        <v/>
      </c>
      <c r="N390" s="69" t="str">
        <f>IF(Main[[#This Row],[Tech Start Date]]&lt;1/1/1990,"",IF(Main[[#This Row],[Class]]="C",WORKDAY(Main[[#This Row],[Tech Start Date]],19),IF(Main[[#This Row],[Class]]="B", WORKDAY(Main[[#This Row],[Tech Start Date]],12),IF(Main[[#This Row],[Class]]="A",WORKDAY(Main[[#This Row],[Tech Start Date]],4),""))))</f>
        <v/>
      </c>
      <c r="O390" s="69" t="str">
        <f>IF(Main[[#This Row],[Tech Start Date]]&lt;1/1/1990,"",IF(Main[[#This Row],[Class]]="C",WORKDAY(Main[[#This Row],[Tech Start Date]],23),IF(Main[[#This Row],[Class]]="B", WORKDAY(Main[[#This Row],[Tech Start Date]],15),IF(Main[[#This Row],[Class]]="A",WORKDAY(Main[[#This Row],[Tech Start Date]],5),""))))</f>
        <v/>
      </c>
      <c r="P390" s="69" t="str">
        <f>IF(Main[[#This Row],[Tech Start Date]]&lt;1/1/1990,"",IF(Main[[#This Row],[Class]]="C",WORKDAY(Main[[#This Row],[Tech Start Date]],28),IF(Main[[#This Row],[Class]]="B", WORKDAY(Main[[#This Row],[Tech Start Date]],19),IF(Main[[#This Row],[Class]]="A",WORKDAY(Main[[#This Row],[Tech Start Date]],9),""))))</f>
        <v/>
      </c>
      <c r="Q390" s="67"/>
      <c r="R390" s="67"/>
      <c r="S390" s="65" t="s">
        <v>411</v>
      </c>
      <c r="T390" s="70" t="s">
        <v>4</v>
      </c>
      <c r="U390" s="65" t="s">
        <v>14</v>
      </c>
      <c r="V390" s="65" t="s">
        <v>1915</v>
      </c>
      <c r="W390" s="65" t="s">
        <v>1918</v>
      </c>
      <c r="X390" s="65" t="s">
        <v>922</v>
      </c>
      <c r="Y390" s="65" t="s">
        <v>2982</v>
      </c>
      <c r="Z390" s="65" t="s">
        <v>4</v>
      </c>
      <c r="AA390" s="65" t="s">
        <v>922</v>
      </c>
    </row>
    <row r="391" spans="1:27" ht="17.45" hidden="1" customHeight="1">
      <c r="A391" s="100" t="str">
        <f>IF(priority(Main[[#This Row],[Comments]])&lt;&gt;0, priority(Main[[#This Row],[Comments]]),"")</f>
        <v/>
      </c>
      <c r="B391" s="77" t="s">
        <v>1617</v>
      </c>
      <c r="C391" s="65" t="s">
        <v>692</v>
      </c>
      <c r="D391" s="66" t="s">
        <v>693</v>
      </c>
      <c r="E391" s="67"/>
      <c r="F391" s="67"/>
      <c r="G391" s="64" t="str">
        <f>IF(stdProdLT(Main[[#This Row],[Comments]])=0.1,"N/A",IF(stdProdLT(Main[[#This Row],[Comments]])=0,"",stdProdLT(Main[[#This Row],[Comments]])))</f>
        <v/>
      </c>
      <c r="H391" s="68" t="str">
        <f>IF(AND(Main[[#This Row],[In Stock Date]]&lt;&gt;"",Main[[#This Row],[Revised Due Date]]&lt;&gt;""),Main[[#This Row],[In Stock Date]]-Main[[#This Row],[Revised Due Date]],"")</f>
        <v/>
      </c>
      <c r="I391" s="65" t="s">
        <v>4</v>
      </c>
      <c r="J391" s="65" t="s">
        <v>4</v>
      </c>
      <c r="K391" s="65" t="s">
        <v>4</v>
      </c>
      <c r="L391" s="67"/>
      <c r="M391" s="69" t="str">
        <f>IF(Main[[#This Row],[Tech Start Date]]&lt;1/1/1990,"",IF(Main[[#This Row],[Class]]="C",WORKDAY(Main[[#This Row],[Tech Start Date]],9),IF(Main[[#This Row],[Class]]="B", WORKDAY(Main[[#This Row],[Tech Start Date]],6),IF(Main[[#This Row],[Class]]="A",WORKDAY(Main[[#This Row],[Tech Start Date]],2),""))))</f>
        <v/>
      </c>
      <c r="N391" s="69" t="str">
        <f>IF(Main[[#This Row],[Tech Start Date]]&lt;1/1/1990,"",IF(Main[[#This Row],[Class]]="C",WORKDAY(Main[[#This Row],[Tech Start Date]],19),IF(Main[[#This Row],[Class]]="B", WORKDAY(Main[[#This Row],[Tech Start Date]],12),IF(Main[[#This Row],[Class]]="A",WORKDAY(Main[[#This Row],[Tech Start Date]],4),""))))</f>
        <v/>
      </c>
      <c r="O391" s="69" t="str">
        <f>IF(Main[[#This Row],[Tech Start Date]]&lt;1/1/1990,"",IF(Main[[#This Row],[Class]]="C",WORKDAY(Main[[#This Row],[Tech Start Date]],23),IF(Main[[#This Row],[Class]]="B", WORKDAY(Main[[#This Row],[Tech Start Date]],15),IF(Main[[#This Row],[Class]]="A",WORKDAY(Main[[#This Row],[Tech Start Date]],5),""))))</f>
        <v/>
      </c>
      <c r="P391" s="69" t="str">
        <f>IF(Main[[#This Row],[Tech Start Date]]&lt;1/1/1990,"",IF(Main[[#This Row],[Class]]="C",WORKDAY(Main[[#This Row],[Tech Start Date]],28),IF(Main[[#This Row],[Class]]="B", WORKDAY(Main[[#This Row],[Tech Start Date]],19),IF(Main[[#This Row],[Class]]="A",WORKDAY(Main[[#This Row],[Tech Start Date]],9),""))))</f>
        <v/>
      </c>
      <c r="Q391" s="67">
        <v>40672</v>
      </c>
      <c r="R391" s="67"/>
      <c r="S391" s="65" t="s">
        <v>11</v>
      </c>
      <c r="T391" s="70" t="s">
        <v>4</v>
      </c>
      <c r="U391" s="65" t="s">
        <v>14</v>
      </c>
      <c r="V391" s="65" t="s">
        <v>1914</v>
      </c>
      <c r="W391" s="65" t="s">
        <v>1916</v>
      </c>
      <c r="X391" s="65" t="s">
        <v>2883</v>
      </c>
      <c r="Y391" s="65" t="s">
        <v>4</v>
      </c>
      <c r="Z391" s="65" t="s">
        <v>4</v>
      </c>
      <c r="AA391" s="65" t="s">
        <v>2883</v>
      </c>
    </row>
    <row r="392" spans="1:27" ht="17.45" hidden="1" customHeight="1">
      <c r="A392" s="100" t="str">
        <f>IF(priority(Main[[#This Row],[Comments]])&lt;&gt;0, priority(Main[[#This Row],[Comments]]),"")</f>
        <v/>
      </c>
      <c r="B392" s="77" t="s">
        <v>1202</v>
      </c>
      <c r="C392" s="65" t="s">
        <v>169</v>
      </c>
      <c r="D392" s="66" t="s">
        <v>260</v>
      </c>
      <c r="E392" s="67"/>
      <c r="F392" s="67">
        <v>40237</v>
      </c>
      <c r="G392" s="64" t="str">
        <f>IF(stdProdLT(Main[[#This Row],[Comments]])=0.1,"N/A",IF(stdProdLT(Main[[#This Row],[Comments]])=0,"",stdProdLT(Main[[#This Row],[Comments]])))</f>
        <v/>
      </c>
      <c r="H392" s="68" t="str">
        <f>IF(AND(Main[[#This Row],[In Stock Date]]&lt;&gt;"",Main[[#This Row],[Revised Due Date]]&lt;&gt;""),Main[[#This Row],[In Stock Date]]-Main[[#This Row],[Revised Due Date]],"")</f>
        <v/>
      </c>
      <c r="I392" s="65" t="s">
        <v>4</v>
      </c>
      <c r="J392" s="65" t="s">
        <v>4</v>
      </c>
      <c r="K392" s="65" t="s">
        <v>4</v>
      </c>
      <c r="L392" s="67"/>
      <c r="M392" s="69" t="str">
        <f>IF(Main[[#This Row],[Tech Start Date]]&lt;1/1/1990,"",IF(Main[[#This Row],[Class]]="C",WORKDAY(Main[[#This Row],[Tech Start Date]],9),IF(Main[[#This Row],[Class]]="B", WORKDAY(Main[[#This Row],[Tech Start Date]],6),IF(Main[[#This Row],[Class]]="A",WORKDAY(Main[[#This Row],[Tech Start Date]],2),""))))</f>
        <v/>
      </c>
      <c r="N392" s="69" t="str">
        <f>IF(Main[[#This Row],[Tech Start Date]]&lt;1/1/1990,"",IF(Main[[#This Row],[Class]]="C",WORKDAY(Main[[#This Row],[Tech Start Date]],19),IF(Main[[#This Row],[Class]]="B", WORKDAY(Main[[#This Row],[Tech Start Date]],12),IF(Main[[#This Row],[Class]]="A",WORKDAY(Main[[#This Row],[Tech Start Date]],4),""))))</f>
        <v/>
      </c>
      <c r="O392" s="69" t="str">
        <f>IF(Main[[#This Row],[Tech Start Date]]&lt;1/1/1990,"",IF(Main[[#This Row],[Class]]="C",WORKDAY(Main[[#This Row],[Tech Start Date]],23),IF(Main[[#This Row],[Class]]="B", WORKDAY(Main[[#This Row],[Tech Start Date]],15),IF(Main[[#This Row],[Class]]="A",WORKDAY(Main[[#This Row],[Tech Start Date]],5),""))))</f>
        <v/>
      </c>
      <c r="P392" s="69" t="str">
        <f>IF(Main[[#This Row],[Tech Start Date]]&lt;1/1/1990,"",IF(Main[[#This Row],[Class]]="C",WORKDAY(Main[[#This Row],[Tech Start Date]],28),IF(Main[[#This Row],[Class]]="B", WORKDAY(Main[[#This Row],[Tech Start Date]],19),IF(Main[[#This Row],[Class]]="A",WORKDAY(Main[[#This Row],[Tech Start Date]],9),""))))</f>
        <v/>
      </c>
      <c r="Q392" s="67">
        <v>40132</v>
      </c>
      <c r="R392" s="67"/>
      <c r="S392" s="65" t="s">
        <v>11</v>
      </c>
      <c r="T392" s="70" t="s">
        <v>4</v>
      </c>
      <c r="U392" s="65" t="s">
        <v>14</v>
      </c>
      <c r="V392" s="65" t="s">
        <v>1915</v>
      </c>
      <c r="W392" s="65" t="s">
        <v>1919</v>
      </c>
      <c r="X392" s="65" t="s">
        <v>2858</v>
      </c>
      <c r="Y392" s="65" t="s">
        <v>4</v>
      </c>
      <c r="Z392" s="65" t="s">
        <v>4</v>
      </c>
      <c r="AA392" s="65" t="s">
        <v>2858</v>
      </c>
    </row>
    <row r="393" spans="1:27" ht="17.45" hidden="1" customHeight="1">
      <c r="A393" s="100" t="str">
        <f>IF(priority(Main[[#This Row],[Comments]])&lt;&gt;0, priority(Main[[#This Row],[Comments]]),"")</f>
        <v/>
      </c>
      <c r="B393" s="77" t="s">
        <v>1225</v>
      </c>
      <c r="C393" s="65" t="s">
        <v>33</v>
      </c>
      <c r="D393" s="66" t="s">
        <v>288</v>
      </c>
      <c r="E393" s="67"/>
      <c r="F393" s="67"/>
      <c r="G393" s="64" t="str">
        <f>IF(stdProdLT(Main[[#This Row],[Comments]])=0.1,"N/A",IF(stdProdLT(Main[[#This Row],[Comments]])=0,"",stdProdLT(Main[[#This Row],[Comments]])))</f>
        <v/>
      </c>
      <c r="H393" s="68" t="str">
        <f>IF(AND(Main[[#This Row],[In Stock Date]]&lt;&gt;"",Main[[#This Row],[Revised Due Date]]&lt;&gt;""),Main[[#This Row],[In Stock Date]]-Main[[#This Row],[Revised Due Date]],"")</f>
        <v/>
      </c>
      <c r="I393" s="65" t="s">
        <v>4</v>
      </c>
      <c r="J393" s="65" t="s">
        <v>4</v>
      </c>
      <c r="K393" s="65" t="s">
        <v>4</v>
      </c>
      <c r="L393" s="67"/>
      <c r="M393" s="69" t="str">
        <f>IF(Main[[#This Row],[Tech Start Date]]&lt;1/1/1990,"",IF(Main[[#This Row],[Class]]="C",WORKDAY(Main[[#This Row],[Tech Start Date]],9),IF(Main[[#This Row],[Class]]="B", WORKDAY(Main[[#This Row],[Tech Start Date]],6),IF(Main[[#This Row],[Class]]="A",WORKDAY(Main[[#This Row],[Tech Start Date]],2),""))))</f>
        <v/>
      </c>
      <c r="N393" s="69" t="str">
        <f>IF(Main[[#This Row],[Tech Start Date]]&lt;1/1/1990,"",IF(Main[[#This Row],[Class]]="C",WORKDAY(Main[[#This Row],[Tech Start Date]],19),IF(Main[[#This Row],[Class]]="B", WORKDAY(Main[[#This Row],[Tech Start Date]],12),IF(Main[[#This Row],[Class]]="A",WORKDAY(Main[[#This Row],[Tech Start Date]],4),""))))</f>
        <v/>
      </c>
      <c r="O393" s="69" t="str">
        <f>IF(Main[[#This Row],[Tech Start Date]]&lt;1/1/1990,"",IF(Main[[#This Row],[Class]]="C",WORKDAY(Main[[#This Row],[Tech Start Date]],23),IF(Main[[#This Row],[Class]]="B", WORKDAY(Main[[#This Row],[Tech Start Date]],15),IF(Main[[#This Row],[Class]]="A",WORKDAY(Main[[#This Row],[Tech Start Date]],5),""))))</f>
        <v/>
      </c>
      <c r="P393" s="69" t="str">
        <f>IF(Main[[#This Row],[Tech Start Date]]&lt;1/1/1990,"",IF(Main[[#This Row],[Class]]="C",WORKDAY(Main[[#This Row],[Tech Start Date]],28),IF(Main[[#This Row],[Class]]="B", WORKDAY(Main[[#This Row],[Tech Start Date]],19),IF(Main[[#This Row],[Class]]="A",WORKDAY(Main[[#This Row],[Tech Start Date]],9),""))))</f>
        <v/>
      </c>
      <c r="Q393" s="67"/>
      <c r="R393" s="67"/>
      <c r="S393" s="65" t="s">
        <v>11</v>
      </c>
      <c r="T393" s="70" t="s">
        <v>4</v>
      </c>
      <c r="U393" s="65" t="s">
        <v>14</v>
      </c>
      <c r="V393" s="65" t="s">
        <v>1915</v>
      </c>
      <c r="W393" s="65" t="s">
        <v>1922</v>
      </c>
      <c r="X393" s="65" t="s">
        <v>2827</v>
      </c>
      <c r="Y393" s="65" t="s">
        <v>2948</v>
      </c>
      <c r="Z393" s="65" t="s">
        <v>4</v>
      </c>
      <c r="AA393" s="65" t="s">
        <v>2827</v>
      </c>
    </row>
    <row r="394" spans="1:27" ht="17.45" hidden="1" customHeight="1">
      <c r="A394" s="100" t="str">
        <f>IF(priority(Main[[#This Row],[Comments]])&lt;&gt;0, priority(Main[[#This Row],[Comments]]),"")</f>
        <v/>
      </c>
      <c r="B394" s="77" t="s">
        <v>1322</v>
      </c>
      <c r="C394" s="65" t="s">
        <v>4</v>
      </c>
      <c r="D394" s="66" t="s">
        <v>404</v>
      </c>
      <c r="E394" s="67">
        <v>40387.702291666668</v>
      </c>
      <c r="F394" s="67"/>
      <c r="G394" s="64" t="str">
        <f>IF(stdProdLT(Main[[#This Row],[Comments]])=0.1,"N/A",IF(stdProdLT(Main[[#This Row],[Comments]])=0,"",stdProdLT(Main[[#This Row],[Comments]])))</f>
        <v/>
      </c>
      <c r="H394" s="68" t="str">
        <f>IF(AND(Main[[#This Row],[In Stock Date]]&lt;&gt;"",Main[[#This Row],[Revised Due Date]]&lt;&gt;""),Main[[#This Row],[In Stock Date]]-Main[[#This Row],[Revised Due Date]],"")</f>
        <v/>
      </c>
      <c r="I394" s="65" t="s">
        <v>4</v>
      </c>
      <c r="J394" s="65" t="s">
        <v>28</v>
      </c>
      <c r="K394" s="65" t="s">
        <v>4</v>
      </c>
      <c r="L394" s="67"/>
      <c r="M394" s="69" t="str">
        <f>IF(Main[[#This Row],[Tech Start Date]]&lt;1/1/1990,"",IF(Main[[#This Row],[Class]]="C",WORKDAY(Main[[#This Row],[Tech Start Date]],9),IF(Main[[#This Row],[Class]]="B", WORKDAY(Main[[#This Row],[Tech Start Date]],6),IF(Main[[#This Row],[Class]]="A",WORKDAY(Main[[#This Row],[Tech Start Date]],2),""))))</f>
        <v/>
      </c>
      <c r="N394" s="69" t="str">
        <f>IF(Main[[#This Row],[Tech Start Date]]&lt;1/1/1990,"",IF(Main[[#This Row],[Class]]="C",WORKDAY(Main[[#This Row],[Tech Start Date]],19),IF(Main[[#This Row],[Class]]="B", WORKDAY(Main[[#This Row],[Tech Start Date]],12),IF(Main[[#This Row],[Class]]="A",WORKDAY(Main[[#This Row],[Tech Start Date]],4),""))))</f>
        <v/>
      </c>
      <c r="O394" s="69" t="str">
        <f>IF(Main[[#This Row],[Tech Start Date]]&lt;1/1/1990,"",IF(Main[[#This Row],[Class]]="C",WORKDAY(Main[[#This Row],[Tech Start Date]],23),IF(Main[[#This Row],[Class]]="B", WORKDAY(Main[[#This Row],[Tech Start Date]],15),IF(Main[[#This Row],[Class]]="A",WORKDAY(Main[[#This Row],[Tech Start Date]],5),""))))</f>
        <v/>
      </c>
      <c r="P394" s="69" t="str">
        <f>IF(Main[[#This Row],[Tech Start Date]]&lt;1/1/1990,"",IF(Main[[#This Row],[Class]]="C",WORKDAY(Main[[#This Row],[Tech Start Date]],28),IF(Main[[#This Row],[Class]]="B", WORKDAY(Main[[#This Row],[Tech Start Date]],19),IF(Main[[#This Row],[Class]]="A",WORKDAY(Main[[#This Row],[Tech Start Date]],9),""))))</f>
        <v/>
      </c>
      <c r="Q394" s="67">
        <v>40400</v>
      </c>
      <c r="R394" s="67"/>
      <c r="S394" s="65" t="s">
        <v>6</v>
      </c>
      <c r="T394" s="70" t="s">
        <v>4</v>
      </c>
      <c r="U394" s="65" t="s">
        <v>7</v>
      </c>
      <c r="V394" s="65" t="s">
        <v>1914</v>
      </c>
      <c r="W394" s="65" t="s">
        <v>1916</v>
      </c>
      <c r="X394" s="65" t="s">
        <v>102</v>
      </c>
      <c r="Y394" s="65" t="s">
        <v>3032</v>
      </c>
      <c r="Z394" s="65" t="s">
        <v>129</v>
      </c>
      <c r="AA394" s="65" t="s">
        <v>3397</v>
      </c>
    </row>
    <row r="395" spans="1:27" ht="17.45" hidden="1" customHeight="1">
      <c r="A395" s="100" t="str">
        <f>IF(priority(Main[[#This Row],[Comments]])&lt;&gt;0, priority(Main[[#This Row],[Comments]]),"")</f>
        <v/>
      </c>
      <c r="B395" s="77" t="s">
        <v>1719</v>
      </c>
      <c r="C395" s="65" t="s">
        <v>277</v>
      </c>
      <c r="D395" s="66" t="s">
        <v>773</v>
      </c>
      <c r="E395" s="67"/>
      <c r="F395" s="67">
        <v>40680</v>
      </c>
      <c r="G395" s="64" t="str">
        <f>IF(stdProdLT(Main[[#This Row],[Comments]])=0.1,"N/A",IF(stdProdLT(Main[[#This Row],[Comments]])=0,"",stdProdLT(Main[[#This Row],[Comments]])))</f>
        <v/>
      </c>
      <c r="H395" s="68" t="str">
        <f>IF(AND(Main[[#This Row],[In Stock Date]]&lt;&gt;"",Main[[#This Row],[Revised Due Date]]&lt;&gt;""),Main[[#This Row],[In Stock Date]]-Main[[#This Row],[Revised Due Date]],"")</f>
        <v/>
      </c>
      <c r="I395" s="65" t="s">
        <v>4</v>
      </c>
      <c r="J395" s="65" t="s">
        <v>28</v>
      </c>
      <c r="K395" s="65" t="s">
        <v>4</v>
      </c>
      <c r="L395" s="67"/>
      <c r="M395" s="69" t="str">
        <f>IF(Main[[#This Row],[Tech Start Date]]&lt;1/1/1990,"",IF(Main[[#This Row],[Class]]="C",WORKDAY(Main[[#This Row],[Tech Start Date]],9),IF(Main[[#This Row],[Class]]="B", WORKDAY(Main[[#This Row],[Tech Start Date]],6),IF(Main[[#This Row],[Class]]="A",WORKDAY(Main[[#This Row],[Tech Start Date]],2),""))))</f>
        <v/>
      </c>
      <c r="N395" s="69" t="str">
        <f>IF(Main[[#This Row],[Tech Start Date]]&lt;1/1/1990,"",IF(Main[[#This Row],[Class]]="C",WORKDAY(Main[[#This Row],[Tech Start Date]],19),IF(Main[[#This Row],[Class]]="B", WORKDAY(Main[[#This Row],[Tech Start Date]],12),IF(Main[[#This Row],[Class]]="A",WORKDAY(Main[[#This Row],[Tech Start Date]],4),""))))</f>
        <v/>
      </c>
      <c r="O395" s="69" t="str">
        <f>IF(Main[[#This Row],[Tech Start Date]]&lt;1/1/1990,"",IF(Main[[#This Row],[Class]]="C",WORKDAY(Main[[#This Row],[Tech Start Date]],23),IF(Main[[#This Row],[Class]]="B", WORKDAY(Main[[#This Row],[Tech Start Date]],15),IF(Main[[#This Row],[Class]]="A",WORKDAY(Main[[#This Row],[Tech Start Date]],5),""))))</f>
        <v/>
      </c>
      <c r="P395" s="69" t="str">
        <f>IF(Main[[#This Row],[Tech Start Date]]&lt;1/1/1990,"",IF(Main[[#This Row],[Class]]="C",WORKDAY(Main[[#This Row],[Tech Start Date]],28),IF(Main[[#This Row],[Class]]="B", WORKDAY(Main[[#This Row],[Tech Start Date]],19),IF(Main[[#This Row],[Class]]="A",WORKDAY(Main[[#This Row],[Tech Start Date]],9),""))))</f>
        <v/>
      </c>
      <c r="Q395" s="67">
        <v>40568</v>
      </c>
      <c r="R395" s="67"/>
      <c r="S395" s="65" t="s">
        <v>11</v>
      </c>
      <c r="T395" s="70" t="s">
        <v>774</v>
      </c>
      <c r="U395" s="65" t="s">
        <v>14</v>
      </c>
      <c r="V395" s="65" t="s">
        <v>1915</v>
      </c>
      <c r="W395" s="65" t="s">
        <v>1919</v>
      </c>
      <c r="X395" s="65" t="s">
        <v>2860</v>
      </c>
      <c r="Y395" s="65" t="s">
        <v>3004</v>
      </c>
      <c r="Z395" s="65" t="s">
        <v>4</v>
      </c>
      <c r="AA395" s="65" t="s">
        <v>2860</v>
      </c>
    </row>
    <row r="396" spans="1:27" ht="17.45" hidden="1" customHeight="1">
      <c r="A396" s="100" t="str">
        <f>IF(priority(Main[[#This Row],[Comments]])&lt;&gt;0, priority(Main[[#This Row],[Comments]]),"")</f>
        <v/>
      </c>
      <c r="B396" s="77" t="s">
        <v>1337</v>
      </c>
      <c r="C396" s="65" t="s">
        <v>33</v>
      </c>
      <c r="D396" s="66" t="s">
        <v>419</v>
      </c>
      <c r="E396" s="67"/>
      <c r="F396" s="67">
        <v>40266</v>
      </c>
      <c r="G396" s="64" t="str">
        <f>IF(stdProdLT(Main[[#This Row],[Comments]])=0.1,"N/A",IF(stdProdLT(Main[[#This Row],[Comments]])=0,"",stdProdLT(Main[[#This Row],[Comments]])))</f>
        <v/>
      </c>
      <c r="H396" s="68" t="str">
        <f>IF(AND(Main[[#This Row],[In Stock Date]]&lt;&gt;"",Main[[#This Row],[Revised Due Date]]&lt;&gt;""),Main[[#This Row],[In Stock Date]]-Main[[#This Row],[Revised Due Date]],"")</f>
        <v/>
      </c>
      <c r="I396" s="65" t="s">
        <v>4</v>
      </c>
      <c r="J396" s="65" t="s">
        <v>4</v>
      </c>
      <c r="K396" s="65" t="s">
        <v>4</v>
      </c>
      <c r="L396" s="67"/>
      <c r="M396" s="69" t="str">
        <f>IF(Main[[#This Row],[Tech Start Date]]&lt;1/1/1990,"",IF(Main[[#This Row],[Class]]="C",WORKDAY(Main[[#This Row],[Tech Start Date]],9),IF(Main[[#This Row],[Class]]="B", WORKDAY(Main[[#This Row],[Tech Start Date]],6),IF(Main[[#This Row],[Class]]="A",WORKDAY(Main[[#This Row],[Tech Start Date]],2),""))))</f>
        <v/>
      </c>
      <c r="N396" s="69" t="str">
        <f>IF(Main[[#This Row],[Tech Start Date]]&lt;1/1/1990,"",IF(Main[[#This Row],[Class]]="C",WORKDAY(Main[[#This Row],[Tech Start Date]],19),IF(Main[[#This Row],[Class]]="B", WORKDAY(Main[[#This Row],[Tech Start Date]],12),IF(Main[[#This Row],[Class]]="A",WORKDAY(Main[[#This Row],[Tech Start Date]],4),""))))</f>
        <v/>
      </c>
      <c r="O396" s="69" t="str">
        <f>IF(Main[[#This Row],[Tech Start Date]]&lt;1/1/1990,"",IF(Main[[#This Row],[Class]]="C",WORKDAY(Main[[#This Row],[Tech Start Date]],23),IF(Main[[#This Row],[Class]]="B", WORKDAY(Main[[#This Row],[Tech Start Date]],15),IF(Main[[#This Row],[Class]]="A",WORKDAY(Main[[#This Row],[Tech Start Date]],5),""))))</f>
        <v/>
      </c>
      <c r="P396" s="69" t="str">
        <f>IF(Main[[#This Row],[Tech Start Date]]&lt;1/1/1990,"",IF(Main[[#This Row],[Class]]="C",WORKDAY(Main[[#This Row],[Tech Start Date]],28),IF(Main[[#This Row],[Class]]="B", WORKDAY(Main[[#This Row],[Tech Start Date]],19),IF(Main[[#This Row],[Class]]="A",WORKDAY(Main[[#This Row],[Tech Start Date]],9),""))))</f>
        <v/>
      </c>
      <c r="Q396" s="67">
        <v>40266</v>
      </c>
      <c r="R396" s="67"/>
      <c r="S396" s="65" t="s">
        <v>11</v>
      </c>
      <c r="T396" s="70" t="s">
        <v>4</v>
      </c>
      <c r="U396" s="65" t="s">
        <v>14</v>
      </c>
      <c r="V396" s="65" t="s">
        <v>1917</v>
      </c>
      <c r="W396" s="65" t="s">
        <v>1919</v>
      </c>
      <c r="X396" s="65" t="s">
        <v>2850</v>
      </c>
      <c r="Y396" s="65" t="s">
        <v>4</v>
      </c>
      <c r="Z396" s="65" t="s">
        <v>4</v>
      </c>
      <c r="AA396" s="65" t="s">
        <v>2850</v>
      </c>
    </row>
    <row r="397" spans="1:27" ht="17.45" hidden="1" customHeight="1">
      <c r="A397" s="100" t="str">
        <f>IF(priority(Main[[#This Row],[Comments]])&lt;&gt;0, priority(Main[[#This Row],[Comments]]),"")</f>
        <v/>
      </c>
      <c r="B397" s="77" t="s">
        <v>1393</v>
      </c>
      <c r="C397" s="65" t="s">
        <v>93</v>
      </c>
      <c r="D397" s="66" t="s">
        <v>420</v>
      </c>
      <c r="E397" s="67"/>
      <c r="F397" s="67">
        <v>40269</v>
      </c>
      <c r="G397" s="64" t="str">
        <f>IF(stdProdLT(Main[[#This Row],[Comments]])=0.1,"N/A",IF(stdProdLT(Main[[#This Row],[Comments]])=0,"",stdProdLT(Main[[#This Row],[Comments]])))</f>
        <v/>
      </c>
      <c r="H397" s="68" t="str">
        <f>IF(AND(Main[[#This Row],[In Stock Date]]&lt;&gt;"",Main[[#This Row],[Revised Due Date]]&lt;&gt;""),Main[[#This Row],[In Stock Date]]-Main[[#This Row],[Revised Due Date]],"")</f>
        <v/>
      </c>
      <c r="I397" s="65" t="s">
        <v>4</v>
      </c>
      <c r="J397" s="65" t="s">
        <v>4</v>
      </c>
      <c r="K397" s="65" t="s">
        <v>4</v>
      </c>
      <c r="L397" s="67"/>
      <c r="M397" s="69" t="str">
        <f>IF(Main[[#This Row],[Tech Start Date]]&lt;1/1/1990,"",IF(Main[[#This Row],[Class]]="C",WORKDAY(Main[[#This Row],[Tech Start Date]],9),IF(Main[[#This Row],[Class]]="B", WORKDAY(Main[[#This Row],[Tech Start Date]],6),IF(Main[[#This Row],[Class]]="A",WORKDAY(Main[[#This Row],[Tech Start Date]],2),""))))</f>
        <v/>
      </c>
      <c r="N397" s="69" t="str">
        <f>IF(Main[[#This Row],[Tech Start Date]]&lt;1/1/1990,"",IF(Main[[#This Row],[Class]]="C",WORKDAY(Main[[#This Row],[Tech Start Date]],19),IF(Main[[#This Row],[Class]]="B", WORKDAY(Main[[#This Row],[Tech Start Date]],12),IF(Main[[#This Row],[Class]]="A",WORKDAY(Main[[#This Row],[Tech Start Date]],4),""))))</f>
        <v/>
      </c>
      <c r="O397" s="69" t="str">
        <f>IF(Main[[#This Row],[Tech Start Date]]&lt;1/1/1990,"",IF(Main[[#This Row],[Class]]="C",WORKDAY(Main[[#This Row],[Tech Start Date]],23),IF(Main[[#This Row],[Class]]="B", WORKDAY(Main[[#This Row],[Tech Start Date]],15),IF(Main[[#This Row],[Class]]="A",WORKDAY(Main[[#This Row],[Tech Start Date]],5),""))))</f>
        <v/>
      </c>
      <c r="P397" s="69" t="str">
        <f>IF(Main[[#This Row],[Tech Start Date]]&lt;1/1/1990,"",IF(Main[[#This Row],[Class]]="C",WORKDAY(Main[[#This Row],[Tech Start Date]],28),IF(Main[[#This Row],[Class]]="B", WORKDAY(Main[[#This Row],[Tech Start Date]],19),IF(Main[[#This Row],[Class]]="A",WORKDAY(Main[[#This Row],[Tech Start Date]],9),""))))</f>
        <v/>
      </c>
      <c r="Q397" s="67">
        <v>40185</v>
      </c>
      <c r="R397" s="67"/>
      <c r="S397" s="65" t="s">
        <v>11</v>
      </c>
      <c r="T397" s="70" t="s">
        <v>4</v>
      </c>
      <c r="U397" s="65" t="s">
        <v>12</v>
      </c>
      <c r="V397" s="65" t="s">
        <v>1924</v>
      </c>
      <c r="W397" s="65" t="s">
        <v>1925</v>
      </c>
      <c r="X397" s="65" t="s">
        <v>2845</v>
      </c>
      <c r="Y397" s="65" t="s">
        <v>4</v>
      </c>
      <c r="Z397" s="65" t="s">
        <v>4</v>
      </c>
      <c r="AA397" s="65" t="s">
        <v>2845</v>
      </c>
    </row>
    <row r="398" spans="1:27" ht="17.45" hidden="1" customHeight="1">
      <c r="A398" s="100" t="str">
        <f>IF(priority(Main[[#This Row],[Comments]])&lt;&gt;0, priority(Main[[#This Row],[Comments]]),"")</f>
        <v/>
      </c>
      <c r="B398" s="77" t="s">
        <v>1394</v>
      </c>
      <c r="C398" s="65" t="s">
        <v>169</v>
      </c>
      <c r="D398" s="66" t="s">
        <v>421</v>
      </c>
      <c r="E398" s="67"/>
      <c r="F398" s="67">
        <v>40237</v>
      </c>
      <c r="G398" s="64" t="str">
        <f>IF(stdProdLT(Main[[#This Row],[Comments]])=0.1,"N/A",IF(stdProdLT(Main[[#This Row],[Comments]])=0,"",stdProdLT(Main[[#This Row],[Comments]])))</f>
        <v/>
      </c>
      <c r="H398" s="68" t="str">
        <f>IF(AND(Main[[#This Row],[In Stock Date]]&lt;&gt;"",Main[[#This Row],[Revised Due Date]]&lt;&gt;""),Main[[#This Row],[In Stock Date]]-Main[[#This Row],[Revised Due Date]],"")</f>
        <v/>
      </c>
      <c r="I398" s="65" t="s">
        <v>4</v>
      </c>
      <c r="J398" s="65" t="s">
        <v>4</v>
      </c>
      <c r="K398" s="65" t="s">
        <v>4</v>
      </c>
      <c r="L398" s="67"/>
      <c r="M398" s="69" t="str">
        <f>IF(Main[[#This Row],[Tech Start Date]]&lt;1/1/1990,"",IF(Main[[#This Row],[Class]]="C",WORKDAY(Main[[#This Row],[Tech Start Date]],9),IF(Main[[#This Row],[Class]]="B", WORKDAY(Main[[#This Row],[Tech Start Date]],6),IF(Main[[#This Row],[Class]]="A",WORKDAY(Main[[#This Row],[Tech Start Date]],2),""))))</f>
        <v/>
      </c>
      <c r="N398" s="69" t="str">
        <f>IF(Main[[#This Row],[Tech Start Date]]&lt;1/1/1990,"",IF(Main[[#This Row],[Class]]="C",WORKDAY(Main[[#This Row],[Tech Start Date]],19),IF(Main[[#This Row],[Class]]="B", WORKDAY(Main[[#This Row],[Tech Start Date]],12),IF(Main[[#This Row],[Class]]="A",WORKDAY(Main[[#This Row],[Tech Start Date]],4),""))))</f>
        <v/>
      </c>
      <c r="O398" s="69" t="str">
        <f>IF(Main[[#This Row],[Tech Start Date]]&lt;1/1/1990,"",IF(Main[[#This Row],[Class]]="C",WORKDAY(Main[[#This Row],[Tech Start Date]],23),IF(Main[[#This Row],[Class]]="B", WORKDAY(Main[[#This Row],[Tech Start Date]],15),IF(Main[[#This Row],[Class]]="A",WORKDAY(Main[[#This Row],[Tech Start Date]],5),""))))</f>
        <v/>
      </c>
      <c r="P398" s="69" t="str">
        <f>IF(Main[[#This Row],[Tech Start Date]]&lt;1/1/1990,"",IF(Main[[#This Row],[Class]]="C",WORKDAY(Main[[#This Row],[Tech Start Date]],28),IF(Main[[#This Row],[Class]]="B", WORKDAY(Main[[#This Row],[Tech Start Date]],19),IF(Main[[#This Row],[Class]]="A",WORKDAY(Main[[#This Row],[Tech Start Date]],9),""))))</f>
        <v/>
      </c>
      <c r="Q398" s="67">
        <v>40132</v>
      </c>
      <c r="R398" s="67"/>
      <c r="S398" s="65" t="s">
        <v>11</v>
      </c>
      <c r="T398" s="70" t="s">
        <v>4</v>
      </c>
      <c r="U398" s="65" t="s">
        <v>14</v>
      </c>
      <c r="V398" s="65" t="s">
        <v>1914</v>
      </c>
      <c r="W398" s="65" t="s">
        <v>1919</v>
      </c>
      <c r="X398" s="65" t="s">
        <v>2858</v>
      </c>
      <c r="Y398" s="65" t="s">
        <v>4</v>
      </c>
      <c r="Z398" s="65" t="s">
        <v>4</v>
      </c>
      <c r="AA398" s="65" t="s">
        <v>2858</v>
      </c>
    </row>
    <row r="399" spans="1:27" ht="17.45" hidden="1" customHeight="1">
      <c r="A399" s="100" t="str">
        <f>IF(priority(Main[[#This Row],[Comments]])&lt;&gt;0, priority(Main[[#This Row],[Comments]]),"")</f>
        <v/>
      </c>
      <c r="B399" s="77" t="s">
        <v>1395</v>
      </c>
      <c r="C399" s="65" t="s">
        <v>93</v>
      </c>
      <c r="D399" s="66" t="s">
        <v>422</v>
      </c>
      <c r="E399" s="67"/>
      <c r="F399" s="67">
        <v>40144</v>
      </c>
      <c r="G399" s="64" t="str">
        <f>IF(stdProdLT(Main[[#This Row],[Comments]])=0.1,"N/A",IF(stdProdLT(Main[[#This Row],[Comments]])=0,"",stdProdLT(Main[[#This Row],[Comments]])))</f>
        <v/>
      </c>
      <c r="H399" s="68" t="str">
        <f>IF(AND(Main[[#This Row],[In Stock Date]]&lt;&gt;"",Main[[#This Row],[Revised Due Date]]&lt;&gt;""),Main[[#This Row],[In Stock Date]]-Main[[#This Row],[Revised Due Date]],"")</f>
        <v/>
      </c>
      <c r="I399" s="65" t="s">
        <v>4</v>
      </c>
      <c r="J399" s="65" t="s">
        <v>4</v>
      </c>
      <c r="K399" s="71" t="s">
        <v>4</v>
      </c>
      <c r="L399" s="67"/>
      <c r="M399" s="69" t="str">
        <f>IF(Main[[#This Row],[Tech Start Date]]&lt;1/1/1990,"",IF(Main[[#This Row],[Class]]="C",WORKDAY(Main[[#This Row],[Tech Start Date]],9),IF(Main[[#This Row],[Class]]="B", WORKDAY(Main[[#This Row],[Tech Start Date]],6),IF(Main[[#This Row],[Class]]="A",WORKDAY(Main[[#This Row],[Tech Start Date]],2),""))))</f>
        <v/>
      </c>
      <c r="N399" s="69" t="str">
        <f>IF(Main[[#This Row],[Tech Start Date]]&lt;1/1/1990,"",IF(Main[[#This Row],[Class]]="C",WORKDAY(Main[[#This Row],[Tech Start Date]],19),IF(Main[[#This Row],[Class]]="B", WORKDAY(Main[[#This Row],[Tech Start Date]],12),IF(Main[[#This Row],[Class]]="A",WORKDAY(Main[[#This Row],[Tech Start Date]],4),""))))</f>
        <v/>
      </c>
      <c r="O399" s="69" t="str">
        <f>IF(Main[[#This Row],[Tech Start Date]]&lt;1/1/1990,"",IF(Main[[#This Row],[Class]]="C",WORKDAY(Main[[#This Row],[Tech Start Date]],23),IF(Main[[#This Row],[Class]]="B", WORKDAY(Main[[#This Row],[Tech Start Date]],15),IF(Main[[#This Row],[Class]]="A",WORKDAY(Main[[#This Row],[Tech Start Date]],5),""))))</f>
        <v/>
      </c>
      <c r="P399" s="69" t="str">
        <f>IF(Main[[#This Row],[Tech Start Date]]&lt;1/1/1990,"",IF(Main[[#This Row],[Class]]="C",WORKDAY(Main[[#This Row],[Tech Start Date]],28),IF(Main[[#This Row],[Class]]="B", WORKDAY(Main[[#This Row],[Tech Start Date]],19),IF(Main[[#This Row],[Class]]="A",WORKDAY(Main[[#This Row],[Tech Start Date]],9),""))))</f>
        <v/>
      </c>
      <c r="Q399" s="67">
        <v>40144</v>
      </c>
      <c r="R399" s="67"/>
      <c r="S399" s="65" t="s">
        <v>11</v>
      </c>
      <c r="T399" s="70" t="s">
        <v>4</v>
      </c>
      <c r="U399" s="65" t="s">
        <v>14</v>
      </c>
      <c r="V399" s="65" t="s">
        <v>1917</v>
      </c>
      <c r="W399" s="65" t="s">
        <v>1925</v>
      </c>
      <c r="X399" s="65" t="s">
        <v>2856</v>
      </c>
      <c r="Y399" s="65" t="s">
        <v>4</v>
      </c>
      <c r="Z399" s="65" t="s">
        <v>4</v>
      </c>
      <c r="AA399" s="65" t="s">
        <v>2856</v>
      </c>
    </row>
    <row r="400" spans="1:27" ht="17.45" hidden="1" customHeight="1">
      <c r="A400" s="100" t="str">
        <f>IF(priority(Main[[#This Row],[Comments]])&lt;&gt;0, priority(Main[[#This Row],[Comments]]),"")</f>
        <v/>
      </c>
      <c r="B400" s="77" t="s">
        <v>1338</v>
      </c>
      <c r="C400" s="65" t="s">
        <v>93</v>
      </c>
      <c r="D400" s="66" t="s">
        <v>423</v>
      </c>
      <c r="E400" s="67"/>
      <c r="F400" s="67">
        <v>40162</v>
      </c>
      <c r="G400" s="64" t="str">
        <f>IF(stdProdLT(Main[[#This Row],[Comments]])=0.1,"N/A",IF(stdProdLT(Main[[#This Row],[Comments]])=0,"",stdProdLT(Main[[#This Row],[Comments]])))</f>
        <v/>
      </c>
      <c r="H400" s="68" t="str">
        <f>IF(AND(Main[[#This Row],[In Stock Date]]&lt;&gt;"",Main[[#This Row],[Revised Due Date]]&lt;&gt;""),Main[[#This Row],[In Stock Date]]-Main[[#This Row],[Revised Due Date]],"")</f>
        <v/>
      </c>
      <c r="I400" s="65" t="s">
        <v>4</v>
      </c>
      <c r="J400" s="65" t="s">
        <v>4</v>
      </c>
      <c r="K400" s="71" t="s">
        <v>4</v>
      </c>
      <c r="L400" s="67"/>
      <c r="M400" s="69" t="str">
        <f>IF(Main[[#This Row],[Tech Start Date]]&lt;1/1/1990,"",IF(Main[[#This Row],[Class]]="C",WORKDAY(Main[[#This Row],[Tech Start Date]],9),IF(Main[[#This Row],[Class]]="B", WORKDAY(Main[[#This Row],[Tech Start Date]],6),IF(Main[[#This Row],[Class]]="A",WORKDAY(Main[[#This Row],[Tech Start Date]],2),""))))</f>
        <v/>
      </c>
      <c r="N400" s="69" t="str">
        <f>IF(Main[[#This Row],[Tech Start Date]]&lt;1/1/1990,"",IF(Main[[#This Row],[Class]]="C",WORKDAY(Main[[#This Row],[Tech Start Date]],19),IF(Main[[#This Row],[Class]]="B", WORKDAY(Main[[#This Row],[Tech Start Date]],12),IF(Main[[#This Row],[Class]]="A",WORKDAY(Main[[#This Row],[Tech Start Date]],4),""))))</f>
        <v/>
      </c>
      <c r="O400" s="69" t="str">
        <f>IF(Main[[#This Row],[Tech Start Date]]&lt;1/1/1990,"",IF(Main[[#This Row],[Class]]="C",WORKDAY(Main[[#This Row],[Tech Start Date]],23),IF(Main[[#This Row],[Class]]="B", WORKDAY(Main[[#This Row],[Tech Start Date]],15),IF(Main[[#This Row],[Class]]="A",WORKDAY(Main[[#This Row],[Tech Start Date]],5),""))))</f>
        <v/>
      </c>
      <c r="P400" s="69" t="str">
        <f>IF(Main[[#This Row],[Tech Start Date]]&lt;1/1/1990,"",IF(Main[[#This Row],[Class]]="C",WORKDAY(Main[[#This Row],[Tech Start Date]],28),IF(Main[[#This Row],[Class]]="B", WORKDAY(Main[[#This Row],[Tech Start Date]],19),IF(Main[[#This Row],[Class]]="A",WORKDAY(Main[[#This Row],[Tech Start Date]],9),""))))</f>
        <v/>
      </c>
      <c r="Q400" s="67">
        <v>40127</v>
      </c>
      <c r="R400" s="67"/>
      <c r="S400" s="65" t="s">
        <v>11</v>
      </c>
      <c r="T400" s="70" t="s">
        <v>4</v>
      </c>
      <c r="U400" s="65" t="s">
        <v>14</v>
      </c>
      <c r="V400" s="65" t="s">
        <v>1924</v>
      </c>
      <c r="W400" s="65" t="s">
        <v>1925</v>
      </c>
      <c r="X400" s="65" t="s">
        <v>2845</v>
      </c>
      <c r="Y400" s="65" t="s">
        <v>4</v>
      </c>
      <c r="Z400" s="65" t="s">
        <v>4</v>
      </c>
      <c r="AA400" s="65" t="s">
        <v>2845</v>
      </c>
    </row>
    <row r="401" spans="1:27" ht="17.45" hidden="1" customHeight="1">
      <c r="A401" s="100" t="str">
        <f>IF(priority(Main[[#This Row],[Comments]])&lt;&gt;0, priority(Main[[#This Row],[Comments]]),"")</f>
        <v/>
      </c>
      <c r="B401" s="77" t="s">
        <v>1339</v>
      </c>
      <c r="C401" s="65" t="s">
        <v>424</v>
      </c>
      <c r="D401" s="66" t="s">
        <v>425</v>
      </c>
      <c r="E401" s="67"/>
      <c r="F401" s="67">
        <v>40179</v>
      </c>
      <c r="G401" s="64" t="str">
        <f>IF(stdProdLT(Main[[#This Row],[Comments]])=0.1,"N/A",IF(stdProdLT(Main[[#This Row],[Comments]])=0,"",stdProdLT(Main[[#This Row],[Comments]])))</f>
        <v/>
      </c>
      <c r="H401" s="68" t="str">
        <f>IF(AND(Main[[#This Row],[In Stock Date]]&lt;&gt;"",Main[[#This Row],[Revised Due Date]]&lt;&gt;""),Main[[#This Row],[In Stock Date]]-Main[[#This Row],[Revised Due Date]],"")</f>
        <v/>
      </c>
      <c r="I401" s="65" t="s">
        <v>4</v>
      </c>
      <c r="J401" s="65" t="s">
        <v>4</v>
      </c>
      <c r="K401" s="65" t="s">
        <v>4</v>
      </c>
      <c r="L401" s="67"/>
      <c r="M401" s="69" t="str">
        <f>IF(Main[[#This Row],[Tech Start Date]]&lt;1/1/1990,"",IF(Main[[#This Row],[Class]]="C",WORKDAY(Main[[#This Row],[Tech Start Date]],9),IF(Main[[#This Row],[Class]]="B", WORKDAY(Main[[#This Row],[Tech Start Date]],6),IF(Main[[#This Row],[Class]]="A",WORKDAY(Main[[#This Row],[Tech Start Date]],2),""))))</f>
        <v/>
      </c>
      <c r="N401" s="69" t="str">
        <f>IF(Main[[#This Row],[Tech Start Date]]&lt;1/1/1990,"",IF(Main[[#This Row],[Class]]="C",WORKDAY(Main[[#This Row],[Tech Start Date]],19),IF(Main[[#This Row],[Class]]="B", WORKDAY(Main[[#This Row],[Tech Start Date]],12),IF(Main[[#This Row],[Class]]="A",WORKDAY(Main[[#This Row],[Tech Start Date]],4),""))))</f>
        <v/>
      </c>
      <c r="O401" s="69" t="str">
        <f>IF(Main[[#This Row],[Tech Start Date]]&lt;1/1/1990,"",IF(Main[[#This Row],[Class]]="C",WORKDAY(Main[[#This Row],[Tech Start Date]],23),IF(Main[[#This Row],[Class]]="B", WORKDAY(Main[[#This Row],[Tech Start Date]],15),IF(Main[[#This Row],[Class]]="A",WORKDAY(Main[[#This Row],[Tech Start Date]],5),""))))</f>
        <v/>
      </c>
      <c r="P401" s="69" t="str">
        <f>IF(Main[[#This Row],[Tech Start Date]]&lt;1/1/1990,"",IF(Main[[#This Row],[Class]]="C",WORKDAY(Main[[#This Row],[Tech Start Date]],28),IF(Main[[#This Row],[Class]]="B", WORKDAY(Main[[#This Row],[Tech Start Date]],19),IF(Main[[#This Row],[Class]]="A",WORKDAY(Main[[#This Row],[Tech Start Date]],9),""))))</f>
        <v/>
      </c>
      <c r="Q401" s="67">
        <v>40179</v>
      </c>
      <c r="R401" s="67"/>
      <c r="S401" s="65" t="s">
        <v>11</v>
      </c>
      <c r="T401" s="70" t="s">
        <v>4</v>
      </c>
      <c r="U401" s="65" t="s">
        <v>14</v>
      </c>
      <c r="V401" s="65" t="s">
        <v>1914</v>
      </c>
      <c r="W401" s="65" t="s">
        <v>1919</v>
      </c>
      <c r="X401" s="65" t="s">
        <v>2854</v>
      </c>
      <c r="Y401" s="65" t="s">
        <v>4</v>
      </c>
      <c r="Z401" s="65" t="s">
        <v>4</v>
      </c>
      <c r="AA401" s="65" t="s">
        <v>2854</v>
      </c>
    </row>
    <row r="402" spans="1:27" ht="17.45" hidden="1" customHeight="1">
      <c r="A402" s="100" t="str">
        <f>IF(priority(Main[[#This Row],[Comments]])&lt;&gt;0, priority(Main[[#This Row],[Comments]]),"")</f>
        <v/>
      </c>
      <c r="B402" s="77" t="s">
        <v>1340</v>
      </c>
      <c r="C402" s="65" t="s">
        <v>197</v>
      </c>
      <c r="D402" s="66" t="s">
        <v>426</v>
      </c>
      <c r="E402" s="67"/>
      <c r="F402" s="67"/>
      <c r="G402" s="64" t="str">
        <f>IF(stdProdLT(Main[[#This Row],[Comments]])=0.1,"N/A",IF(stdProdLT(Main[[#This Row],[Comments]])=0,"",stdProdLT(Main[[#This Row],[Comments]])))</f>
        <v/>
      </c>
      <c r="H402" s="68" t="str">
        <f>IF(AND(Main[[#This Row],[In Stock Date]]&lt;&gt;"",Main[[#This Row],[Revised Due Date]]&lt;&gt;""),Main[[#This Row],[In Stock Date]]-Main[[#This Row],[Revised Due Date]],"")</f>
        <v/>
      </c>
      <c r="I402" s="65" t="s">
        <v>4</v>
      </c>
      <c r="J402" s="65" t="s">
        <v>4</v>
      </c>
      <c r="K402" s="65" t="s">
        <v>4</v>
      </c>
      <c r="L402" s="67"/>
      <c r="M402" s="69" t="str">
        <f>IF(Main[[#This Row],[Tech Start Date]]&lt;1/1/1990,"",IF(Main[[#This Row],[Class]]="C",WORKDAY(Main[[#This Row],[Tech Start Date]],9),IF(Main[[#This Row],[Class]]="B", WORKDAY(Main[[#This Row],[Tech Start Date]],6),IF(Main[[#This Row],[Class]]="A",WORKDAY(Main[[#This Row],[Tech Start Date]],2),""))))</f>
        <v/>
      </c>
      <c r="N402" s="69" t="str">
        <f>IF(Main[[#This Row],[Tech Start Date]]&lt;1/1/1990,"",IF(Main[[#This Row],[Class]]="C",WORKDAY(Main[[#This Row],[Tech Start Date]],19),IF(Main[[#This Row],[Class]]="B", WORKDAY(Main[[#This Row],[Tech Start Date]],12),IF(Main[[#This Row],[Class]]="A",WORKDAY(Main[[#This Row],[Tech Start Date]],4),""))))</f>
        <v/>
      </c>
      <c r="O402" s="69" t="str">
        <f>IF(Main[[#This Row],[Tech Start Date]]&lt;1/1/1990,"",IF(Main[[#This Row],[Class]]="C",WORKDAY(Main[[#This Row],[Tech Start Date]],23),IF(Main[[#This Row],[Class]]="B", WORKDAY(Main[[#This Row],[Tech Start Date]],15),IF(Main[[#This Row],[Class]]="A",WORKDAY(Main[[#This Row],[Tech Start Date]],5),""))))</f>
        <v/>
      </c>
      <c r="P402" s="69" t="str">
        <f>IF(Main[[#This Row],[Tech Start Date]]&lt;1/1/1990,"",IF(Main[[#This Row],[Class]]="C",WORKDAY(Main[[#This Row],[Tech Start Date]],28),IF(Main[[#This Row],[Class]]="B", WORKDAY(Main[[#This Row],[Tech Start Date]],19),IF(Main[[#This Row],[Class]]="A",WORKDAY(Main[[#This Row],[Tech Start Date]],9),""))))</f>
        <v/>
      </c>
      <c r="Q402" s="67">
        <v>40165</v>
      </c>
      <c r="R402" s="67"/>
      <c r="S402" s="65" t="s">
        <v>11</v>
      </c>
      <c r="T402" s="70" t="s">
        <v>4</v>
      </c>
      <c r="U402" s="65" t="s">
        <v>14</v>
      </c>
      <c r="V402" s="65" t="s">
        <v>1924</v>
      </c>
      <c r="W402" s="65" t="s">
        <v>1920</v>
      </c>
      <c r="X402" s="65" t="s">
        <v>883</v>
      </c>
      <c r="Y402" s="65" t="s">
        <v>2963</v>
      </c>
      <c r="Z402" s="65" t="s">
        <v>4</v>
      </c>
      <c r="AA402" s="65" t="s">
        <v>883</v>
      </c>
    </row>
    <row r="403" spans="1:27" ht="17.45" hidden="1" customHeight="1">
      <c r="A403" s="100" t="str">
        <f>IF(priority(Main[[#This Row],[Comments]])&lt;&gt;0, priority(Main[[#This Row],[Comments]]),"")</f>
        <v/>
      </c>
      <c r="B403" s="77" t="s">
        <v>1341</v>
      </c>
      <c r="C403" s="65" t="s">
        <v>4</v>
      </c>
      <c r="D403" s="66" t="s">
        <v>427</v>
      </c>
      <c r="E403" s="67"/>
      <c r="F403" s="67"/>
      <c r="G403" s="64" t="str">
        <f>IF(stdProdLT(Main[[#This Row],[Comments]])=0.1,"N/A",IF(stdProdLT(Main[[#This Row],[Comments]])=0,"",stdProdLT(Main[[#This Row],[Comments]])))</f>
        <v/>
      </c>
      <c r="H403" s="68" t="str">
        <f>IF(AND(Main[[#This Row],[In Stock Date]]&lt;&gt;"",Main[[#This Row],[Revised Due Date]]&lt;&gt;""),Main[[#This Row],[In Stock Date]]-Main[[#This Row],[Revised Due Date]],"")</f>
        <v/>
      </c>
      <c r="I403" s="65" t="s">
        <v>4</v>
      </c>
      <c r="J403" s="65" t="s">
        <v>4</v>
      </c>
      <c r="K403" s="65" t="s">
        <v>4</v>
      </c>
      <c r="L403" s="67"/>
      <c r="M403" s="69" t="str">
        <f>IF(Main[[#This Row],[Tech Start Date]]&lt;1/1/1990,"",IF(Main[[#This Row],[Class]]="C",WORKDAY(Main[[#This Row],[Tech Start Date]],9),IF(Main[[#This Row],[Class]]="B", WORKDAY(Main[[#This Row],[Tech Start Date]],6),IF(Main[[#This Row],[Class]]="A",WORKDAY(Main[[#This Row],[Tech Start Date]],2),""))))</f>
        <v/>
      </c>
      <c r="N403" s="69" t="str">
        <f>IF(Main[[#This Row],[Tech Start Date]]&lt;1/1/1990,"",IF(Main[[#This Row],[Class]]="C",WORKDAY(Main[[#This Row],[Tech Start Date]],19),IF(Main[[#This Row],[Class]]="B", WORKDAY(Main[[#This Row],[Tech Start Date]],12),IF(Main[[#This Row],[Class]]="A",WORKDAY(Main[[#This Row],[Tech Start Date]],4),""))))</f>
        <v/>
      </c>
      <c r="O403" s="69" t="str">
        <f>IF(Main[[#This Row],[Tech Start Date]]&lt;1/1/1990,"",IF(Main[[#This Row],[Class]]="C",WORKDAY(Main[[#This Row],[Tech Start Date]],23),IF(Main[[#This Row],[Class]]="B", WORKDAY(Main[[#This Row],[Tech Start Date]],15),IF(Main[[#This Row],[Class]]="A",WORKDAY(Main[[#This Row],[Tech Start Date]],5),""))))</f>
        <v/>
      </c>
      <c r="P403" s="69" t="str">
        <f>IF(Main[[#This Row],[Tech Start Date]]&lt;1/1/1990,"",IF(Main[[#This Row],[Class]]="C",WORKDAY(Main[[#This Row],[Tech Start Date]],28),IF(Main[[#This Row],[Class]]="B", WORKDAY(Main[[#This Row],[Tech Start Date]],19),IF(Main[[#This Row],[Class]]="A",WORKDAY(Main[[#This Row],[Tech Start Date]],9),""))))</f>
        <v/>
      </c>
      <c r="Q403" s="67"/>
      <c r="R403" s="67"/>
      <c r="S403" s="65" t="s">
        <v>6</v>
      </c>
      <c r="T403" s="70" t="s">
        <v>4</v>
      </c>
      <c r="U403" s="65" t="s">
        <v>12</v>
      </c>
      <c r="V403" s="65" t="s">
        <v>1914</v>
      </c>
      <c r="W403" s="65" t="s">
        <v>4</v>
      </c>
      <c r="X403" s="65" t="s">
        <v>912</v>
      </c>
      <c r="Y403" s="65" t="s">
        <v>4</v>
      </c>
      <c r="Z403" s="65" t="s">
        <v>4</v>
      </c>
      <c r="AA403" s="65" t="s">
        <v>4</v>
      </c>
    </row>
    <row r="404" spans="1:27" ht="17.45" hidden="1" customHeight="1">
      <c r="A404" s="100" t="str">
        <f>IF(priority(Main[[#This Row],[Comments]])&lt;&gt;0, priority(Main[[#This Row],[Comments]]),"")</f>
        <v/>
      </c>
      <c r="B404" s="77" t="s">
        <v>1342</v>
      </c>
      <c r="C404" s="65" t="s">
        <v>4</v>
      </c>
      <c r="D404" s="66" t="s">
        <v>428</v>
      </c>
      <c r="E404" s="67">
        <v>40367.39403935185</v>
      </c>
      <c r="F404" s="67"/>
      <c r="G404" s="64" t="str">
        <f>IF(stdProdLT(Main[[#This Row],[Comments]])=0.1,"N/A",IF(stdProdLT(Main[[#This Row],[Comments]])=0,"",stdProdLT(Main[[#This Row],[Comments]])))</f>
        <v/>
      </c>
      <c r="H404" s="68" t="str">
        <f>IF(AND(Main[[#This Row],[In Stock Date]]&lt;&gt;"",Main[[#This Row],[Revised Due Date]]&lt;&gt;""),Main[[#This Row],[In Stock Date]]-Main[[#This Row],[Revised Due Date]],"")</f>
        <v/>
      </c>
      <c r="I404" s="65" t="s">
        <v>126</v>
      </c>
      <c r="J404" s="65" t="s">
        <v>28</v>
      </c>
      <c r="K404" s="65" t="s">
        <v>1923</v>
      </c>
      <c r="L404" s="67"/>
      <c r="M404" s="69" t="str">
        <f>IF(Main[[#This Row],[Tech Start Date]]&lt;1/1/1990,"",IF(Main[[#This Row],[Class]]="C",WORKDAY(Main[[#This Row],[Tech Start Date]],9),IF(Main[[#This Row],[Class]]="B", WORKDAY(Main[[#This Row],[Tech Start Date]],6),IF(Main[[#This Row],[Class]]="A",WORKDAY(Main[[#This Row],[Tech Start Date]],2),""))))</f>
        <v/>
      </c>
      <c r="N404" s="69" t="str">
        <f>IF(Main[[#This Row],[Tech Start Date]]&lt;1/1/1990,"",IF(Main[[#This Row],[Class]]="C",WORKDAY(Main[[#This Row],[Tech Start Date]],19),IF(Main[[#This Row],[Class]]="B", WORKDAY(Main[[#This Row],[Tech Start Date]],12),IF(Main[[#This Row],[Class]]="A",WORKDAY(Main[[#This Row],[Tech Start Date]],4),""))))</f>
        <v/>
      </c>
      <c r="O404" s="69" t="str">
        <f>IF(Main[[#This Row],[Tech Start Date]]&lt;1/1/1990,"",IF(Main[[#This Row],[Class]]="C",WORKDAY(Main[[#This Row],[Tech Start Date]],23),IF(Main[[#This Row],[Class]]="B", WORKDAY(Main[[#This Row],[Tech Start Date]],15),IF(Main[[#This Row],[Class]]="A",WORKDAY(Main[[#This Row],[Tech Start Date]],5),""))))</f>
        <v/>
      </c>
      <c r="P404" s="69" t="str">
        <f>IF(Main[[#This Row],[Tech Start Date]]&lt;1/1/1990,"",IF(Main[[#This Row],[Class]]="C",WORKDAY(Main[[#This Row],[Tech Start Date]],28),IF(Main[[#This Row],[Class]]="B", WORKDAY(Main[[#This Row],[Tech Start Date]],19),IF(Main[[#This Row],[Class]]="A",WORKDAY(Main[[#This Row],[Tech Start Date]],9),""))))</f>
        <v/>
      </c>
      <c r="Q404" s="67">
        <v>40405</v>
      </c>
      <c r="R404" s="67"/>
      <c r="S404" s="65" t="s">
        <v>6</v>
      </c>
      <c r="T404" s="70" t="s">
        <v>4</v>
      </c>
      <c r="U404" s="65" t="s">
        <v>29</v>
      </c>
      <c r="V404" s="65" t="s">
        <v>1914</v>
      </c>
      <c r="W404" s="65" t="s">
        <v>1922</v>
      </c>
      <c r="X404" s="65" t="s">
        <v>2052</v>
      </c>
      <c r="Y404" s="65" t="s">
        <v>2972</v>
      </c>
      <c r="Z404" s="65" t="s">
        <v>129</v>
      </c>
      <c r="AA404" s="65" t="s">
        <v>2052</v>
      </c>
    </row>
    <row r="405" spans="1:27" ht="17.45" hidden="1" customHeight="1">
      <c r="A405" s="100" t="str">
        <f>IF(priority(Main[[#This Row],[Comments]])&lt;&gt;0, priority(Main[[#This Row],[Comments]]),"")</f>
        <v/>
      </c>
      <c r="B405" s="77" t="s">
        <v>1813</v>
      </c>
      <c r="C405" s="65" t="s">
        <v>95</v>
      </c>
      <c r="D405" s="66" t="s">
        <v>864</v>
      </c>
      <c r="E405" s="67"/>
      <c r="F405" s="67"/>
      <c r="G405" s="64" t="str">
        <f>IF(stdProdLT(Main[[#This Row],[Comments]])=0.1,"N/A",IF(stdProdLT(Main[[#This Row],[Comments]])=0,"",stdProdLT(Main[[#This Row],[Comments]])))</f>
        <v/>
      </c>
      <c r="H405" s="68" t="str">
        <f>IF(AND(Main[[#This Row],[In Stock Date]]&lt;&gt;"",Main[[#This Row],[Revised Due Date]]&lt;&gt;""),Main[[#This Row],[In Stock Date]]-Main[[#This Row],[Revised Due Date]],"")</f>
        <v/>
      </c>
      <c r="I405" s="65" t="s">
        <v>4</v>
      </c>
      <c r="J405" s="65" t="s">
        <v>4</v>
      </c>
      <c r="K405" s="65" t="s">
        <v>4</v>
      </c>
      <c r="L405" s="67"/>
      <c r="M405" s="69" t="str">
        <f>IF(Main[[#This Row],[Tech Start Date]]&lt;1/1/1990,"",IF(Main[[#This Row],[Class]]="C",WORKDAY(Main[[#This Row],[Tech Start Date]],9),IF(Main[[#This Row],[Class]]="B", WORKDAY(Main[[#This Row],[Tech Start Date]],6),IF(Main[[#This Row],[Class]]="A",WORKDAY(Main[[#This Row],[Tech Start Date]],2),""))))</f>
        <v/>
      </c>
      <c r="N405" s="69" t="str">
        <f>IF(Main[[#This Row],[Tech Start Date]]&lt;1/1/1990,"",IF(Main[[#This Row],[Class]]="C",WORKDAY(Main[[#This Row],[Tech Start Date]],19),IF(Main[[#This Row],[Class]]="B", WORKDAY(Main[[#This Row],[Tech Start Date]],12),IF(Main[[#This Row],[Class]]="A",WORKDAY(Main[[#This Row],[Tech Start Date]],4),""))))</f>
        <v/>
      </c>
      <c r="O405" s="69" t="str">
        <f>IF(Main[[#This Row],[Tech Start Date]]&lt;1/1/1990,"",IF(Main[[#This Row],[Class]]="C",WORKDAY(Main[[#This Row],[Tech Start Date]],23),IF(Main[[#This Row],[Class]]="B", WORKDAY(Main[[#This Row],[Tech Start Date]],15),IF(Main[[#This Row],[Class]]="A",WORKDAY(Main[[#This Row],[Tech Start Date]],5),""))))</f>
        <v/>
      </c>
      <c r="P405" s="69" t="str">
        <f>IF(Main[[#This Row],[Tech Start Date]]&lt;1/1/1990,"",IF(Main[[#This Row],[Class]]="C",WORKDAY(Main[[#This Row],[Tech Start Date]],28),IF(Main[[#This Row],[Class]]="B", WORKDAY(Main[[#This Row],[Tech Start Date]],19),IF(Main[[#This Row],[Class]]="A",WORKDAY(Main[[#This Row],[Tech Start Date]],9),""))))</f>
        <v/>
      </c>
      <c r="Q405" s="67">
        <v>40206</v>
      </c>
      <c r="R405" s="67">
        <v>40284</v>
      </c>
      <c r="S405" s="65" t="s">
        <v>11</v>
      </c>
      <c r="T405" s="70" t="s">
        <v>4</v>
      </c>
      <c r="U405" s="65" t="s">
        <v>14</v>
      </c>
      <c r="V405" s="65" t="s">
        <v>1915</v>
      </c>
      <c r="W405" s="65" t="s">
        <v>1916</v>
      </c>
      <c r="X405" s="65" t="s">
        <v>2837</v>
      </c>
      <c r="Y405" s="65" t="s">
        <v>3035</v>
      </c>
      <c r="Z405" s="65" t="s">
        <v>4</v>
      </c>
      <c r="AA405" s="65" t="s">
        <v>3413</v>
      </c>
    </row>
    <row r="406" spans="1:27" ht="17.45" hidden="1" customHeight="1">
      <c r="A406" s="100" t="str">
        <f>IF(priority(Main[[#This Row],[Comments]])&lt;&gt;0, priority(Main[[#This Row],[Comments]]),"")</f>
        <v/>
      </c>
      <c r="B406" s="77" t="s">
        <v>1604</v>
      </c>
      <c r="C406" s="65" t="s">
        <v>4</v>
      </c>
      <c r="D406" s="66" t="s">
        <v>678</v>
      </c>
      <c r="E406" s="67">
        <v>40619.658206018517</v>
      </c>
      <c r="F406" s="67"/>
      <c r="G406" s="64" t="str">
        <f>IF(stdProdLT(Main[[#This Row],[Comments]])=0.1,"N/A",IF(stdProdLT(Main[[#This Row],[Comments]])=0,"",stdProdLT(Main[[#This Row],[Comments]])))</f>
        <v/>
      </c>
      <c r="H406" s="68" t="str">
        <f>IF(AND(Main[[#This Row],[In Stock Date]]&lt;&gt;"",Main[[#This Row],[Revised Due Date]]&lt;&gt;""),Main[[#This Row],[In Stock Date]]-Main[[#This Row],[Revised Due Date]],"")</f>
        <v/>
      </c>
      <c r="I406" s="65" t="s">
        <v>922</v>
      </c>
      <c r="J406" s="65" t="s">
        <v>28</v>
      </c>
      <c r="K406" s="65" t="s">
        <v>1923</v>
      </c>
      <c r="L406" s="67"/>
      <c r="M406" s="69" t="str">
        <f>IF(Main[[#This Row],[Tech Start Date]]&lt;1/1/1990,"",IF(Main[[#This Row],[Class]]="C",WORKDAY(Main[[#This Row],[Tech Start Date]],9),IF(Main[[#This Row],[Class]]="B", WORKDAY(Main[[#This Row],[Tech Start Date]],6),IF(Main[[#This Row],[Class]]="A",WORKDAY(Main[[#This Row],[Tech Start Date]],2),""))))</f>
        <v/>
      </c>
      <c r="N406" s="69" t="str">
        <f>IF(Main[[#This Row],[Tech Start Date]]&lt;1/1/1990,"",IF(Main[[#This Row],[Class]]="C",WORKDAY(Main[[#This Row],[Tech Start Date]],19),IF(Main[[#This Row],[Class]]="B", WORKDAY(Main[[#This Row],[Tech Start Date]],12),IF(Main[[#This Row],[Class]]="A",WORKDAY(Main[[#This Row],[Tech Start Date]],4),""))))</f>
        <v/>
      </c>
      <c r="O406" s="69" t="str">
        <f>IF(Main[[#This Row],[Tech Start Date]]&lt;1/1/1990,"",IF(Main[[#This Row],[Class]]="C",WORKDAY(Main[[#This Row],[Tech Start Date]],23),IF(Main[[#This Row],[Class]]="B", WORKDAY(Main[[#This Row],[Tech Start Date]],15),IF(Main[[#This Row],[Class]]="A",WORKDAY(Main[[#This Row],[Tech Start Date]],5),""))))</f>
        <v/>
      </c>
      <c r="P406" s="69" t="str">
        <f>IF(Main[[#This Row],[Tech Start Date]]&lt;1/1/1990,"",IF(Main[[#This Row],[Class]]="C",WORKDAY(Main[[#This Row],[Tech Start Date]],28),IF(Main[[#This Row],[Class]]="B", WORKDAY(Main[[#This Row],[Tech Start Date]],19),IF(Main[[#This Row],[Class]]="A",WORKDAY(Main[[#This Row],[Tech Start Date]],9),""))))</f>
        <v/>
      </c>
      <c r="Q406" s="67"/>
      <c r="R406" s="67"/>
      <c r="S406" s="65" t="s">
        <v>6</v>
      </c>
      <c r="T406" s="70" t="s">
        <v>4</v>
      </c>
      <c r="U406" s="65" t="s">
        <v>29</v>
      </c>
      <c r="V406" s="65" t="s">
        <v>1929</v>
      </c>
      <c r="W406" s="65" t="s">
        <v>1916</v>
      </c>
      <c r="X406" s="65" t="s">
        <v>922</v>
      </c>
      <c r="Y406" s="65" t="s">
        <v>2982</v>
      </c>
      <c r="Z406" s="65" t="s">
        <v>2211</v>
      </c>
      <c r="AA406" s="65" t="s">
        <v>922</v>
      </c>
    </row>
    <row r="407" spans="1:27" ht="17.45" hidden="1" customHeight="1">
      <c r="A407" s="100" t="str">
        <f>IF(priority(Main[[#This Row],[Comments]])&lt;&gt;0, priority(Main[[#This Row],[Comments]]),"")</f>
        <v/>
      </c>
      <c r="B407" s="77" t="s">
        <v>1344</v>
      </c>
      <c r="C407" s="65" t="s">
        <v>4</v>
      </c>
      <c r="D407" s="66" t="s">
        <v>430</v>
      </c>
      <c r="E407" s="67">
        <v>40585.693101851852</v>
      </c>
      <c r="F407" s="67"/>
      <c r="G407" s="64" t="str">
        <f>IF(stdProdLT(Main[[#This Row],[Comments]])=0.1,"N/A",IF(stdProdLT(Main[[#This Row],[Comments]])=0,"",stdProdLT(Main[[#This Row],[Comments]])))</f>
        <v/>
      </c>
      <c r="H407" s="68" t="str">
        <f>IF(AND(Main[[#This Row],[In Stock Date]]&lt;&gt;"",Main[[#This Row],[Revised Due Date]]&lt;&gt;""),Main[[#This Row],[In Stock Date]]-Main[[#This Row],[Revised Due Date]],"")</f>
        <v/>
      </c>
      <c r="I407" s="65" t="s">
        <v>431</v>
      </c>
      <c r="J407" s="65" t="s">
        <v>21</v>
      </c>
      <c r="K407" s="65" t="s">
        <v>4</v>
      </c>
      <c r="L407" s="67"/>
      <c r="M407" s="69" t="str">
        <f>IF(Main[[#This Row],[Tech Start Date]]&lt;1/1/1990,"",IF(Main[[#This Row],[Class]]="C",WORKDAY(Main[[#This Row],[Tech Start Date]],9),IF(Main[[#This Row],[Class]]="B", WORKDAY(Main[[#This Row],[Tech Start Date]],6),IF(Main[[#This Row],[Class]]="A",WORKDAY(Main[[#This Row],[Tech Start Date]],2),""))))</f>
        <v/>
      </c>
      <c r="N407" s="69" t="str">
        <f>IF(Main[[#This Row],[Tech Start Date]]&lt;1/1/1990,"",IF(Main[[#This Row],[Class]]="C",WORKDAY(Main[[#This Row],[Tech Start Date]],19),IF(Main[[#This Row],[Class]]="B", WORKDAY(Main[[#This Row],[Tech Start Date]],12),IF(Main[[#This Row],[Class]]="A",WORKDAY(Main[[#This Row],[Tech Start Date]],4),""))))</f>
        <v/>
      </c>
      <c r="O407" s="69" t="str">
        <f>IF(Main[[#This Row],[Tech Start Date]]&lt;1/1/1990,"",IF(Main[[#This Row],[Class]]="C",WORKDAY(Main[[#This Row],[Tech Start Date]],23),IF(Main[[#This Row],[Class]]="B", WORKDAY(Main[[#This Row],[Tech Start Date]],15),IF(Main[[#This Row],[Class]]="A",WORKDAY(Main[[#This Row],[Tech Start Date]],5),""))))</f>
        <v/>
      </c>
      <c r="P407" s="69" t="str">
        <f>IF(Main[[#This Row],[Tech Start Date]]&lt;1/1/1990,"",IF(Main[[#This Row],[Class]]="C",WORKDAY(Main[[#This Row],[Tech Start Date]],28),IF(Main[[#This Row],[Class]]="B", WORKDAY(Main[[#This Row],[Tech Start Date]],19),IF(Main[[#This Row],[Class]]="A",WORKDAY(Main[[#This Row],[Tech Start Date]],9),""))))</f>
        <v/>
      </c>
      <c r="Q407" s="67">
        <v>40602</v>
      </c>
      <c r="R407" s="67"/>
      <c r="S407" s="65" t="s">
        <v>6</v>
      </c>
      <c r="T407" s="70" t="s">
        <v>4</v>
      </c>
      <c r="U407" s="65" t="s">
        <v>29</v>
      </c>
      <c r="V407" s="65" t="s">
        <v>1917</v>
      </c>
      <c r="W407" s="65" t="s">
        <v>1918</v>
      </c>
      <c r="X407" s="65" t="s">
        <v>30</v>
      </c>
      <c r="Y407" s="65" t="s">
        <v>2957</v>
      </c>
      <c r="Z407" s="65" t="s">
        <v>415</v>
      </c>
      <c r="AA407" s="65" t="s">
        <v>30</v>
      </c>
    </row>
    <row r="408" spans="1:27" ht="17.45" hidden="1" customHeight="1">
      <c r="A408" s="100" t="str">
        <f>IF(priority(Main[[#This Row],[Comments]])&lt;&gt;0, priority(Main[[#This Row],[Comments]]),"")</f>
        <v/>
      </c>
      <c r="B408" s="77" t="s">
        <v>1345</v>
      </c>
      <c r="C408" s="65" t="s">
        <v>4</v>
      </c>
      <c r="D408" s="66" t="s">
        <v>432</v>
      </c>
      <c r="E408" s="67"/>
      <c r="F408" s="67"/>
      <c r="G408" s="64" t="str">
        <f>IF(stdProdLT(Main[[#This Row],[Comments]])=0.1,"N/A",IF(stdProdLT(Main[[#This Row],[Comments]])=0,"",stdProdLT(Main[[#This Row],[Comments]])))</f>
        <v/>
      </c>
      <c r="H408" s="68" t="str">
        <f>IF(AND(Main[[#This Row],[In Stock Date]]&lt;&gt;"",Main[[#This Row],[Revised Due Date]]&lt;&gt;""),Main[[#This Row],[In Stock Date]]-Main[[#This Row],[Revised Due Date]],"")</f>
        <v/>
      </c>
      <c r="I408" s="65" t="s">
        <v>4</v>
      </c>
      <c r="J408" s="65" t="s">
        <v>4</v>
      </c>
      <c r="K408" s="65" t="s">
        <v>4</v>
      </c>
      <c r="L408" s="67"/>
      <c r="M408" s="69" t="str">
        <f>IF(Main[[#This Row],[Tech Start Date]]&lt;1/1/1990,"",IF(Main[[#This Row],[Class]]="C",WORKDAY(Main[[#This Row],[Tech Start Date]],9),IF(Main[[#This Row],[Class]]="B", WORKDAY(Main[[#This Row],[Tech Start Date]],6),IF(Main[[#This Row],[Class]]="A",WORKDAY(Main[[#This Row],[Tech Start Date]],2),""))))</f>
        <v/>
      </c>
      <c r="N408" s="69" t="str">
        <f>IF(Main[[#This Row],[Tech Start Date]]&lt;1/1/1990,"",IF(Main[[#This Row],[Class]]="C",WORKDAY(Main[[#This Row],[Tech Start Date]],19),IF(Main[[#This Row],[Class]]="B", WORKDAY(Main[[#This Row],[Tech Start Date]],12),IF(Main[[#This Row],[Class]]="A",WORKDAY(Main[[#This Row],[Tech Start Date]],4),""))))</f>
        <v/>
      </c>
      <c r="O408" s="69" t="str">
        <f>IF(Main[[#This Row],[Tech Start Date]]&lt;1/1/1990,"",IF(Main[[#This Row],[Class]]="C",WORKDAY(Main[[#This Row],[Tech Start Date]],23),IF(Main[[#This Row],[Class]]="B", WORKDAY(Main[[#This Row],[Tech Start Date]],15),IF(Main[[#This Row],[Class]]="A",WORKDAY(Main[[#This Row],[Tech Start Date]],5),""))))</f>
        <v/>
      </c>
      <c r="P408" s="69" t="str">
        <f>IF(Main[[#This Row],[Tech Start Date]]&lt;1/1/1990,"",IF(Main[[#This Row],[Class]]="C",WORKDAY(Main[[#This Row],[Tech Start Date]],28),IF(Main[[#This Row],[Class]]="B", WORKDAY(Main[[#This Row],[Tech Start Date]],19),IF(Main[[#This Row],[Class]]="A",WORKDAY(Main[[#This Row],[Tech Start Date]],9),""))))</f>
        <v/>
      </c>
      <c r="Q408" s="67"/>
      <c r="R408" s="67"/>
      <c r="S408" s="65" t="s">
        <v>4</v>
      </c>
      <c r="T408" s="70" t="s">
        <v>4</v>
      </c>
      <c r="U408" s="65" t="s">
        <v>14</v>
      </c>
      <c r="V408" s="65" t="s">
        <v>1914</v>
      </c>
      <c r="W408" s="65" t="s">
        <v>1928</v>
      </c>
      <c r="X408" s="65" t="s">
        <v>922</v>
      </c>
      <c r="Y408" s="65" t="s">
        <v>4</v>
      </c>
      <c r="Z408" s="65" t="s">
        <v>4</v>
      </c>
      <c r="AA408" s="65" t="s">
        <v>4</v>
      </c>
    </row>
    <row r="409" spans="1:27" ht="17.45" hidden="1" customHeight="1">
      <c r="A409" s="100" t="str">
        <f>IF(priority(Main[[#This Row],[Comments]])&lt;&gt;0, priority(Main[[#This Row],[Comments]]),"")</f>
        <v/>
      </c>
      <c r="B409" s="77" t="s">
        <v>1347</v>
      </c>
      <c r="C409" s="65" t="s">
        <v>31</v>
      </c>
      <c r="D409" s="66" t="s">
        <v>435</v>
      </c>
      <c r="E409" s="67"/>
      <c r="F409" s="67"/>
      <c r="G409" s="64" t="str">
        <f>IF(stdProdLT(Main[[#This Row],[Comments]])=0.1,"N/A",IF(stdProdLT(Main[[#This Row],[Comments]])=0,"",stdProdLT(Main[[#This Row],[Comments]])))</f>
        <v/>
      </c>
      <c r="H409" s="68" t="str">
        <f>IF(AND(Main[[#This Row],[In Stock Date]]&lt;&gt;"",Main[[#This Row],[Revised Due Date]]&lt;&gt;""),Main[[#This Row],[In Stock Date]]-Main[[#This Row],[Revised Due Date]],"")</f>
        <v/>
      </c>
      <c r="I409" s="65" t="s">
        <v>4</v>
      </c>
      <c r="J409" s="65" t="s">
        <v>4</v>
      </c>
      <c r="K409" s="65" t="s">
        <v>4</v>
      </c>
      <c r="L409" s="67"/>
      <c r="M409" s="69" t="str">
        <f>IF(Main[[#This Row],[Tech Start Date]]&lt;1/1/1990,"",IF(Main[[#This Row],[Class]]="C",WORKDAY(Main[[#This Row],[Tech Start Date]],9),IF(Main[[#This Row],[Class]]="B", WORKDAY(Main[[#This Row],[Tech Start Date]],6),IF(Main[[#This Row],[Class]]="A",WORKDAY(Main[[#This Row],[Tech Start Date]],2),""))))</f>
        <v/>
      </c>
      <c r="N409" s="69" t="str">
        <f>IF(Main[[#This Row],[Tech Start Date]]&lt;1/1/1990,"",IF(Main[[#This Row],[Class]]="C",WORKDAY(Main[[#This Row],[Tech Start Date]],19),IF(Main[[#This Row],[Class]]="B", WORKDAY(Main[[#This Row],[Tech Start Date]],12),IF(Main[[#This Row],[Class]]="A",WORKDAY(Main[[#This Row],[Tech Start Date]],4),""))))</f>
        <v/>
      </c>
      <c r="O409" s="69" t="str">
        <f>IF(Main[[#This Row],[Tech Start Date]]&lt;1/1/1990,"",IF(Main[[#This Row],[Class]]="C",WORKDAY(Main[[#This Row],[Tech Start Date]],23),IF(Main[[#This Row],[Class]]="B", WORKDAY(Main[[#This Row],[Tech Start Date]],15),IF(Main[[#This Row],[Class]]="A",WORKDAY(Main[[#This Row],[Tech Start Date]],5),""))))</f>
        <v/>
      </c>
      <c r="P409" s="69" t="str">
        <f>IF(Main[[#This Row],[Tech Start Date]]&lt;1/1/1990,"",IF(Main[[#This Row],[Class]]="C",WORKDAY(Main[[#This Row],[Tech Start Date]],28),IF(Main[[#This Row],[Class]]="B", WORKDAY(Main[[#This Row],[Tech Start Date]],19),IF(Main[[#This Row],[Class]]="A",WORKDAY(Main[[#This Row],[Tech Start Date]],9),""))))</f>
        <v/>
      </c>
      <c r="Q409" s="67">
        <v>40318</v>
      </c>
      <c r="R409" s="67"/>
      <c r="S409" s="65" t="s">
        <v>11</v>
      </c>
      <c r="T409" s="70" t="s">
        <v>4</v>
      </c>
      <c r="U409" s="65" t="s">
        <v>14</v>
      </c>
      <c r="V409" s="65" t="s">
        <v>1917</v>
      </c>
      <c r="W409" s="65" t="s">
        <v>1916</v>
      </c>
      <c r="X409" s="65" t="s">
        <v>2830</v>
      </c>
      <c r="Y409" s="65" t="s">
        <v>4</v>
      </c>
      <c r="Z409" s="65" t="s">
        <v>4</v>
      </c>
      <c r="AA409" s="65" t="s">
        <v>2830</v>
      </c>
    </row>
    <row r="410" spans="1:27" ht="17.45" hidden="1" customHeight="1">
      <c r="A410" s="100" t="str">
        <f>IF(priority(Main[[#This Row],[Comments]])&lt;&gt;0, priority(Main[[#This Row],[Comments]]),"")</f>
        <v/>
      </c>
      <c r="B410" s="77" t="s">
        <v>1348</v>
      </c>
      <c r="C410" s="65" t="s">
        <v>436</v>
      </c>
      <c r="D410" s="66" t="s">
        <v>437</v>
      </c>
      <c r="E410" s="67"/>
      <c r="F410" s="67">
        <v>40056</v>
      </c>
      <c r="G410" s="64" t="str">
        <f>IF(stdProdLT(Main[[#This Row],[Comments]])=0.1,"N/A",IF(stdProdLT(Main[[#This Row],[Comments]])=0,"",stdProdLT(Main[[#This Row],[Comments]])))</f>
        <v/>
      </c>
      <c r="H410" s="68" t="str">
        <f>IF(AND(Main[[#This Row],[In Stock Date]]&lt;&gt;"",Main[[#This Row],[Revised Due Date]]&lt;&gt;""),Main[[#This Row],[In Stock Date]]-Main[[#This Row],[Revised Due Date]],"")</f>
        <v/>
      </c>
      <c r="I410" s="65" t="s">
        <v>4</v>
      </c>
      <c r="J410" s="65" t="s">
        <v>4</v>
      </c>
      <c r="K410" s="65" t="s">
        <v>4</v>
      </c>
      <c r="L410" s="67"/>
      <c r="M410" s="69" t="str">
        <f>IF(Main[[#This Row],[Tech Start Date]]&lt;1/1/1990,"",IF(Main[[#This Row],[Class]]="C",WORKDAY(Main[[#This Row],[Tech Start Date]],9),IF(Main[[#This Row],[Class]]="B", WORKDAY(Main[[#This Row],[Tech Start Date]],6),IF(Main[[#This Row],[Class]]="A",WORKDAY(Main[[#This Row],[Tech Start Date]],2),""))))</f>
        <v/>
      </c>
      <c r="N410" s="69" t="str">
        <f>IF(Main[[#This Row],[Tech Start Date]]&lt;1/1/1990,"",IF(Main[[#This Row],[Class]]="C",WORKDAY(Main[[#This Row],[Tech Start Date]],19),IF(Main[[#This Row],[Class]]="B", WORKDAY(Main[[#This Row],[Tech Start Date]],12),IF(Main[[#This Row],[Class]]="A",WORKDAY(Main[[#This Row],[Tech Start Date]],4),""))))</f>
        <v/>
      </c>
      <c r="O410" s="69" t="str">
        <f>IF(Main[[#This Row],[Tech Start Date]]&lt;1/1/1990,"",IF(Main[[#This Row],[Class]]="C",WORKDAY(Main[[#This Row],[Tech Start Date]],23),IF(Main[[#This Row],[Class]]="B", WORKDAY(Main[[#This Row],[Tech Start Date]],15),IF(Main[[#This Row],[Class]]="A",WORKDAY(Main[[#This Row],[Tech Start Date]],5),""))))</f>
        <v/>
      </c>
      <c r="P410" s="69" t="str">
        <f>IF(Main[[#This Row],[Tech Start Date]]&lt;1/1/1990,"",IF(Main[[#This Row],[Class]]="C",WORKDAY(Main[[#This Row],[Tech Start Date]],28),IF(Main[[#This Row],[Class]]="B", WORKDAY(Main[[#This Row],[Tech Start Date]],19),IF(Main[[#This Row],[Class]]="A",WORKDAY(Main[[#This Row],[Tech Start Date]],9),""))))</f>
        <v/>
      </c>
      <c r="Q410" s="67"/>
      <c r="R410" s="67"/>
      <c r="S410" s="65" t="s">
        <v>11</v>
      </c>
      <c r="T410" s="70" t="s">
        <v>4</v>
      </c>
      <c r="U410" s="65" t="s">
        <v>14</v>
      </c>
      <c r="V410" s="65" t="s">
        <v>1914</v>
      </c>
      <c r="W410" s="65" t="s">
        <v>1922</v>
      </c>
      <c r="X410" s="65" t="s">
        <v>2853</v>
      </c>
      <c r="Y410" s="65" t="s">
        <v>2991</v>
      </c>
      <c r="Z410" s="65" t="s">
        <v>4</v>
      </c>
      <c r="AA410" s="65" t="s">
        <v>2853</v>
      </c>
    </row>
    <row r="411" spans="1:27" ht="17.45" hidden="1" customHeight="1">
      <c r="A411" s="100" t="str">
        <f>IF(priority(Main[[#This Row],[Comments]])&lt;&gt;0, priority(Main[[#This Row],[Comments]]),"")</f>
        <v/>
      </c>
      <c r="B411" s="77" t="s">
        <v>1349</v>
      </c>
      <c r="C411" s="65" t="s">
        <v>31</v>
      </c>
      <c r="D411" s="66" t="s">
        <v>438</v>
      </c>
      <c r="E411" s="67"/>
      <c r="F411" s="67"/>
      <c r="G411" s="64" t="str">
        <f>IF(stdProdLT(Main[[#This Row],[Comments]])=0.1,"N/A",IF(stdProdLT(Main[[#This Row],[Comments]])=0,"",stdProdLT(Main[[#This Row],[Comments]])))</f>
        <v/>
      </c>
      <c r="H411" s="68" t="str">
        <f>IF(AND(Main[[#This Row],[In Stock Date]]&lt;&gt;"",Main[[#This Row],[Revised Due Date]]&lt;&gt;""),Main[[#This Row],[In Stock Date]]-Main[[#This Row],[Revised Due Date]],"")</f>
        <v/>
      </c>
      <c r="I411" s="65" t="s">
        <v>4</v>
      </c>
      <c r="J411" s="65" t="s">
        <v>4</v>
      </c>
      <c r="K411" s="65" t="s">
        <v>4</v>
      </c>
      <c r="L411" s="67"/>
      <c r="M411" s="69" t="str">
        <f>IF(Main[[#This Row],[Tech Start Date]]&lt;1/1/1990,"",IF(Main[[#This Row],[Class]]="C",WORKDAY(Main[[#This Row],[Tech Start Date]],9),IF(Main[[#This Row],[Class]]="B", WORKDAY(Main[[#This Row],[Tech Start Date]],6),IF(Main[[#This Row],[Class]]="A",WORKDAY(Main[[#This Row],[Tech Start Date]],2),""))))</f>
        <v/>
      </c>
      <c r="N411" s="69" t="str">
        <f>IF(Main[[#This Row],[Tech Start Date]]&lt;1/1/1990,"",IF(Main[[#This Row],[Class]]="C",WORKDAY(Main[[#This Row],[Tech Start Date]],19),IF(Main[[#This Row],[Class]]="B", WORKDAY(Main[[#This Row],[Tech Start Date]],12),IF(Main[[#This Row],[Class]]="A",WORKDAY(Main[[#This Row],[Tech Start Date]],4),""))))</f>
        <v/>
      </c>
      <c r="O411" s="69" t="str">
        <f>IF(Main[[#This Row],[Tech Start Date]]&lt;1/1/1990,"",IF(Main[[#This Row],[Class]]="C",WORKDAY(Main[[#This Row],[Tech Start Date]],23),IF(Main[[#This Row],[Class]]="B", WORKDAY(Main[[#This Row],[Tech Start Date]],15),IF(Main[[#This Row],[Class]]="A",WORKDAY(Main[[#This Row],[Tech Start Date]],5),""))))</f>
        <v/>
      </c>
      <c r="P411" s="69" t="str">
        <f>IF(Main[[#This Row],[Tech Start Date]]&lt;1/1/1990,"",IF(Main[[#This Row],[Class]]="C",WORKDAY(Main[[#This Row],[Tech Start Date]],28),IF(Main[[#This Row],[Class]]="B", WORKDAY(Main[[#This Row],[Tech Start Date]],19),IF(Main[[#This Row],[Class]]="A",WORKDAY(Main[[#This Row],[Tech Start Date]],9),""))))</f>
        <v/>
      </c>
      <c r="Q411" s="67">
        <v>40318</v>
      </c>
      <c r="R411" s="67"/>
      <c r="S411" s="65" t="s">
        <v>11</v>
      </c>
      <c r="T411" s="70" t="s">
        <v>4</v>
      </c>
      <c r="U411" s="65" t="s">
        <v>14</v>
      </c>
      <c r="V411" s="65" t="s">
        <v>1917</v>
      </c>
      <c r="W411" s="65" t="s">
        <v>1925</v>
      </c>
      <c r="X411" s="65" t="s">
        <v>2830</v>
      </c>
      <c r="Y411" s="65" t="s">
        <v>4</v>
      </c>
      <c r="Z411" s="65" t="s">
        <v>4</v>
      </c>
      <c r="AA411" s="65" t="s">
        <v>2830</v>
      </c>
    </row>
    <row r="412" spans="1:27" ht="17.45" hidden="1" customHeight="1">
      <c r="A412" s="100" t="str">
        <f>IF(priority(Main[[#This Row],[Comments]])&lt;&gt;0, priority(Main[[#This Row],[Comments]]),"")</f>
        <v/>
      </c>
      <c r="B412" s="77" t="s">
        <v>1350</v>
      </c>
      <c r="C412" s="65" t="s">
        <v>31</v>
      </c>
      <c r="D412" s="66" t="s">
        <v>439</v>
      </c>
      <c r="E412" s="67"/>
      <c r="F412" s="67"/>
      <c r="G412" s="64" t="str">
        <f>IF(stdProdLT(Main[[#This Row],[Comments]])=0.1,"N/A",IF(stdProdLT(Main[[#This Row],[Comments]])=0,"",stdProdLT(Main[[#This Row],[Comments]])))</f>
        <v/>
      </c>
      <c r="H412" s="68" t="str">
        <f>IF(AND(Main[[#This Row],[In Stock Date]]&lt;&gt;"",Main[[#This Row],[Revised Due Date]]&lt;&gt;""),Main[[#This Row],[In Stock Date]]-Main[[#This Row],[Revised Due Date]],"")</f>
        <v/>
      </c>
      <c r="I412" s="65" t="s">
        <v>4</v>
      </c>
      <c r="J412" s="65" t="s">
        <v>4</v>
      </c>
      <c r="K412" s="65" t="s">
        <v>4</v>
      </c>
      <c r="L412" s="67"/>
      <c r="M412" s="69" t="str">
        <f>IF(Main[[#This Row],[Tech Start Date]]&lt;1/1/1990,"",IF(Main[[#This Row],[Class]]="C",WORKDAY(Main[[#This Row],[Tech Start Date]],9),IF(Main[[#This Row],[Class]]="B", WORKDAY(Main[[#This Row],[Tech Start Date]],6),IF(Main[[#This Row],[Class]]="A",WORKDAY(Main[[#This Row],[Tech Start Date]],2),""))))</f>
        <v/>
      </c>
      <c r="N412" s="69" t="str">
        <f>IF(Main[[#This Row],[Tech Start Date]]&lt;1/1/1990,"",IF(Main[[#This Row],[Class]]="C",WORKDAY(Main[[#This Row],[Tech Start Date]],19),IF(Main[[#This Row],[Class]]="B", WORKDAY(Main[[#This Row],[Tech Start Date]],12),IF(Main[[#This Row],[Class]]="A",WORKDAY(Main[[#This Row],[Tech Start Date]],4),""))))</f>
        <v/>
      </c>
      <c r="O412" s="69" t="str">
        <f>IF(Main[[#This Row],[Tech Start Date]]&lt;1/1/1990,"",IF(Main[[#This Row],[Class]]="C",WORKDAY(Main[[#This Row],[Tech Start Date]],23),IF(Main[[#This Row],[Class]]="B", WORKDAY(Main[[#This Row],[Tech Start Date]],15),IF(Main[[#This Row],[Class]]="A",WORKDAY(Main[[#This Row],[Tech Start Date]],5),""))))</f>
        <v/>
      </c>
      <c r="P412" s="69" t="str">
        <f>IF(Main[[#This Row],[Tech Start Date]]&lt;1/1/1990,"",IF(Main[[#This Row],[Class]]="C",WORKDAY(Main[[#This Row],[Tech Start Date]],28),IF(Main[[#This Row],[Class]]="B", WORKDAY(Main[[#This Row],[Tech Start Date]],19),IF(Main[[#This Row],[Class]]="A",WORKDAY(Main[[#This Row],[Tech Start Date]],9),""))))</f>
        <v/>
      </c>
      <c r="Q412" s="67">
        <v>40318</v>
      </c>
      <c r="R412" s="67"/>
      <c r="S412" s="65" t="s">
        <v>11</v>
      </c>
      <c r="T412" s="70" t="s">
        <v>4</v>
      </c>
      <c r="U412" s="65" t="s">
        <v>14</v>
      </c>
      <c r="V412" s="65" t="s">
        <v>1917</v>
      </c>
      <c r="W412" s="65" t="s">
        <v>1916</v>
      </c>
      <c r="X412" s="65" t="s">
        <v>2830</v>
      </c>
      <c r="Y412" s="65" t="s">
        <v>4</v>
      </c>
      <c r="Z412" s="65" t="s">
        <v>4</v>
      </c>
      <c r="AA412" s="65" t="s">
        <v>2830</v>
      </c>
    </row>
    <row r="413" spans="1:27" ht="17.45" hidden="1" customHeight="1">
      <c r="A413" s="100" t="str">
        <f>IF(priority(Main[[#This Row],[Comments]])&lt;&gt;0, priority(Main[[#This Row],[Comments]]),"")</f>
        <v/>
      </c>
      <c r="B413" s="77" t="s">
        <v>1352</v>
      </c>
      <c r="C413" s="65" t="s">
        <v>4</v>
      </c>
      <c r="D413" s="66" t="s">
        <v>441</v>
      </c>
      <c r="E413" s="67">
        <v>40371.342870370368</v>
      </c>
      <c r="F413" s="67"/>
      <c r="G413" s="64" t="str">
        <f>IF(stdProdLT(Main[[#This Row],[Comments]])=0.1,"N/A",IF(stdProdLT(Main[[#This Row],[Comments]])=0,"",stdProdLT(Main[[#This Row],[Comments]])))</f>
        <v/>
      </c>
      <c r="H413" s="68" t="str">
        <f>IF(AND(Main[[#This Row],[In Stock Date]]&lt;&gt;"",Main[[#This Row],[Revised Due Date]]&lt;&gt;""),Main[[#This Row],[In Stock Date]]-Main[[#This Row],[Revised Due Date]],"")</f>
        <v/>
      </c>
      <c r="I413" s="65" t="s">
        <v>4</v>
      </c>
      <c r="J413" s="65" t="s">
        <v>4</v>
      </c>
      <c r="K413" s="65" t="s">
        <v>4</v>
      </c>
      <c r="L413" s="67"/>
      <c r="M413" s="69" t="str">
        <f>IF(Main[[#This Row],[Tech Start Date]]&lt;1/1/1990,"",IF(Main[[#This Row],[Class]]="C",WORKDAY(Main[[#This Row],[Tech Start Date]],9),IF(Main[[#This Row],[Class]]="B", WORKDAY(Main[[#This Row],[Tech Start Date]],6),IF(Main[[#This Row],[Class]]="A",WORKDAY(Main[[#This Row],[Tech Start Date]],2),""))))</f>
        <v/>
      </c>
      <c r="N413" s="69" t="str">
        <f>IF(Main[[#This Row],[Tech Start Date]]&lt;1/1/1990,"",IF(Main[[#This Row],[Class]]="C",WORKDAY(Main[[#This Row],[Tech Start Date]],19),IF(Main[[#This Row],[Class]]="B", WORKDAY(Main[[#This Row],[Tech Start Date]],12),IF(Main[[#This Row],[Class]]="A",WORKDAY(Main[[#This Row],[Tech Start Date]],4),""))))</f>
        <v/>
      </c>
      <c r="O413" s="69" t="str">
        <f>IF(Main[[#This Row],[Tech Start Date]]&lt;1/1/1990,"",IF(Main[[#This Row],[Class]]="C",WORKDAY(Main[[#This Row],[Tech Start Date]],23),IF(Main[[#This Row],[Class]]="B", WORKDAY(Main[[#This Row],[Tech Start Date]],15),IF(Main[[#This Row],[Class]]="A",WORKDAY(Main[[#This Row],[Tech Start Date]],5),""))))</f>
        <v/>
      </c>
      <c r="P413" s="69" t="str">
        <f>IF(Main[[#This Row],[Tech Start Date]]&lt;1/1/1990,"",IF(Main[[#This Row],[Class]]="C",WORKDAY(Main[[#This Row],[Tech Start Date]],28),IF(Main[[#This Row],[Class]]="B", WORKDAY(Main[[#This Row],[Tech Start Date]],19),IF(Main[[#This Row],[Class]]="A",WORKDAY(Main[[#This Row],[Tech Start Date]],9),""))))</f>
        <v/>
      </c>
      <c r="Q413" s="67">
        <v>40385</v>
      </c>
      <c r="R413" s="67"/>
      <c r="S413" s="65" t="s">
        <v>6</v>
      </c>
      <c r="T413" s="70" t="s">
        <v>4</v>
      </c>
      <c r="U413" s="65" t="s">
        <v>7</v>
      </c>
      <c r="V413" s="65" t="s">
        <v>1914</v>
      </c>
      <c r="W413" s="65" t="s">
        <v>1916</v>
      </c>
      <c r="X413" s="65" t="s">
        <v>102</v>
      </c>
      <c r="Y413" s="65" t="s">
        <v>3032</v>
      </c>
      <c r="Z413" s="65" t="s">
        <v>4</v>
      </c>
      <c r="AA413" s="65" t="s">
        <v>3397</v>
      </c>
    </row>
    <row r="414" spans="1:27" ht="17.45" hidden="1" customHeight="1">
      <c r="A414" s="100" t="str">
        <f>IF(priority(Main[[#This Row],[Comments]])&lt;&gt;0, priority(Main[[#This Row],[Comments]]),"")</f>
        <v/>
      </c>
      <c r="B414" s="77" t="s">
        <v>1353</v>
      </c>
      <c r="C414" s="65" t="s">
        <v>4</v>
      </c>
      <c r="D414" s="66" t="s">
        <v>442</v>
      </c>
      <c r="E414" s="67">
        <v>40679.250891203701</v>
      </c>
      <c r="F414" s="67"/>
      <c r="G414" s="64" t="str">
        <f>IF(stdProdLT(Main[[#This Row],[Comments]])=0.1,"N/A",IF(stdProdLT(Main[[#This Row],[Comments]])=0,"",stdProdLT(Main[[#This Row],[Comments]])))</f>
        <v/>
      </c>
      <c r="H414" s="68" t="str">
        <f>IF(AND(Main[[#This Row],[In Stock Date]]&lt;&gt;"",Main[[#This Row],[Revised Due Date]]&lt;&gt;""),Main[[#This Row],[In Stock Date]]-Main[[#This Row],[Revised Due Date]],"")</f>
        <v/>
      </c>
      <c r="I414" s="65" t="s">
        <v>4</v>
      </c>
      <c r="J414" s="65" t="s">
        <v>4</v>
      </c>
      <c r="K414" s="65" t="s">
        <v>4</v>
      </c>
      <c r="L414" s="67"/>
      <c r="M414" s="69" t="str">
        <f>IF(Main[[#This Row],[Tech Start Date]]&lt;1/1/1990,"",IF(Main[[#This Row],[Class]]="C",WORKDAY(Main[[#This Row],[Tech Start Date]],9),IF(Main[[#This Row],[Class]]="B", WORKDAY(Main[[#This Row],[Tech Start Date]],6),IF(Main[[#This Row],[Class]]="A",WORKDAY(Main[[#This Row],[Tech Start Date]],2),""))))</f>
        <v/>
      </c>
      <c r="N414" s="69" t="str">
        <f>IF(Main[[#This Row],[Tech Start Date]]&lt;1/1/1990,"",IF(Main[[#This Row],[Class]]="C",WORKDAY(Main[[#This Row],[Tech Start Date]],19),IF(Main[[#This Row],[Class]]="B", WORKDAY(Main[[#This Row],[Tech Start Date]],12),IF(Main[[#This Row],[Class]]="A",WORKDAY(Main[[#This Row],[Tech Start Date]],4),""))))</f>
        <v/>
      </c>
      <c r="O414" s="69" t="str">
        <f>IF(Main[[#This Row],[Tech Start Date]]&lt;1/1/1990,"",IF(Main[[#This Row],[Class]]="C",WORKDAY(Main[[#This Row],[Tech Start Date]],23),IF(Main[[#This Row],[Class]]="B", WORKDAY(Main[[#This Row],[Tech Start Date]],15),IF(Main[[#This Row],[Class]]="A",WORKDAY(Main[[#This Row],[Tech Start Date]],5),""))))</f>
        <v/>
      </c>
      <c r="P414" s="69" t="str">
        <f>IF(Main[[#This Row],[Tech Start Date]]&lt;1/1/1990,"",IF(Main[[#This Row],[Class]]="C",WORKDAY(Main[[#This Row],[Tech Start Date]],28),IF(Main[[#This Row],[Class]]="B", WORKDAY(Main[[#This Row],[Tech Start Date]],19),IF(Main[[#This Row],[Class]]="A",WORKDAY(Main[[#This Row],[Tech Start Date]],9),""))))</f>
        <v/>
      </c>
      <c r="Q414" s="67">
        <v>40724</v>
      </c>
      <c r="R414" s="67"/>
      <c r="S414" s="65" t="s">
        <v>6</v>
      </c>
      <c r="T414" s="70" t="s">
        <v>4</v>
      </c>
      <c r="U414" s="65" t="s">
        <v>7</v>
      </c>
      <c r="V414" s="65" t="s">
        <v>1914</v>
      </c>
      <c r="W414" s="65" t="s">
        <v>4</v>
      </c>
      <c r="X414" s="65" t="s">
        <v>2822</v>
      </c>
      <c r="Y414" s="65" t="s">
        <v>2938</v>
      </c>
      <c r="Z414" s="65" t="s">
        <v>4</v>
      </c>
      <c r="AA414" s="65" t="s">
        <v>2822</v>
      </c>
    </row>
    <row r="415" spans="1:27" ht="17.45" hidden="1" customHeight="1">
      <c r="A415" s="100" t="str">
        <f>IF(priority(Main[[#This Row],[Comments]])&lt;&gt;0, priority(Main[[#This Row],[Comments]]),"")</f>
        <v/>
      </c>
      <c r="B415" s="77" t="s">
        <v>1354</v>
      </c>
      <c r="C415" s="65" t="s">
        <v>4</v>
      </c>
      <c r="D415" s="66" t="s">
        <v>443</v>
      </c>
      <c r="E415" s="67"/>
      <c r="F415" s="67"/>
      <c r="G415" s="64" t="str">
        <f>IF(stdProdLT(Main[[#This Row],[Comments]])=0.1,"N/A",IF(stdProdLT(Main[[#This Row],[Comments]])=0,"",stdProdLT(Main[[#This Row],[Comments]])))</f>
        <v/>
      </c>
      <c r="H415" s="68" t="str">
        <f>IF(AND(Main[[#This Row],[In Stock Date]]&lt;&gt;"",Main[[#This Row],[Revised Due Date]]&lt;&gt;""),Main[[#This Row],[In Stock Date]]-Main[[#This Row],[Revised Due Date]],"")</f>
        <v/>
      </c>
      <c r="I415" s="65" t="s">
        <v>4</v>
      </c>
      <c r="J415" s="65" t="s">
        <v>4</v>
      </c>
      <c r="K415" s="65" t="s">
        <v>4</v>
      </c>
      <c r="L415" s="67"/>
      <c r="M415" s="69" t="str">
        <f>IF(Main[[#This Row],[Tech Start Date]]&lt;1/1/1990,"",IF(Main[[#This Row],[Class]]="C",WORKDAY(Main[[#This Row],[Tech Start Date]],9),IF(Main[[#This Row],[Class]]="B", WORKDAY(Main[[#This Row],[Tech Start Date]],6),IF(Main[[#This Row],[Class]]="A",WORKDAY(Main[[#This Row],[Tech Start Date]],2),""))))</f>
        <v/>
      </c>
      <c r="N415" s="69" t="str">
        <f>IF(Main[[#This Row],[Tech Start Date]]&lt;1/1/1990,"",IF(Main[[#This Row],[Class]]="C",WORKDAY(Main[[#This Row],[Tech Start Date]],19),IF(Main[[#This Row],[Class]]="B", WORKDAY(Main[[#This Row],[Tech Start Date]],12),IF(Main[[#This Row],[Class]]="A",WORKDAY(Main[[#This Row],[Tech Start Date]],4),""))))</f>
        <v/>
      </c>
      <c r="O415" s="69" t="str">
        <f>IF(Main[[#This Row],[Tech Start Date]]&lt;1/1/1990,"",IF(Main[[#This Row],[Class]]="C",WORKDAY(Main[[#This Row],[Tech Start Date]],23),IF(Main[[#This Row],[Class]]="B", WORKDAY(Main[[#This Row],[Tech Start Date]],15),IF(Main[[#This Row],[Class]]="A",WORKDAY(Main[[#This Row],[Tech Start Date]],5),""))))</f>
        <v/>
      </c>
      <c r="P415" s="69" t="str">
        <f>IF(Main[[#This Row],[Tech Start Date]]&lt;1/1/1990,"",IF(Main[[#This Row],[Class]]="C",WORKDAY(Main[[#This Row],[Tech Start Date]],28),IF(Main[[#This Row],[Class]]="B", WORKDAY(Main[[#This Row],[Tech Start Date]],19),IF(Main[[#This Row],[Class]]="A",WORKDAY(Main[[#This Row],[Tech Start Date]],9),""))))</f>
        <v/>
      </c>
      <c r="Q415" s="67"/>
      <c r="R415" s="67"/>
      <c r="S415" s="65" t="s">
        <v>11</v>
      </c>
      <c r="T415" s="70" t="s">
        <v>4</v>
      </c>
      <c r="U415" s="65" t="s">
        <v>14</v>
      </c>
      <c r="V415" s="65" t="s">
        <v>1924</v>
      </c>
      <c r="W415" s="65" t="s">
        <v>1920</v>
      </c>
      <c r="X415" s="65" t="s">
        <v>2868</v>
      </c>
      <c r="Y415" s="65" t="s">
        <v>3036</v>
      </c>
      <c r="Z415" s="65" t="s">
        <v>4</v>
      </c>
      <c r="AA415" s="65" t="s">
        <v>2868</v>
      </c>
    </row>
    <row r="416" spans="1:27" ht="17.45" hidden="1" customHeight="1">
      <c r="A416" s="100" t="str">
        <f>IF(priority(Main[[#This Row],[Comments]])&lt;&gt;0, priority(Main[[#This Row],[Comments]]),"")</f>
        <v/>
      </c>
      <c r="B416" s="77" t="s">
        <v>1355</v>
      </c>
      <c r="C416" s="65" t="s">
        <v>436</v>
      </c>
      <c r="D416" s="66" t="s">
        <v>444</v>
      </c>
      <c r="E416" s="67"/>
      <c r="F416" s="67"/>
      <c r="G416" s="64" t="str">
        <f>IF(stdProdLT(Main[[#This Row],[Comments]])=0.1,"N/A",IF(stdProdLT(Main[[#This Row],[Comments]])=0,"",stdProdLT(Main[[#This Row],[Comments]])))</f>
        <v/>
      </c>
      <c r="H416" s="68" t="str">
        <f>IF(AND(Main[[#This Row],[In Stock Date]]&lt;&gt;"",Main[[#This Row],[Revised Due Date]]&lt;&gt;""),Main[[#This Row],[In Stock Date]]-Main[[#This Row],[Revised Due Date]],"")</f>
        <v/>
      </c>
      <c r="I416" s="65" t="s">
        <v>4</v>
      </c>
      <c r="J416" s="65" t="s">
        <v>4</v>
      </c>
      <c r="K416" s="71" t="s">
        <v>4</v>
      </c>
      <c r="L416" s="67"/>
      <c r="M416" s="69" t="str">
        <f>IF(Main[[#This Row],[Tech Start Date]]&lt;1/1/1990,"",IF(Main[[#This Row],[Class]]="C",WORKDAY(Main[[#This Row],[Tech Start Date]],9),IF(Main[[#This Row],[Class]]="B", WORKDAY(Main[[#This Row],[Tech Start Date]],6),IF(Main[[#This Row],[Class]]="A",WORKDAY(Main[[#This Row],[Tech Start Date]],2),""))))</f>
        <v/>
      </c>
      <c r="N416" s="69" t="str">
        <f>IF(Main[[#This Row],[Tech Start Date]]&lt;1/1/1990,"",IF(Main[[#This Row],[Class]]="C",WORKDAY(Main[[#This Row],[Tech Start Date]],19),IF(Main[[#This Row],[Class]]="B", WORKDAY(Main[[#This Row],[Tech Start Date]],12),IF(Main[[#This Row],[Class]]="A",WORKDAY(Main[[#This Row],[Tech Start Date]],4),""))))</f>
        <v/>
      </c>
      <c r="O416" s="69" t="str">
        <f>IF(Main[[#This Row],[Tech Start Date]]&lt;1/1/1990,"",IF(Main[[#This Row],[Class]]="C",WORKDAY(Main[[#This Row],[Tech Start Date]],23),IF(Main[[#This Row],[Class]]="B", WORKDAY(Main[[#This Row],[Tech Start Date]],15),IF(Main[[#This Row],[Class]]="A",WORKDAY(Main[[#This Row],[Tech Start Date]],5),""))))</f>
        <v/>
      </c>
      <c r="P416" s="69" t="str">
        <f>IF(Main[[#This Row],[Tech Start Date]]&lt;1/1/1990,"",IF(Main[[#This Row],[Class]]="C",WORKDAY(Main[[#This Row],[Tech Start Date]],28),IF(Main[[#This Row],[Class]]="B", WORKDAY(Main[[#This Row],[Tech Start Date]],19),IF(Main[[#This Row],[Class]]="A",WORKDAY(Main[[#This Row],[Tech Start Date]],9),""))))</f>
        <v/>
      </c>
      <c r="Q416" s="67"/>
      <c r="R416" s="67"/>
      <c r="S416" s="65" t="s">
        <v>11</v>
      </c>
      <c r="T416" s="70" t="s">
        <v>4</v>
      </c>
      <c r="U416" s="65" t="s">
        <v>14</v>
      </c>
      <c r="V416" s="65" t="s">
        <v>1915</v>
      </c>
      <c r="W416" s="65" t="s">
        <v>1922</v>
      </c>
      <c r="X416" s="65" t="s">
        <v>2827</v>
      </c>
      <c r="Y416" s="65" t="s">
        <v>2948</v>
      </c>
      <c r="Z416" s="65" t="s">
        <v>4</v>
      </c>
      <c r="AA416" s="65" t="s">
        <v>2827</v>
      </c>
    </row>
    <row r="417" spans="1:27" ht="17.45" hidden="1" customHeight="1">
      <c r="A417" s="100" t="str">
        <f>IF(priority(Main[[#This Row],[Comments]])&lt;&gt;0, priority(Main[[#This Row],[Comments]]),"")</f>
        <v/>
      </c>
      <c r="B417" s="77" t="s">
        <v>1356</v>
      </c>
      <c r="C417" s="65" t="s">
        <v>47</v>
      </c>
      <c r="D417" s="66" t="s">
        <v>445</v>
      </c>
      <c r="E417" s="67"/>
      <c r="F417" s="67"/>
      <c r="G417" s="64" t="str">
        <f>IF(stdProdLT(Main[[#This Row],[Comments]])=0.1,"N/A",IF(stdProdLT(Main[[#This Row],[Comments]])=0,"",stdProdLT(Main[[#This Row],[Comments]])))</f>
        <v/>
      </c>
      <c r="H417" s="68" t="str">
        <f>IF(AND(Main[[#This Row],[In Stock Date]]&lt;&gt;"",Main[[#This Row],[Revised Due Date]]&lt;&gt;""),Main[[#This Row],[In Stock Date]]-Main[[#This Row],[Revised Due Date]],"")</f>
        <v/>
      </c>
      <c r="I417" s="65" t="s">
        <v>4</v>
      </c>
      <c r="J417" s="65" t="s">
        <v>4</v>
      </c>
      <c r="K417" s="65" t="s">
        <v>4</v>
      </c>
      <c r="L417" s="67"/>
      <c r="M417" s="69" t="str">
        <f>IF(Main[[#This Row],[Tech Start Date]]&lt;1/1/1990,"",IF(Main[[#This Row],[Class]]="C",WORKDAY(Main[[#This Row],[Tech Start Date]],9),IF(Main[[#This Row],[Class]]="B", WORKDAY(Main[[#This Row],[Tech Start Date]],6),IF(Main[[#This Row],[Class]]="A",WORKDAY(Main[[#This Row],[Tech Start Date]],2),""))))</f>
        <v/>
      </c>
      <c r="N417" s="69" t="str">
        <f>IF(Main[[#This Row],[Tech Start Date]]&lt;1/1/1990,"",IF(Main[[#This Row],[Class]]="C",WORKDAY(Main[[#This Row],[Tech Start Date]],19),IF(Main[[#This Row],[Class]]="B", WORKDAY(Main[[#This Row],[Tech Start Date]],12),IF(Main[[#This Row],[Class]]="A",WORKDAY(Main[[#This Row],[Tech Start Date]],4),""))))</f>
        <v/>
      </c>
      <c r="O417" s="69" t="str">
        <f>IF(Main[[#This Row],[Tech Start Date]]&lt;1/1/1990,"",IF(Main[[#This Row],[Class]]="C",WORKDAY(Main[[#This Row],[Tech Start Date]],23),IF(Main[[#This Row],[Class]]="B", WORKDAY(Main[[#This Row],[Tech Start Date]],15),IF(Main[[#This Row],[Class]]="A",WORKDAY(Main[[#This Row],[Tech Start Date]],5),""))))</f>
        <v/>
      </c>
      <c r="P417" s="69" t="str">
        <f>IF(Main[[#This Row],[Tech Start Date]]&lt;1/1/1990,"",IF(Main[[#This Row],[Class]]="C",WORKDAY(Main[[#This Row],[Tech Start Date]],28),IF(Main[[#This Row],[Class]]="B", WORKDAY(Main[[#This Row],[Tech Start Date]],19),IF(Main[[#This Row],[Class]]="A",WORKDAY(Main[[#This Row],[Tech Start Date]],9),""))))</f>
        <v/>
      </c>
      <c r="Q417" s="67"/>
      <c r="R417" s="67"/>
      <c r="S417" s="65" t="s">
        <v>49</v>
      </c>
      <c r="T417" s="70" t="s">
        <v>4</v>
      </c>
      <c r="U417" s="65" t="s">
        <v>14</v>
      </c>
      <c r="V417" s="65" t="s">
        <v>1917</v>
      </c>
      <c r="W417" s="65" t="s">
        <v>1918</v>
      </c>
      <c r="X417" s="65" t="s">
        <v>306</v>
      </c>
      <c r="Y417" s="65" t="s">
        <v>2941</v>
      </c>
      <c r="Z417" s="65" t="s">
        <v>4</v>
      </c>
      <c r="AA417" s="65" t="s">
        <v>3377</v>
      </c>
    </row>
    <row r="418" spans="1:27" ht="17.45" hidden="1" customHeight="1">
      <c r="A418" s="100" t="str">
        <f>IF(priority(Main[[#This Row],[Comments]])&lt;&gt;0, priority(Main[[#This Row],[Comments]]),"")</f>
        <v/>
      </c>
      <c r="B418" s="77" t="s">
        <v>1357</v>
      </c>
      <c r="C418" s="65" t="s">
        <v>47</v>
      </c>
      <c r="D418" s="66" t="s">
        <v>446</v>
      </c>
      <c r="E418" s="67">
        <v>40323.347812499997</v>
      </c>
      <c r="F418" s="67"/>
      <c r="G418" s="64" t="str">
        <f>IF(stdProdLT(Main[[#This Row],[Comments]])=0.1,"N/A",IF(stdProdLT(Main[[#This Row],[Comments]])=0,"",stdProdLT(Main[[#This Row],[Comments]])))</f>
        <v/>
      </c>
      <c r="H418" s="68" t="str">
        <f>IF(AND(Main[[#This Row],[In Stock Date]]&lt;&gt;"",Main[[#This Row],[Revised Due Date]]&lt;&gt;""),Main[[#This Row],[In Stock Date]]-Main[[#This Row],[Revised Due Date]],"")</f>
        <v/>
      </c>
      <c r="I418" s="65" t="s">
        <v>129</v>
      </c>
      <c r="J418" s="65" t="s">
        <v>4</v>
      </c>
      <c r="K418" s="65" t="s">
        <v>4</v>
      </c>
      <c r="L418" s="67"/>
      <c r="M418" s="69" t="str">
        <f>IF(Main[[#This Row],[Tech Start Date]]&lt;1/1/1990,"",IF(Main[[#This Row],[Class]]="C",WORKDAY(Main[[#This Row],[Tech Start Date]],9),IF(Main[[#This Row],[Class]]="B", WORKDAY(Main[[#This Row],[Tech Start Date]],6),IF(Main[[#This Row],[Class]]="A",WORKDAY(Main[[#This Row],[Tech Start Date]],2),""))))</f>
        <v/>
      </c>
      <c r="N418" s="69" t="str">
        <f>IF(Main[[#This Row],[Tech Start Date]]&lt;1/1/1990,"",IF(Main[[#This Row],[Class]]="C",WORKDAY(Main[[#This Row],[Tech Start Date]],19),IF(Main[[#This Row],[Class]]="B", WORKDAY(Main[[#This Row],[Tech Start Date]],12),IF(Main[[#This Row],[Class]]="A",WORKDAY(Main[[#This Row],[Tech Start Date]],4),""))))</f>
        <v/>
      </c>
      <c r="O418" s="69" t="str">
        <f>IF(Main[[#This Row],[Tech Start Date]]&lt;1/1/1990,"",IF(Main[[#This Row],[Class]]="C",WORKDAY(Main[[#This Row],[Tech Start Date]],23),IF(Main[[#This Row],[Class]]="B", WORKDAY(Main[[#This Row],[Tech Start Date]],15),IF(Main[[#This Row],[Class]]="A",WORKDAY(Main[[#This Row],[Tech Start Date]],5),""))))</f>
        <v/>
      </c>
      <c r="P418" s="69" t="str">
        <f>IF(Main[[#This Row],[Tech Start Date]]&lt;1/1/1990,"",IF(Main[[#This Row],[Class]]="C",WORKDAY(Main[[#This Row],[Tech Start Date]],28),IF(Main[[#This Row],[Class]]="B", WORKDAY(Main[[#This Row],[Tech Start Date]],19),IF(Main[[#This Row],[Class]]="A",WORKDAY(Main[[#This Row],[Tech Start Date]],9),""))))</f>
        <v/>
      </c>
      <c r="Q418" s="67">
        <v>40340</v>
      </c>
      <c r="R418" s="67"/>
      <c r="S418" s="65" t="s">
        <v>6</v>
      </c>
      <c r="T418" s="70" t="s">
        <v>4</v>
      </c>
      <c r="U418" s="65" t="s">
        <v>29</v>
      </c>
      <c r="V418" s="65" t="s">
        <v>1914</v>
      </c>
      <c r="W418" s="65" t="s">
        <v>1918</v>
      </c>
      <c r="X418" s="65" t="s">
        <v>306</v>
      </c>
      <c r="Y418" s="65" t="s">
        <v>4</v>
      </c>
      <c r="Z418" s="65" t="s">
        <v>129</v>
      </c>
      <c r="AA418" s="65" t="s">
        <v>3411</v>
      </c>
    </row>
    <row r="419" spans="1:27" ht="17.45" hidden="1" customHeight="1">
      <c r="A419" s="100" t="str">
        <f>IF(priority(Main[[#This Row],[Comments]])&lt;&gt;0, priority(Main[[#This Row],[Comments]]),"")</f>
        <v/>
      </c>
      <c r="B419" s="77" t="s">
        <v>1358</v>
      </c>
      <c r="C419" s="65" t="s">
        <v>31</v>
      </c>
      <c r="D419" s="66" t="s">
        <v>447</v>
      </c>
      <c r="E419" s="67"/>
      <c r="F419" s="67"/>
      <c r="G419" s="64" t="str">
        <f>IF(stdProdLT(Main[[#This Row],[Comments]])=0.1,"N/A",IF(stdProdLT(Main[[#This Row],[Comments]])=0,"",stdProdLT(Main[[#This Row],[Comments]])))</f>
        <v/>
      </c>
      <c r="H419" s="68" t="str">
        <f>IF(AND(Main[[#This Row],[In Stock Date]]&lt;&gt;"",Main[[#This Row],[Revised Due Date]]&lt;&gt;""),Main[[#This Row],[In Stock Date]]-Main[[#This Row],[Revised Due Date]],"")</f>
        <v/>
      </c>
      <c r="I419" s="65" t="s">
        <v>4</v>
      </c>
      <c r="J419" s="65" t="s">
        <v>4</v>
      </c>
      <c r="K419" s="65" t="s">
        <v>4</v>
      </c>
      <c r="L419" s="67"/>
      <c r="M419" s="69" t="str">
        <f>IF(Main[[#This Row],[Tech Start Date]]&lt;1/1/1990,"",IF(Main[[#This Row],[Class]]="C",WORKDAY(Main[[#This Row],[Tech Start Date]],9),IF(Main[[#This Row],[Class]]="B", WORKDAY(Main[[#This Row],[Tech Start Date]],6),IF(Main[[#This Row],[Class]]="A",WORKDAY(Main[[#This Row],[Tech Start Date]],2),""))))</f>
        <v/>
      </c>
      <c r="N419" s="69" t="str">
        <f>IF(Main[[#This Row],[Tech Start Date]]&lt;1/1/1990,"",IF(Main[[#This Row],[Class]]="C",WORKDAY(Main[[#This Row],[Tech Start Date]],19),IF(Main[[#This Row],[Class]]="B", WORKDAY(Main[[#This Row],[Tech Start Date]],12),IF(Main[[#This Row],[Class]]="A",WORKDAY(Main[[#This Row],[Tech Start Date]],4),""))))</f>
        <v/>
      </c>
      <c r="O419" s="69" t="str">
        <f>IF(Main[[#This Row],[Tech Start Date]]&lt;1/1/1990,"",IF(Main[[#This Row],[Class]]="C",WORKDAY(Main[[#This Row],[Tech Start Date]],23),IF(Main[[#This Row],[Class]]="B", WORKDAY(Main[[#This Row],[Tech Start Date]],15),IF(Main[[#This Row],[Class]]="A",WORKDAY(Main[[#This Row],[Tech Start Date]],5),""))))</f>
        <v/>
      </c>
      <c r="P419" s="69" t="str">
        <f>IF(Main[[#This Row],[Tech Start Date]]&lt;1/1/1990,"",IF(Main[[#This Row],[Class]]="C",WORKDAY(Main[[#This Row],[Tech Start Date]],28),IF(Main[[#This Row],[Class]]="B", WORKDAY(Main[[#This Row],[Tech Start Date]],19),IF(Main[[#This Row],[Class]]="A",WORKDAY(Main[[#This Row],[Tech Start Date]],9),""))))</f>
        <v/>
      </c>
      <c r="Q419" s="67">
        <v>40318</v>
      </c>
      <c r="R419" s="67"/>
      <c r="S419" s="65" t="s">
        <v>11</v>
      </c>
      <c r="T419" s="70" t="s">
        <v>4</v>
      </c>
      <c r="U419" s="65" t="s">
        <v>14</v>
      </c>
      <c r="V419" s="65" t="s">
        <v>1917</v>
      </c>
      <c r="W419" s="65" t="s">
        <v>1925</v>
      </c>
      <c r="X419" s="65" t="s">
        <v>2830</v>
      </c>
      <c r="Y419" s="65" t="s">
        <v>4</v>
      </c>
      <c r="Z419" s="65" t="s">
        <v>4</v>
      </c>
      <c r="AA419" s="65" t="s">
        <v>2830</v>
      </c>
    </row>
    <row r="420" spans="1:27" ht="17.45" hidden="1" customHeight="1">
      <c r="A420" s="100" t="str">
        <f>IF(priority(Main[[#This Row],[Comments]])&lt;&gt;0, priority(Main[[#This Row],[Comments]]),"")</f>
        <v/>
      </c>
      <c r="B420" s="77" t="s">
        <v>1359</v>
      </c>
      <c r="C420" s="65" t="s">
        <v>31</v>
      </c>
      <c r="D420" s="66" t="s">
        <v>448</v>
      </c>
      <c r="E420" s="67"/>
      <c r="F420" s="67"/>
      <c r="G420" s="64" t="str">
        <f>IF(stdProdLT(Main[[#This Row],[Comments]])=0.1,"N/A",IF(stdProdLT(Main[[#This Row],[Comments]])=0,"",stdProdLT(Main[[#This Row],[Comments]])))</f>
        <v/>
      </c>
      <c r="H420" s="68" t="str">
        <f>IF(AND(Main[[#This Row],[In Stock Date]]&lt;&gt;"",Main[[#This Row],[Revised Due Date]]&lt;&gt;""),Main[[#This Row],[In Stock Date]]-Main[[#This Row],[Revised Due Date]],"")</f>
        <v/>
      </c>
      <c r="I420" s="65" t="s">
        <v>4</v>
      </c>
      <c r="J420" s="65" t="s">
        <v>4</v>
      </c>
      <c r="K420" s="65" t="s">
        <v>4</v>
      </c>
      <c r="L420" s="67"/>
      <c r="M420" s="69" t="str">
        <f>IF(Main[[#This Row],[Tech Start Date]]&lt;1/1/1990,"",IF(Main[[#This Row],[Class]]="C",WORKDAY(Main[[#This Row],[Tech Start Date]],9),IF(Main[[#This Row],[Class]]="B", WORKDAY(Main[[#This Row],[Tech Start Date]],6),IF(Main[[#This Row],[Class]]="A",WORKDAY(Main[[#This Row],[Tech Start Date]],2),""))))</f>
        <v/>
      </c>
      <c r="N420" s="69" t="str">
        <f>IF(Main[[#This Row],[Tech Start Date]]&lt;1/1/1990,"",IF(Main[[#This Row],[Class]]="C",WORKDAY(Main[[#This Row],[Tech Start Date]],19),IF(Main[[#This Row],[Class]]="B", WORKDAY(Main[[#This Row],[Tech Start Date]],12),IF(Main[[#This Row],[Class]]="A",WORKDAY(Main[[#This Row],[Tech Start Date]],4),""))))</f>
        <v/>
      </c>
      <c r="O420" s="69" t="str">
        <f>IF(Main[[#This Row],[Tech Start Date]]&lt;1/1/1990,"",IF(Main[[#This Row],[Class]]="C",WORKDAY(Main[[#This Row],[Tech Start Date]],23),IF(Main[[#This Row],[Class]]="B", WORKDAY(Main[[#This Row],[Tech Start Date]],15),IF(Main[[#This Row],[Class]]="A",WORKDAY(Main[[#This Row],[Tech Start Date]],5),""))))</f>
        <v/>
      </c>
      <c r="P420" s="69" t="str">
        <f>IF(Main[[#This Row],[Tech Start Date]]&lt;1/1/1990,"",IF(Main[[#This Row],[Class]]="C",WORKDAY(Main[[#This Row],[Tech Start Date]],28),IF(Main[[#This Row],[Class]]="B", WORKDAY(Main[[#This Row],[Tech Start Date]],19),IF(Main[[#This Row],[Class]]="A",WORKDAY(Main[[#This Row],[Tech Start Date]],9),""))))</f>
        <v/>
      </c>
      <c r="Q420" s="67">
        <v>40318</v>
      </c>
      <c r="R420" s="67"/>
      <c r="S420" s="65" t="s">
        <v>11</v>
      </c>
      <c r="T420" s="70" t="s">
        <v>4</v>
      </c>
      <c r="U420" s="65" t="s">
        <v>14</v>
      </c>
      <c r="V420" s="65" t="s">
        <v>1917</v>
      </c>
      <c r="W420" s="65" t="s">
        <v>1925</v>
      </c>
      <c r="X420" s="65" t="s">
        <v>2830</v>
      </c>
      <c r="Y420" s="65" t="s">
        <v>4</v>
      </c>
      <c r="Z420" s="65" t="s">
        <v>4</v>
      </c>
      <c r="AA420" s="65" t="s">
        <v>2830</v>
      </c>
    </row>
    <row r="421" spans="1:27" ht="17.45" hidden="1" customHeight="1">
      <c r="A421" s="100" t="str">
        <f>IF(priority(Main[[#This Row],[Comments]])&lt;&gt;0, priority(Main[[#This Row],[Comments]]),"")</f>
        <v/>
      </c>
      <c r="B421" s="77" t="s">
        <v>1360</v>
      </c>
      <c r="C421" s="65" t="s">
        <v>275</v>
      </c>
      <c r="D421" s="66" t="s">
        <v>449</v>
      </c>
      <c r="E421" s="67"/>
      <c r="F421" s="67">
        <v>40444</v>
      </c>
      <c r="G421" s="64" t="str">
        <f>IF(stdProdLT(Main[[#This Row],[Comments]])=0.1,"N/A",IF(stdProdLT(Main[[#This Row],[Comments]])=0,"",stdProdLT(Main[[#This Row],[Comments]])))</f>
        <v/>
      </c>
      <c r="H421" s="68" t="str">
        <f>IF(AND(Main[[#This Row],[In Stock Date]]&lt;&gt;"",Main[[#This Row],[Revised Due Date]]&lt;&gt;""),Main[[#This Row],[In Stock Date]]-Main[[#This Row],[Revised Due Date]],"")</f>
        <v/>
      </c>
      <c r="I421" s="65" t="s">
        <v>4</v>
      </c>
      <c r="J421" s="65" t="s">
        <v>4</v>
      </c>
      <c r="K421" s="65" t="s">
        <v>4</v>
      </c>
      <c r="L421" s="67"/>
      <c r="M421" s="69" t="str">
        <f>IF(Main[[#This Row],[Tech Start Date]]&lt;1/1/1990,"",IF(Main[[#This Row],[Class]]="C",WORKDAY(Main[[#This Row],[Tech Start Date]],9),IF(Main[[#This Row],[Class]]="B", WORKDAY(Main[[#This Row],[Tech Start Date]],6),IF(Main[[#This Row],[Class]]="A",WORKDAY(Main[[#This Row],[Tech Start Date]],2),""))))</f>
        <v/>
      </c>
      <c r="N421" s="69" t="str">
        <f>IF(Main[[#This Row],[Tech Start Date]]&lt;1/1/1990,"",IF(Main[[#This Row],[Class]]="C",WORKDAY(Main[[#This Row],[Tech Start Date]],19),IF(Main[[#This Row],[Class]]="B", WORKDAY(Main[[#This Row],[Tech Start Date]],12),IF(Main[[#This Row],[Class]]="A",WORKDAY(Main[[#This Row],[Tech Start Date]],4),""))))</f>
        <v/>
      </c>
      <c r="O421" s="69" t="str">
        <f>IF(Main[[#This Row],[Tech Start Date]]&lt;1/1/1990,"",IF(Main[[#This Row],[Class]]="C",WORKDAY(Main[[#This Row],[Tech Start Date]],23),IF(Main[[#This Row],[Class]]="B", WORKDAY(Main[[#This Row],[Tech Start Date]],15),IF(Main[[#This Row],[Class]]="A",WORKDAY(Main[[#This Row],[Tech Start Date]],5),""))))</f>
        <v/>
      </c>
      <c r="P421" s="69" t="str">
        <f>IF(Main[[#This Row],[Tech Start Date]]&lt;1/1/1990,"",IF(Main[[#This Row],[Class]]="C",WORKDAY(Main[[#This Row],[Tech Start Date]],28),IF(Main[[#This Row],[Class]]="B", WORKDAY(Main[[#This Row],[Tech Start Date]],19),IF(Main[[#This Row],[Class]]="A",WORKDAY(Main[[#This Row],[Tech Start Date]],9),""))))</f>
        <v/>
      </c>
      <c r="Q421" s="67">
        <v>40262</v>
      </c>
      <c r="R421" s="67"/>
      <c r="S421" s="65" t="s">
        <v>17</v>
      </c>
      <c r="T421" s="70" t="s">
        <v>4</v>
      </c>
      <c r="U421" s="65" t="s">
        <v>14</v>
      </c>
      <c r="V421" s="65" t="s">
        <v>1917</v>
      </c>
      <c r="W421" s="65" t="s">
        <v>1919</v>
      </c>
      <c r="X421" s="65" t="s">
        <v>306</v>
      </c>
      <c r="Y421" s="65" t="s">
        <v>4</v>
      </c>
      <c r="Z421" s="65" t="s">
        <v>4</v>
      </c>
      <c r="AA421" s="65" t="s">
        <v>65</v>
      </c>
    </row>
    <row r="422" spans="1:27" ht="17.45" hidden="1" customHeight="1">
      <c r="A422" s="100" t="str">
        <f>IF(priority(Main[[#This Row],[Comments]])&lt;&gt;0, priority(Main[[#This Row],[Comments]]),"")</f>
        <v/>
      </c>
      <c r="B422" s="77" t="s">
        <v>1361</v>
      </c>
      <c r="C422" s="65" t="s">
        <v>67</v>
      </c>
      <c r="D422" s="66" t="s">
        <v>450</v>
      </c>
      <c r="E422" s="67"/>
      <c r="F422" s="67"/>
      <c r="G422" s="64" t="str">
        <f>IF(stdProdLT(Main[[#This Row],[Comments]])=0.1,"N/A",IF(stdProdLT(Main[[#This Row],[Comments]])=0,"",stdProdLT(Main[[#This Row],[Comments]])))</f>
        <v/>
      </c>
      <c r="H422" s="68" t="str">
        <f>IF(AND(Main[[#This Row],[In Stock Date]]&lt;&gt;"",Main[[#This Row],[Revised Due Date]]&lt;&gt;""),Main[[#This Row],[In Stock Date]]-Main[[#This Row],[Revised Due Date]],"")</f>
        <v/>
      </c>
      <c r="I422" s="65" t="s">
        <v>4</v>
      </c>
      <c r="J422" s="65" t="s">
        <v>4</v>
      </c>
      <c r="K422" s="65" t="s">
        <v>4</v>
      </c>
      <c r="L422" s="67"/>
      <c r="M422" s="69" t="str">
        <f>IF(Main[[#This Row],[Tech Start Date]]&lt;1/1/1990,"",IF(Main[[#This Row],[Class]]="C",WORKDAY(Main[[#This Row],[Tech Start Date]],9),IF(Main[[#This Row],[Class]]="B", WORKDAY(Main[[#This Row],[Tech Start Date]],6),IF(Main[[#This Row],[Class]]="A",WORKDAY(Main[[#This Row],[Tech Start Date]],2),""))))</f>
        <v/>
      </c>
      <c r="N422" s="69" t="str">
        <f>IF(Main[[#This Row],[Tech Start Date]]&lt;1/1/1990,"",IF(Main[[#This Row],[Class]]="C",WORKDAY(Main[[#This Row],[Tech Start Date]],19),IF(Main[[#This Row],[Class]]="B", WORKDAY(Main[[#This Row],[Tech Start Date]],12),IF(Main[[#This Row],[Class]]="A",WORKDAY(Main[[#This Row],[Tech Start Date]],4),""))))</f>
        <v/>
      </c>
      <c r="O422" s="69" t="str">
        <f>IF(Main[[#This Row],[Tech Start Date]]&lt;1/1/1990,"",IF(Main[[#This Row],[Class]]="C",WORKDAY(Main[[#This Row],[Tech Start Date]],23),IF(Main[[#This Row],[Class]]="B", WORKDAY(Main[[#This Row],[Tech Start Date]],15),IF(Main[[#This Row],[Class]]="A",WORKDAY(Main[[#This Row],[Tech Start Date]],5),""))))</f>
        <v/>
      </c>
      <c r="P422" s="69" t="str">
        <f>IF(Main[[#This Row],[Tech Start Date]]&lt;1/1/1990,"",IF(Main[[#This Row],[Class]]="C",WORKDAY(Main[[#This Row],[Tech Start Date]],28),IF(Main[[#This Row],[Class]]="B", WORKDAY(Main[[#This Row],[Tech Start Date]],19),IF(Main[[#This Row],[Class]]="A",WORKDAY(Main[[#This Row],[Tech Start Date]],9),""))))</f>
        <v/>
      </c>
      <c r="Q422" s="67"/>
      <c r="R422" s="67"/>
      <c r="S422" s="65" t="s">
        <v>11</v>
      </c>
      <c r="T422" s="70" t="s">
        <v>4</v>
      </c>
      <c r="U422" s="65" t="s">
        <v>12</v>
      </c>
      <c r="V422" s="65" t="s">
        <v>1915</v>
      </c>
      <c r="W422" s="65" t="s">
        <v>1922</v>
      </c>
      <c r="X422" s="65" t="s">
        <v>2862</v>
      </c>
      <c r="Y422" s="65" t="s">
        <v>3006</v>
      </c>
      <c r="Z422" s="65" t="s">
        <v>4</v>
      </c>
      <c r="AA422" s="65" t="s">
        <v>2862</v>
      </c>
    </row>
    <row r="423" spans="1:27" ht="17.45" hidden="1" customHeight="1">
      <c r="A423" s="100" t="str">
        <f>IF(priority(Main[[#This Row],[Comments]])&lt;&gt;0, priority(Main[[#This Row],[Comments]]),"")</f>
        <v/>
      </c>
      <c r="B423" s="77" t="s">
        <v>1362</v>
      </c>
      <c r="C423" s="65" t="s">
        <v>83</v>
      </c>
      <c r="D423" s="66" t="s">
        <v>451</v>
      </c>
      <c r="E423" s="67"/>
      <c r="F423" s="67"/>
      <c r="G423" s="64" t="str">
        <f>IF(stdProdLT(Main[[#This Row],[Comments]])=0.1,"N/A",IF(stdProdLT(Main[[#This Row],[Comments]])=0,"",stdProdLT(Main[[#This Row],[Comments]])))</f>
        <v/>
      </c>
      <c r="H423" s="68" t="str">
        <f>IF(AND(Main[[#This Row],[In Stock Date]]&lt;&gt;"",Main[[#This Row],[Revised Due Date]]&lt;&gt;""),Main[[#This Row],[In Stock Date]]-Main[[#This Row],[Revised Due Date]],"")</f>
        <v/>
      </c>
      <c r="I423" s="65" t="s">
        <v>4</v>
      </c>
      <c r="J423" s="65" t="s">
        <v>4</v>
      </c>
      <c r="K423" s="65" t="s">
        <v>4</v>
      </c>
      <c r="L423" s="67"/>
      <c r="M423" s="69" t="str">
        <f>IF(Main[[#This Row],[Tech Start Date]]&lt;1/1/1990,"",IF(Main[[#This Row],[Class]]="C",WORKDAY(Main[[#This Row],[Tech Start Date]],9),IF(Main[[#This Row],[Class]]="B", WORKDAY(Main[[#This Row],[Tech Start Date]],6),IF(Main[[#This Row],[Class]]="A",WORKDAY(Main[[#This Row],[Tech Start Date]],2),""))))</f>
        <v/>
      </c>
      <c r="N423" s="69" t="str">
        <f>IF(Main[[#This Row],[Tech Start Date]]&lt;1/1/1990,"",IF(Main[[#This Row],[Class]]="C",WORKDAY(Main[[#This Row],[Tech Start Date]],19),IF(Main[[#This Row],[Class]]="B", WORKDAY(Main[[#This Row],[Tech Start Date]],12),IF(Main[[#This Row],[Class]]="A",WORKDAY(Main[[#This Row],[Tech Start Date]],4),""))))</f>
        <v/>
      </c>
      <c r="O423" s="69" t="str">
        <f>IF(Main[[#This Row],[Tech Start Date]]&lt;1/1/1990,"",IF(Main[[#This Row],[Class]]="C",WORKDAY(Main[[#This Row],[Tech Start Date]],23),IF(Main[[#This Row],[Class]]="B", WORKDAY(Main[[#This Row],[Tech Start Date]],15),IF(Main[[#This Row],[Class]]="A",WORKDAY(Main[[#This Row],[Tech Start Date]],5),""))))</f>
        <v/>
      </c>
      <c r="P423" s="69" t="str">
        <f>IF(Main[[#This Row],[Tech Start Date]]&lt;1/1/1990,"",IF(Main[[#This Row],[Class]]="C",WORKDAY(Main[[#This Row],[Tech Start Date]],28),IF(Main[[#This Row],[Class]]="B", WORKDAY(Main[[#This Row],[Tech Start Date]],19),IF(Main[[#This Row],[Class]]="A",WORKDAY(Main[[#This Row],[Tech Start Date]],9),""))))</f>
        <v/>
      </c>
      <c r="Q423" s="67">
        <v>40252</v>
      </c>
      <c r="R423" s="67"/>
      <c r="S423" s="65" t="s">
        <v>11</v>
      </c>
      <c r="T423" s="70" t="s">
        <v>4</v>
      </c>
      <c r="U423" s="65" t="s">
        <v>14</v>
      </c>
      <c r="V423" s="65" t="s">
        <v>1914</v>
      </c>
      <c r="W423" s="65" t="s">
        <v>1925</v>
      </c>
      <c r="X423" s="65" t="s">
        <v>2817</v>
      </c>
      <c r="Y423" s="65" t="s">
        <v>4</v>
      </c>
      <c r="Z423" s="65" t="s">
        <v>4</v>
      </c>
      <c r="AA423" s="65" t="s">
        <v>2817</v>
      </c>
    </row>
    <row r="424" spans="1:27" ht="17.45" hidden="1" customHeight="1">
      <c r="A424" s="100" t="str">
        <f>IF(priority(Main[[#This Row],[Comments]])&lt;&gt;0, priority(Main[[#This Row],[Comments]]),"")</f>
        <v/>
      </c>
      <c r="B424" s="77" t="s">
        <v>1363</v>
      </c>
      <c r="C424" s="65" t="s">
        <v>42</v>
      </c>
      <c r="D424" s="66" t="s">
        <v>452</v>
      </c>
      <c r="E424" s="67">
        <v>39932.393530092595</v>
      </c>
      <c r="F424" s="67"/>
      <c r="G424" s="64" t="str">
        <f>IF(stdProdLT(Main[[#This Row],[Comments]])=0.1,"N/A",IF(stdProdLT(Main[[#This Row],[Comments]])=0,"",stdProdLT(Main[[#This Row],[Comments]])))</f>
        <v/>
      </c>
      <c r="H424" s="68" t="str">
        <f>IF(AND(Main[[#This Row],[In Stock Date]]&lt;&gt;"",Main[[#This Row],[Revised Due Date]]&lt;&gt;""),Main[[#This Row],[In Stock Date]]-Main[[#This Row],[Revised Due Date]],"")</f>
        <v/>
      </c>
      <c r="I424" s="65" t="s">
        <v>4</v>
      </c>
      <c r="J424" s="65" t="s">
        <v>4</v>
      </c>
      <c r="K424" s="65" t="s">
        <v>4</v>
      </c>
      <c r="L424" s="67"/>
      <c r="M424" s="69" t="str">
        <f>IF(Main[[#This Row],[Tech Start Date]]&lt;1/1/1990,"",IF(Main[[#This Row],[Class]]="C",WORKDAY(Main[[#This Row],[Tech Start Date]],9),IF(Main[[#This Row],[Class]]="B", WORKDAY(Main[[#This Row],[Tech Start Date]],6),IF(Main[[#This Row],[Class]]="A",WORKDAY(Main[[#This Row],[Tech Start Date]],2),""))))</f>
        <v/>
      </c>
      <c r="N424" s="69" t="str">
        <f>IF(Main[[#This Row],[Tech Start Date]]&lt;1/1/1990,"",IF(Main[[#This Row],[Class]]="C",WORKDAY(Main[[#This Row],[Tech Start Date]],19),IF(Main[[#This Row],[Class]]="B", WORKDAY(Main[[#This Row],[Tech Start Date]],12),IF(Main[[#This Row],[Class]]="A",WORKDAY(Main[[#This Row],[Tech Start Date]],4),""))))</f>
        <v/>
      </c>
      <c r="O424" s="69" t="str">
        <f>IF(Main[[#This Row],[Tech Start Date]]&lt;1/1/1990,"",IF(Main[[#This Row],[Class]]="C",WORKDAY(Main[[#This Row],[Tech Start Date]],23),IF(Main[[#This Row],[Class]]="B", WORKDAY(Main[[#This Row],[Tech Start Date]],15),IF(Main[[#This Row],[Class]]="A",WORKDAY(Main[[#This Row],[Tech Start Date]],5),""))))</f>
        <v/>
      </c>
      <c r="P424" s="69" t="str">
        <f>IF(Main[[#This Row],[Tech Start Date]]&lt;1/1/1990,"",IF(Main[[#This Row],[Class]]="C",WORKDAY(Main[[#This Row],[Tech Start Date]],28),IF(Main[[#This Row],[Class]]="B", WORKDAY(Main[[#This Row],[Tech Start Date]],19),IF(Main[[#This Row],[Class]]="A",WORKDAY(Main[[#This Row],[Tech Start Date]],9),""))))</f>
        <v/>
      </c>
      <c r="Q424" s="67"/>
      <c r="R424" s="67"/>
      <c r="S424" s="65" t="s">
        <v>17</v>
      </c>
      <c r="T424" s="70" t="s">
        <v>4</v>
      </c>
      <c r="U424" s="65" t="s">
        <v>7</v>
      </c>
      <c r="V424" s="65" t="s">
        <v>1917</v>
      </c>
      <c r="W424" s="65" t="s">
        <v>4</v>
      </c>
      <c r="X424" s="65" t="s">
        <v>399</v>
      </c>
      <c r="Y424" s="65" t="s">
        <v>4</v>
      </c>
      <c r="Z424" s="65" t="s">
        <v>4</v>
      </c>
      <c r="AA424" s="65" t="s">
        <v>4</v>
      </c>
    </row>
    <row r="425" spans="1:27" ht="17.45" hidden="1" customHeight="1">
      <c r="A425" s="100" t="str">
        <f>IF(priority(Main[[#This Row],[Comments]])&lt;&gt;0, priority(Main[[#This Row],[Comments]]),"")</f>
        <v/>
      </c>
      <c r="B425" s="77" t="s">
        <v>1364</v>
      </c>
      <c r="C425" s="65" t="s">
        <v>453</v>
      </c>
      <c r="D425" s="66" t="s">
        <v>454</v>
      </c>
      <c r="E425" s="67"/>
      <c r="F425" s="67"/>
      <c r="G425" s="64" t="str">
        <f>IF(stdProdLT(Main[[#This Row],[Comments]])=0.1,"N/A",IF(stdProdLT(Main[[#This Row],[Comments]])=0,"",stdProdLT(Main[[#This Row],[Comments]])))</f>
        <v/>
      </c>
      <c r="H425" s="68" t="str">
        <f>IF(AND(Main[[#This Row],[In Stock Date]]&lt;&gt;"",Main[[#This Row],[Revised Due Date]]&lt;&gt;""),Main[[#This Row],[In Stock Date]]-Main[[#This Row],[Revised Due Date]],"")</f>
        <v/>
      </c>
      <c r="I425" s="65" t="s">
        <v>4</v>
      </c>
      <c r="J425" s="65" t="s">
        <v>4</v>
      </c>
      <c r="K425" s="71" t="s">
        <v>4</v>
      </c>
      <c r="L425" s="67"/>
      <c r="M425" s="69" t="str">
        <f>IF(Main[[#This Row],[Tech Start Date]]&lt;1/1/1990,"",IF(Main[[#This Row],[Class]]="C",WORKDAY(Main[[#This Row],[Tech Start Date]],9),IF(Main[[#This Row],[Class]]="B", WORKDAY(Main[[#This Row],[Tech Start Date]],6),IF(Main[[#This Row],[Class]]="A",WORKDAY(Main[[#This Row],[Tech Start Date]],2),""))))</f>
        <v/>
      </c>
      <c r="N425" s="69" t="str">
        <f>IF(Main[[#This Row],[Tech Start Date]]&lt;1/1/1990,"",IF(Main[[#This Row],[Class]]="C",WORKDAY(Main[[#This Row],[Tech Start Date]],19),IF(Main[[#This Row],[Class]]="B", WORKDAY(Main[[#This Row],[Tech Start Date]],12),IF(Main[[#This Row],[Class]]="A",WORKDAY(Main[[#This Row],[Tech Start Date]],4),""))))</f>
        <v/>
      </c>
      <c r="O425" s="69" t="str">
        <f>IF(Main[[#This Row],[Tech Start Date]]&lt;1/1/1990,"",IF(Main[[#This Row],[Class]]="C",WORKDAY(Main[[#This Row],[Tech Start Date]],23),IF(Main[[#This Row],[Class]]="B", WORKDAY(Main[[#This Row],[Tech Start Date]],15),IF(Main[[#This Row],[Class]]="A",WORKDAY(Main[[#This Row],[Tech Start Date]],5),""))))</f>
        <v/>
      </c>
      <c r="P425" s="69" t="str">
        <f>IF(Main[[#This Row],[Tech Start Date]]&lt;1/1/1990,"",IF(Main[[#This Row],[Class]]="C",WORKDAY(Main[[#This Row],[Tech Start Date]],28),IF(Main[[#This Row],[Class]]="B", WORKDAY(Main[[#This Row],[Tech Start Date]],19),IF(Main[[#This Row],[Class]]="A",WORKDAY(Main[[#This Row],[Tech Start Date]],9),""))))</f>
        <v/>
      </c>
      <c r="Q425" s="67"/>
      <c r="R425" s="67"/>
      <c r="S425" s="65" t="s">
        <v>11</v>
      </c>
      <c r="T425" s="70" t="s">
        <v>4</v>
      </c>
      <c r="U425" s="65" t="s">
        <v>14</v>
      </c>
      <c r="V425" s="65" t="s">
        <v>1915</v>
      </c>
      <c r="W425" s="65" t="s">
        <v>1922</v>
      </c>
      <c r="X425" s="65" t="s">
        <v>399</v>
      </c>
      <c r="Y425" s="65" t="s">
        <v>4</v>
      </c>
      <c r="Z425" s="65" t="s">
        <v>4</v>
      </c>
      <c r="AA425" s="65" t="s">
        <v>4</v>
      </c>
    </row>
    <row r="426" spans="1:27" ht="17.45" hidden="1" customHeight="1">
      <c r="A426" s="100" t="str">
        <f>IF(priority(Main[[#This Row],[Comments]])&lt;&gt;0, priority(Main[[#This Row],[Comments]]),"")</f>
        <v/>
      </c>
      <c r="B426" s="77" t="s">
        <v>1365</v>
      </c>
      <c r="C426" s="65" t="s">
        <v>455</v>
      </c>
      <c r="D426" s="66" t="s">
        <v>456</v>
      </c>
      <c r="E426" s="67"/>
      <c r="F426" s="67"/>
      <c r="G426" s="64" t="str">
        <f>IF(stdProdLT(Main[[#This Row],[Comments]])=0.1,"N/A",IF(stdProdLT(Main[[#This Row],[Comments]])=0,"",stdProdLT(Main[[#This Row],[Comments]])))</f>
        <v/>
      </c>
      <c r="H426" s="68" t="str">
        <f>IF(AND(Main[[#This Row],[In Stock Date]]&lt;&gt;"",Main[[#This Row],[Revised Due Date]]&lt;&gt;""),Main[[#This Row],[In Stock Date]]-Main[[#This Row],[Revised Due Date]],"")</f>
        <v/>
      </c>
      <c r="I426" s="65" t="s">
        <v>4</v>
      </c>
      <c r="J426" s="65" t="s">
        <v>4</v>
      </c>
      <c r="K426" s="65" t="s">
        <v>4</v>
      </c>
      <c r="L426" s="67"/>
      <c r="M426" s="69" t="str">
        <f>IF(Main[[#This Row],[Tech Start Date]]&lt;1/1/1990,"",IF(Main[[#This Row],[Class]]="C",WORKDAY(Main[[#This Row],[Tech Start Date]],9),IF(Main[[#This Row],[Class]]="B", WORKDAY(Main[[#This Row],[Tech Start Date]],6),IF(Main[[#This Row],[Class]]="A",WORKDAY(Main[[#This Row],[Tech Start Date]],2),""))))</f>
        <v/>
      </c>
      <c r="N426" s="69" t="str">
        <f>IF(Main[[#This Row],[Tech Start Date]]&lt;1/1/1990,"",IF(Main[[#This Row],[Class]]="C",WORKDAY(Main[[#This Row],[Tech Start Date]],19),IF(Main[[#This Row],[Class]]="B", WORKDAY(Main[[#This Row],[Tech Start Date]],12),IF(Main[[#This Row],[Class]]="A",WORKDAY(Main[[#This Row],[Tech Start Date]],4),""))))</f>
        <v/>
      </c>
      <c r="O426" s="69" t="str">
        <f>IF(Main[[#This Row],[Tech Start Date]]&lt;1/1/1990,"",IF(Main[[#This Row],[Class]]="C",WORKDAY(Main[[#This Row],[Tech Start Date]],23),IF(Main[[#This Row],[Class]]="B", WORKDAY(Main[[#This Row],[Tech Start Date]],15),IF(Main[[#This Row],[Class]]="A",WORKDAY(Main[[#This Row],[Tech Start Date]],5),""))))</f>
        <v/>
      </c>
      <c r="P426" s="69" t="str">
        <f>IF(Main[[#This Row],[Tech Start Date]]&lt;1/1/1990,"",IF(Main[[#This Row],[Class]]="C",WORKDAY(Main[[#This Row],[Tech Start Date]],28),IF(Main[[#This Row],[Class]]="B", WORKDAY(Main[[#This Row],[Tech Start Date]],19),IF(Main[[#This Row],[Class]]="A",WORKDAY(Main[[#This Row],[Tech Start Date]],9),""))))</f>
        <v/>
      </c>
      <c r="Q426" s="67"/>
      <c r="R426" s="67"/>
      <c r="S426" s="65" t="s">
        <v>11</v>
      </c>
      <c r="T426" s="70" t="s">
        <v>4</v>
      </c>
      <c r="U426" s="65" t="s">
        <v>14</v>
      </c>
      <c r="V426" s="65" t="s">
        <v>1915</v>
      </c>
      <c r="W426" s="65" t="s">
        <v>1922</v>
      </c>
      <c r="X426" s="65" t="s">
        <v>399</v>
      </c>
      <c r="Y426" s="65" t="s">
        <v>4</v>
      </c>
      <c r="Z426" s="65" t="s">
        <v>4</v>
      </c>
      <c r="AA426" s="65" t="s">
        <v>3412</v>
      </c>
    </row>
    <row r="427" spans="1:27" ht="17.45" hidden="1" customHeight="1">
      <c r="A427" s="100" t="str">
        <f>IF(priority(Main[[#This Row],[Comments]])&lt;&gt;0, priority(Main[[#This Row],[Comments]]),"")</f>
        <v/>
      </c>
      <c r="B427" s="77" t="s">
        <v>1366</v>
      </c>
      <c r="C427" s="65" t="s">
        <v>457</v>
      </c>
      <c r="D427" s="66" t="s">
        <v>458</v>
      </c>
      <c r="E427" s="67"/>
      <c r="F427" s="67">
        <v>40214</v>
      </c>
      <c r="G427" s="64" t="str">
        <f>IF(stdProdLT(Main[[#This Row],[Comments]])=0.1,"N/A",IF(stdProdLT(Main[[#This Row],[Comments]])=0,"",stdProdLT(Main[[#This Row],[Comments]])))</f>
        <v/>
      </c>
      <c r="H427" s="68" t="str">
        <f>IF(AND(Main[[#This Row],[In Stock Date]]&lt;&gt;"",Main[[#This Row],[Revised Due Date]]&lt;&gt;""),Main[[#This Row],[In Stock Date]]-Main[[#This Row],[Revised Due Date]],"")</f>
        <v/>
      </c>
      <c r="I427" s="65" t="s">
        <v>4</v>
      </c>
      <c r="J427" s="65" t="s">
        <v>4</v>
      </c>
      <c r="K427" s="65" t="s">
        <v>4</v>
      </c>
      <c r="L427" s="67"/>
      <c r="M427" s="69" t="str">
        <f>IF(Main[[#This Row],[Tech Start Date]]&lt;1/1/1990,"",IF(Main[[#This Row],[Class]]="C",WORKDAY(Main[[#This Row],[Tech Start Date]],9),IF(Main[[#This Row],[Class]]="B", WORKDAY(Main[[#This Row],[Tech Start Date]],6),IF(Main[[#This Row],[Class]]="A",WORKDAY(Main[[#This Row],[Tech Start Date]],2),""))))</f>
        <v/>
      </c>
      <c r="N427" s="69" t="str">
        <f>IF(Main[[#This Row],[Tech Start Date]]&lt;1/1/1990,"",IF(Main[[#This Row],[Class]]="C",WORKDAY(Main[[#This Row],[Tech Start Date]],19),IF(Main[[#This Row],[Class]]="B", WORKDAY(Main[[#This Row],[Tech Start Date]],12),IF(Main[[#This Row],[Class]]="A",WORKDAY(Main[[#This Row],[Tech Start Date]],4),""))))</f>
        <v/>
      </c>
      <c r="O427" s="69" t="str">
        <f>IF(Main[[#This Row],[Tech Start Date]]&lt;1/1/1990,"",IF(Main[[#This Row],[Class]]="C",WORKDAY(Main[[#This Row],[Tech Start Date]],23),IF(Main[[#This Row],[Class]]="B", WORKDAY(Main[[#This Row],[Tech Start Date]],15),IF(Main[[#This Row],[Class]]="A",WORKDAY(Main[[#This Row],[Tech Start Date]],5),""))))</f>
        <v/>
      </c>
      <c r="P427" s="69" t="str">
        <f>IF(Main[[#This Row],[Tech Start Date]]&lt;1/1/1990,"",IF(Main[[#This Row],[Class]]="C",WORKDAY(Main[[#This Row],[Tech Start Date]],28),IF(Main[[#This Row],[Class]]="B", WORKDAY(Main[[#This Row],[Tech Start Date]],19),IF(Main[[#This Row],[Class]]="A",WORKDAY(Main[[#This Row],[Tech Start Date]],9),""))))</f>
        <v/>
      </c>
      <c r="Q427" s="67">
        <v>40149</v>
      </c>
      <c r="R427" s="67"/>
      <c r="S427" s="65" t="s">
        <v>11</v>
      </c>
      <c r="T427" s="70" t="s">
        <v>4</v>
      </c>
      <c r="U427" s="65" t="s">
        <v>14</v>
      </c>
      <c r="V427" s="65" t="s">
        <v>1917</v>
      </c>
      <c r="W427" s="65" t="s">
        <v>1920</v>
      </c>
      <c r="X427" s="65" t="s">
        <v>2863</v>
      </c>
      <c r="Y427" s="65" t="s">
        <v>4</v>
      </c>
      <c r="Z427" s="65" t="s">
        <v>4</v>
      </c>
      <c r="AA427" s="65" t="s">
        <v>2863</v>
      </c>
    </row>
    <row r="428" spans="1:27" ht="17.45" hidden="1" customHeight="1">
      <c r="A428" s="100" t="str">
        <f>IF(priority(Main[[#This Row],[Comments]])&lt;&gt;0, priority(Main[[#This Row],[Comments]]),"")</f>
        <v/>
      </c>
      <c r="B428" s="77" t="s">
        <v>1367</v>
      </c>
      <c r="C428" s="65" t="s">
        <v>93</v>
      </c>
      <c r="D428" s="66" t="s">
        <v>459</v>
      </c>
      <c r="E428" s="67"/>
      <c r="F428" s="67">
        <v>40210</v>
      </c>
      <c r="G428" s="64" t="str">
        <f>IF(stdProdLT(Main[[#This Row],[Comments]])=0.1,"N/A",IF(stdProdLT(Main[[#This Row],[Comments]])=0,"",stdProdLT(Main[[#This Row],[Comments]])))</f>
        <v/>
      </c>
      <c r="H428" s="68" t="str">
        <f>IF(AND(Main[[#This Row],[In Stock Date]]&lt;&gt;"",Main[[#This Row],[Revised Due Date]]&lt;&gt;""),Main[[#This Row],[In Stock Date]]-Main[[#This Row],[Revised Due Date]],"")</f>
        <v/>
      </c>
      <c r="I428" s="65" t="s">
        <v>4</v>
      </c>
      <c r="J428" s="65" t="s">
        <v>4</v>
      </c>
      <c r="K428" s="65" t="s">
        <v>4</v>
      </c>
      <c r="L428" s="67"/>
      <c r="M428" s="69" t="str">
        <f>IF(Main[[#This Row],[Tech Start Date]]&lt;1/1/1990,"",IF(Main[[#This Row],[Class]]="C",WORKDAY(Main[[#This Row],[Tech Start Date]],9),IF(Main[[#This Row],[Class]]="B", WORKDAY(Main[[#This Row],[Tech Start Date]],6),IF(Main[[#This Row],[Class]]="A",WORKDAY(Main[[#This Row],[Tech Start Date]],2),""))))</f>
        <v/>
      </c>
      <c r="N428" s="69" t="str">
        <f>IF(Main[[#This Row],[Tech Start Date]]&lt;1/1/1990,"",IF(Main[[#This Row],[Class]]="C",WORKDAY(Main[[#This Row],[Tech Start Date]],19),IF(Main[[#This Row],[Class]]="B", WORKDAY(Main[[#This Row],[Tech Start Date]],12),IF(Main[[#This Row],[Class]]="A",WORKDAY(Main[[#This Row],[Tech Start Date]],4),""))))</f>
        <v/>
      </c>
      <c r="O428" s="69" t="str">
        <f>IF(Main[[#This Row],[Tech Start Date]]&lt;1/1/1990,"",IF(Main[[#This Row],[Class]]="C",WORKDAY(Main[[#This Row],[Tech Start Date]],23),IF(Main[[#This Row],[Class]]="B", WORKDAY(Main[[#This Row],[Tech Start Date]],15),IF(Main[[#This Row],[Class]]="A",WORKDAY(Main[[#This Row],[Tech Start Date]],5),""))))</f>
        <v/>
      </c>
      <c r="P428" s="69" t="str">
        <f>IF(Main[[#This Row],[Tech Start Date]]&lt;1/1/1990,"",IF(Main[[#This Row],[Class]]="C",WORKDAY(Main[[#This Row],[Tech Start Date]],28),IF(Main[[#This Row],[Class]]="B", WORKDAY(Main[[#This Row],[Tech Start Date]],19),IF(Main[[#This Row],[Class]]="A",WORKDAY(Main[[#This Row],[Tech Start Date]],9),""))))</f>
        <v/>
      </c>
      <c r="Q428" s="67">
        <v>40195</v>
      </c>
      <c r="R428" s="67"/>
      <c r="S428" s="65" t="s">
        <v>11</v>
      </c>
      <c r="T428" s="70" t="s">
        <v>4</v>
      </c>
      <c r="U428" s="65" t="s">
        <v>12</v>
      </c>
      <c r="V428" s="65" t="s">
        <v>1924</v>
      </c>
      <c r="W428" s="65" t="s">
        <v>1925</v>
      </c>
      <c r="X428" s="65" t="s">
        <v>2845</v>
      </c>
      <c r="Y428" s="65" t="s">
        <v>4</v>
      </c>
      <c r="Z428" s="65" t="s">
        <v>4</v>
      </c>
      <c r="AA428" s="65" t="s">
        <v>2845</v>
      </c>
    </row>
    <row r="429" spans="1:27" ht="17.45" hidden="1" customHeight="1">
      <c r="A429" s="100" t="str">
        <f>IF(priority(Main[[#This Row],[Comments]])&lt;&gt;0, priority(Main[[#This Row],[Comments]]),"")</f>
        <v/>
      </c>
      <c r="B429" s="77" t="s">
        <v>1368</v>
      </c>
      <c r="C429" s="65" t="s">
        <v>457</v>
      </c>
      <c r="D429" s="66" t="s">
        <v>460</v>
      </c>
      <c r="E429" s="67"/>
      <c r="F429" s="67">
        <v>40214</v>
      </c>
      <c r="G429" s="64" t="str">
        <f>IF(stdProdLT(Main[[#This Row],[Comments]])=0.1,"N/A",IF(stdProdLT(Main[[#This Row],[Comments]])=0,"",stdProdLT(Main[[#This Row],[Comments]])))</f>
        <v/>
      </c>
      <c r="H429" s="68" t="str">
        <f>IF(AND(Main[[#This Row],[In Stock Date]]&lt;&gt;"",Main[[#This Row],[Revised Due Date]]&lt;&gt;""),Main[[#This Row],[In Stock Date]]-Main[[#This Row],[Revised Due Date]],"")</f>
        <v/>
      </c>
      <c r="I429" s="65" t="s">
        <v>4</v>
      </c>
      <c r="J429" s="65" t="s">
        <v>4</v>
      </c>
      <c r="K429" s="65" t="s">
        <v>4</v>
      </c>
      <c r="L429" s="67"/>
      <c r="M429" s="69" t="str">
        <f>IF(Main[[#This Row],[Tech Start Date]]&lt;1/1/1990,"",IF(Main[[#This Row],[Class]]="C",WORKDAY(Main[[#This Row],[Tech Start Date]],9),IF(Main[[#This Row],[Class]]="B", WORKDAY(Main[[#This Row],[Tech Start Date]],6),IF(Main[[#This Row],[Class]]="A",WORKDAY(Main[[#This Row],[Tech Start Date]],2),""))))</f>
        <v/>
      </c>
      <c r="N429" s="69" t="str">
        <f>IF(Main[[#This Row],[Tech Start Date]]&lt;1/1/1990,"",IF(Main[[#This Row],[Class]]="C",WORKDAY(Main[[#This Row],[Tech Start Date]],19),IF(Main[[#This Row],[Class]]="B", WORKDAY(Main[[#This Row],[Tech Start Date]],12),IF(Main[[#This Row],[Class]]="A",WORKDAY(Main[[#This Row],[Tech Start Date]],4),""))))</f>
        <v/>
      </c>
      <c r="O429" s="69" t="str">
        <f>IF(Main[[#This Row],[Tech Start Date]]&lt;1/1/1990,"",IF(Main[[#This Row],[Class]]="C",WORKDAY(Main[[#This Row],[Tech Start Date]],23),IF(Main[[#This Row],[Class]]="B", WORKDAY(Main[[#This Row],[Tech Start Date]],15),IF(Main[[#This Row],[Class]]="A",WORKDAY(Main[[#This Row],[Tech Start Date]],5),""))))</f>
        <v/>
      </c>
      <c r="P429" s="69" t="str">
        <f>IF(Main[[#This Row],[Tech Start Date]]&lt;1/1/1990,"",IF(Main[[#This Row],[Class]]="C",WORKDAY(Main[[#This Row],[Tech Start Date]],28),IF(Main[[#This Row],[Class]]="B", WORKDAY(Main[[#This Row],[Tech Start Date]],19),IF(Main[[#This Row],[Class]]="A",WORKDAY(Main[[#This Row],[Tech Start Date]],9),""))))</f>
        <v/>
      </c>
      <c r="Q429" s="67">
        <v>40149</v>
      </c>
      <c r="R429" s="67"/>
      <c r="S429" s="65" t="s">
        <v>11</v>
      </c>
      <c r="T429" s="70" t="s">
        <v>4</v>
      </c>
      <c r="U429" s="65" t="s">
        <v>14</v>
      </c>
      <c r="V429" s="65" t="s">
        <v>1917</v>
      </c>
      <c r="W429" s="65" t="s">
        <v>1920</v>
      </c>
      <c r="X429" s="65" t="s">
        <v>2863</v>
      </c>
      <c r="Y429" s="65" t="s">
        <v>4</v>
      </c>
      <c r="Z429" s="65" t="s">
        <v>4</v>
      </c>
      <c r="AA429" s="65" t="s">
        <v>2863</v>
      </c>
    </row>
    <row r="430" spans="1:27" ht="17.45" hidden="1" customHeight="1">
      <c r="A430" s="100" t="str">
        <f>IF(priority(Main[[#This Row],[Comments]])&lt;&gt;0, priority(Main[[#This Row],[Comments]]),"")</f>
        <v/>
      </c>
      <c r="B430" s="77" t="s">
        <v>1369</v>
      </c>
      <c r="C430" s="65" t="s">
        <v>31</v>
      </c>
      <c r="D430" s="66" t="s">
        <v>461</v>
      </c>
      <c r="E430" s="67"/>
      <c r="F430" s="67"/>
      <c r="G430" s="64" t="str">
        <f>IF(stdProdLT(Main[[#This Row],[Comments]])=0.1,"N/A",IF(stdProdLT(Main[[#This Row],[Comments]])=0,"",stdProdLT(Main[[#This Row],[Comments]])))</f>
        <v/>
      </c>
      <c r="H430" s="68" t="str">
        <f>IF(AND(Main[[#This Row],[In Stock Date]]&lt;&gt;"",Main[[#This Row],[Revised Due Date]]&lt;&gt;""),Main[[#This Row],[In Stock Date]]-Main[[#This Row],[Revised Due Date]],"")</f>
        <v/>
      </c>
      <c r="I430" s="65" t="s">
        <v>4</v>
      </c>
      <c r="J430" s="65" t="s">
        <v>4</v>
      </c>
      <c r="K430" s="71" t="s">
        <v>4</v>
      </c>
      <c r="L430" s="67"/>
      <c r="M430" s="69" t="str">
        <f>IF(Main[[#This Row],[Tech Start Date]]&lt;1/1/1990,"",IF(Main[[#This Row],[Class]]="C",WORKDAY(Main[[#This Row],[Tech Start Date]],9),IF(Main[[#This Row],[Class]]="B", WORKDAY(Main[[#This Row],[Tech Start Date]],6),IF(Main[[#This Row],[Class]]="A",WORKDAY(Main[[#This Row],[Tech Start Date]],2),""))))</f>
        <v/>
      </c>
      <c r="N430" s="69" t="str">
        <f>IF(Main[[#This Row],[Tech Start Date]]&lt;1/1/1990,"",IF(Main[[#This Row],[Class]]="C",WORKDAY(Main[[#This Row],[Tech Start Date]],19),IF(Main[[#This Row],[Class]]="B", WORKDAY(Main[[#This Row],[Tech Start Date]],12),IF(Main[[#This Row],[Class]]="A",WORKDAY(Main[[#This Row],[Tech Start Date]],4),""))))</f>
        <v/>
      </c>
      <c r="O430" s="69" t="str">
        <f>IF(Main[[#This Row],[Tech Start Date]]&lt;1/1/1990,"",IF(Main[[#This Row],[Class]]="C",WORKDAY(Main[[#This Row],[Tech Start Date]],23),IF(Main[[#This Row],[Class]]="B", WORKDAY(Main[[#This Row],[Tech Start Date]],15),IF(Main[[#This Row],[Class]]="A",WORKDAY(Main[[#This Row],[Tech Start Date]],5),""))))</f>
        <v/>
      </c>
      <c r="P430" s="69" t="str">
        <f>IF(Main[[#This Row],[Tech Start Date]]&lt;1/1/1990,"",IF(Main[[#This Row],[Class]]="C",WORKDAY(Main[[#This Row],[Tech Start Date]],28),IF(Main[[#This Row],[Class]]="B", WORKDAY(Main[[#This Row],[Tech Start Date]],19),IF(Main[[#This Row],[Class]]="A",WORKDAY(Main[[#This Row],[Tech Start Date]],9),""))))</f>
        <v/>
      </c>
      <c r="Q430" s="67">
        <v>40318</v>
      </c>
      <c r="R430" s="67"/>
      <c r="S430" s="65" t="s">
        <v>11</v>
      </c>
      <c r="T430" s="70" t="s">
        <v>4</v>
      </c>
      <c r="U430" s="65" t="s">
        <v>14</v>
      </c>
      <c r="V430" s="65" t="s">
        <v>1917</v>
      </c>
      <c r="W430" s="65" t="s">
        <v>1916</v>
      </c>
      <c r="X430" s="65" t="s">
        <v>2830</v>
      </c>
      <c r="Y430" s="65" t="s">
        <v>4</v>
      </c>
      <c r="Z430" s="65" t="s">
        <v>4</v>
      </c>
      <c r="AA430" s="65" t="s">
        <v>2830</v>
      </c>
    </row>
    <row r="431" spans="1:27" ht="17.45" hidden="1" customHeight="1">
      <c r="A431" s="100" t="str">
        <f>IF(priority(Main[[#This Row],[Comments]])&lt;&gt;0, priority(Main[[#This Row],[Comments]]),"")</f>
        <v/>
      </c>
      <c r="B431" s="77" t="s">
        <v>1370</v>
      </c>
      <c r="C431" s="65" t="s">
        <v>31</v>
      </c>
      <c r="D431" s="66" t="s">
        <v>462</v>
      </c>
      <c r="E431" s="67">
        <v>40494.184537037036</v>
      </c>
      <c r="F431" s="67">
        <v>40546</v>
      </c>
      <c r="G431" s="64" t="str">
        <f>IF(stdProdLT(Main[[#This Row],[Comments]])=0.1,"N/A",IF(stdProdLT(Main[[#This Row],[Comments]])=0,"",stdProdLT(Main[[#This Row],[Comments]])))</f>
        <v/>
      </c>
      <c r="H431" s="68" t="str">
        <f>IF(AND(Main[[#This Row],[In Stock Date]]&lt;&gt;"",Main[[#This Row],[Revised Due Date]]&lt;&gt;""),Main[[#This Row],[In Stock Date]]-Main[[#This Row],[Revised Due Date]],"")</f>
        <v/>
      </c>
      <c r="I431" s="65" t="s">
        <v>4</v>
      </c>
      <c r="J431" s="65" t="s">
        <v>4</v>
      </c>
      <c r="K431" s="65" t="s">
        <v>4</v>
      </c>
      <c r="L431" s="67"/>
      <c r="M431" s="69" t="str">
        <f>IF(Main[[#This Row],[Tech Start Date]]&lt;1/1/1990,"",IF(Main[[#This Row],[Class]]="C",WORKDAY(Main[[#This Row],[Tech Start Date]],9),IF(Main[[#This Row],[Class]]="B", WORKDAY(Main[[#This Row],[Tech Start Date]],6),IF(Main[[#This Row],[Class]]="A",WORKDAY(Main[[#This Row],[Tech Start Date]],2),""))))</f>
        <v/>
      </c>
      <c r="N431" s="69" t="str">
        <f>IF(Main[[#This Row],[Tech Start Date]]&lt;1/1/1990,"",IF(Main[[#This Row],[Class]]="C",WORKDAY(Main[[#This Row],[Tech Start Date]],19),IF(Main[[#This Row],[Class]]="B", WORKDAY(Main[[#This Row],[Tech Start Date]],12),IF(Main[[#This Row],[Class]]="A",WORKDAY(Main[[#This Row],[Tech Start Date]],4),""))))</f>
        <v/>
      </c>
      <c r="O431" s="69" t="str">
        <f>IF(Main[[#This Row],[Tech Start Date]]&lt;1/1/1990,"",IF(Main[[#This Row],[Class]]="C",WORKDAY(Main[[#This Row],[Tech Start Date]],23),IF(Main[[#This Row],[Class]]="B", WORKDAY(Main[[#This Row],[Tech Start Date]],15),IF(Main[[#This Row],[Class]]="A",WORKDAY(Main[[#This Row],[Tech Start Date]],5),""))))</f>
        <v/>
      </c>
      <c r="P431" s="69" t="str">
        <f>IF(Main[[#This Row],[Tech Start Date]]&lt;1/1/1990,"",IF(Main[[#This Row],[Class]]="C",WORKDAY(Main[[#This Row],[Tech Start Date]],28),IF(Main[[#This Row],[Class]]="B", WORKDAY(Main[[#This Row],[Tech Start Date]],19),IF(Main[[#This Row],[Class]]="A",WORKDAY(Main[[#This Row],[Tech Start Date]],9),""))))</f>
        <v/>
      </c>
      <c r="Q431" s="67">
        <v>40527</v>
      </c>
      <c r="R431" s="67"/>
      <c r="S431" s="65" t="s">
        <v>17</v>
      </c>
      <c r="T431" s="70" t="s">
        <v>4</v>
      </c>
      <c r="U431" s="65" t="s">
        <v>7</v>
      </c>
      <c r="V431" s="65" t="s">
        <v>1917</v>
      </c>
      <c r="W431" s="65" t="s">
        <v>4</v>
      </c>
      <c r="X431" s="65" t="s">
        <v>2856</v>
      </c>
      <c r="Y431" s="65" t="s">
        <v>2997</v>
      </c>
      <c r="Z431" s="65" t="s">
        <v>4</v>
      </c>
      <c r="AA431" s="65" t="s">
        <v>2856</v>
      </c>
    </row>
    <row r="432" spans="1:27" ht="17.45" hidden="1" customHeight="1">
      <c r="A432" s="100" t="str">
        <f>IF(priority(Main[[#This Row],[Comments]])&lt;&gt;0, priority(Main[[#This Row],[Comments]]),"")</f>
        <v/>
      </c>
      <c r="B432" s="77" t="s">
        <v>1371</v>
      </c>
      <c r="C432" s="65" t="s">
        <v>4</v>
      </c>
      <c r="D432" s="66" t="s">
        <v>463</v>
      </c>
      <c r="E432" s="67"/>
      <c r="F432" s="67">
        <v>40374</v>
      </c>
      <c r="G432" s="64" t="str">
        <f>IF(stdProdLT(Main[[#This Row],[Comments]])=0.1,"N/A",IF(stdProdLT(Main[[#This Row],[Comments]])=0,"",stdProdLT(Main[[#This Row],[Comments]])))</f>
        <v/>
      </c>
      <c r="H432" s="68" t="str">
        <f>IF(AND(Main[[#This Row],[In Stock Date]]&lt;&gt;"",Main[[#This Row],[Revised Due Date]]&lt;&gt;""),Main[[#This Row],[In Stock Date]]-Main[[#This Row],[Revised Due Date]],"")</f>
        <v/>
      </c>
      <c r="I432" s="65" t="s">
        <v>4</v>
      </c>
      <c r="J432" s="65" t="s">
        <v>4</v>
      </c>
      <c r="K432" s="65" t="s">
        <v>4</v>
      </c>
      <c r="L432" s="67"/>
      <c r="M432" s="69" t="str">
        <f>IF(Main[[#This Row],[Tech Start Date]]&lt;1/1/1990,"",IF(Main[[#This Row],[Class]]="C",WORKDAY(Main[[#This Row],[Tech Start Date]],9),IF(Main[[#This Row],[Class]]="B", WORKDAY(Main[[#This Row],[Tech Start Date]],6),IF(Main[[#This Row],[Class]]="A",WORKDAY(Main[[#This Row],[Tech Start Date]],2),""))))</f>
        <v/>
      </c>
      <c r="N432" s="69" t="str">
        <f>IF(Main[[#This Row],[Tech Start Date]]&lt;1/1/1990,"",IF(Main[[#This Row],[Class]]="C",WORKDAY(Main[[#This Row],[Tech Start Date]],19),IF(Main[[#This Row],[Class]]="B", WORKDAY(Main[[#This Row],[Tech Start Date]],12),IF(Main[[#This Row],[Class]]="A",WORKDAY(Main[[#This Row],[Tech Start Date]],4),""))))</f>
        <v/>
      </c>
      <c r="O432" s="69" t="str">
        <f>IF(Main[[#This Row],[Tech Start Date]]&lt;1/1/1990,"",IF(Main[[#This Row],[Class]]="C",WORKDAY(Main[[#This Row],[Tech Start Date]],23),IF(Main[[#This Row],[Class]]="B", WORKDAY(Main[[#This Row],[Tech Start Date]],15),IF(Main[[#This Row],[Class]]="A",WORKDAY(Main[[#This Row],[Tech Start Date]],5),""))))</f>
        <v/>
      </c>
      <c r="P432" s="69" t="str">
        <f>IF(Main[[#This Row],[Tech Start Date]]&lt;1/1/1990,"",IF(Main[[#This Row],[Class]]="C",WORKDAY(Main[[#This Row],[Tech Start Date]],28),IF(Main[[#This Row],[Class]]="B", WORKDAY(Main[[#This Row],[Tech Start Date]],19),IF(Main[[#This Row],[Class]]="A",WORKDAY(Main[[#This Row],[Tech Start Date]],9),""))))</f>
        <v/>
      </c>
      <c r="Q432" s="67">
        <v>40297</v>
      </c>
      <c r="R432" s="67"/>
      <c r="S432" s="65" t="s">
        <v>11</v>
      </c>
      <c r="T432" s="70" t="s">
        <v>4</v>
      </c>
      <c r="U432" s="65" t="s">
        <v>12</v>
      </c>
      <c r="V432" s="65" t="s">
        <v>1914</v>
      </c>
      <c r="W432" s="65" t="s">
        <v>1922</v>
      </c>
      <c r="X432" s="65" t="s">
        <v>2824</v>
      </c>
      <c r="Y432" s="65" t="s">
        <v>2943</v>
      </c>
      <c r="Z432" s="65" t="s">
        <v>4</v>
      </c>
      <c r="AA432" s="65" t="s">
        <v>2824</v>
      </c>
    </row>
    <row r="433" spans="1:27" ht="17.45" hidden="1" customHeight="1">
      <c r="A433" s="100" t="str">
        <f>IF(priority(Main[[#This Row],[Comments]])&lt;&gt;0, priority(Main[[#This Row],[Comments]]),"")</f>
        <v/>
      </c>
      <c r="B433" s="77" t="s">
        <v>1372</v>
      </c>
      <c r="C433" s="65" t="s">
        <v>31</v>
      </c>
      <c r="D433" s="66" t="s">
        <v>464</v>
      </c>
      <c r="E433" s="67"/>
      <c r="F433" s="67">
        <v>40568</v>
      </c>
      <c r="G433" s="64" t="str">
        <f>IF(stdProdLT(Main[[#This Row],[Comments]])=0.1,"N/A",IF(stdProdLT(Main[[#This Row],[Comments]])=0,"",stdProdLT(Main[[#This Row],[Comments]])))</f>
        <v/>
      </c>
      <c r="H433" s="68" t="str">
        <f>IF(AND(Main[[#This Row],[In Stock Date]]&lt;&gt;"",Main[[#This Row],[Revised Due Date]]&lt;&gt;""),Main[[#This Row],[In Stock Date]]-Main[[#This Row],[Revised Due Date]],"")</f>
        <v/>
      </c>
      <c r="I433" s="65" t="s">
        <v>4</v>
      </c>
      <c r="J433" s="65" t="s">
        <v>51</v>
      </c>
      <c r="K433" s="65" t="s">
        <v>4</v>
      </c>
      <c r="L433" s="67"/>
      <c r="M433" s="69" t="str">
        <f>IF(Main[[#This Row],[Tech Start Date]]&lt;1/1/1990,"",IF(Main[[#This Row],[Class]]="C",WORKDAY(Main[[#This Row],[Tech Start Date]],9),IF(Main[[#This Row],[Class]]="B", WORKDAY(Main[[#This Row],[Tech Start Date]],6),IF(Main[[#This Row],[Class]]="A",WORKDAY(Main[[#This Row],[Tech Start Date]],2),""))))</f>
        <v/>
      </c>
      <c r="N433" s="69" t="str">
        <f>IF(Main[[#This Row],[Tech Start Date]]&lt;1/1/1990,"",IF(Main[[#This Row],[Class]]="C",WORKDAY(Main[[#This Row],[Tech Start Date]],19),IF(Main[[#This Row],[Class]]="B", WORKDAY(Main[[#This Row],[Tech Start Date]],12),IF(Main[[#This Row],[Class]]="A",WORKDAY(Main[[#This Row],[Tech Start Date]],4),""))))</f>
        <v/>
      </c>
      <c r="O433" s="69" t="str">
        <f>IF(Main[[#This Row],[Tech Start Date]]&lt;1/1/1990,"",IF(Main[[#This Row],[Class]]="C",WORKDAY(Main[[#This Row],[Tech Start Date]],23),IF(Main[[#This Row],[Class]]="B", WORKDAY(Main[[#This Row],[Tech Start Date]],15),IF(Main[[#This Row],[Class]]="A",WORKDAY(Main[[#This Row],[Tech Start Date]],5),""))))</f>
        <v/>
      </c>
      <c r="P433" s="69" t="str">
        <f>IF(Main[[#This Row],[Tech Start Date]]&lt;1/1/1990,"",IF(Main[[#This Row],[Class]]="C",WORKDAY(Main[[#This Row],[Tech Start Date]],28),IF(Main[[#This Row],[Class]]="B", WORKDAY(Main[[#This Row],[Tech Start Date]],19),IF(Main[[#This Row],[Class]]="A",WORKDAY(Main[[#This Row],[Tech Start Date]],9),""))))</f>
        <v/>
      </c>
      <c r="Q433" s="67">
        <v>40396</v>
      </c>
      <c r="R433" s="67"/>
      <c r="S433" s="65" t="s">
        <v>11</v>
      </c>
      <c r="T433" s="70" t="s">
        <v>4</v>
      </c>
      <c r="U433" s="65" t="s">
        <v>14</v>
      </c>
      <c r="V433" s="65" t="s">
        <v>1924</v>
      </c>
      <c r="W433" s="65" t="s">
        <v>1920</v>
      </c>
      <c r="X433" s="65" t="s">
        <v>2884</v>
      </c>
      <c r="Y433" s="65" t="s">
        <v>3037</v>
      </c>
      <c r="Z433" s="65" t="s">
        <v>883</v>
      </c>
      <c r="AA433" s="65" t="s">
        <v>2884</v>
      </c>
    </row>
    <row r="434" spans="1:27" ht="17.45" hidden="1" customHeight="1">
      <c r="A434" s="100" t="str">
        <f>IF(priority(Main[[#This Row],[Comments]])&lt;&gt;0, priority(Main[[#This Row],[Comments]]),"")</f>
        <v/>
      </c>
      <c r="B434" s="77" t="s">
        <v>1373</v>
      </c>
      <c r="C434" s="65" t="s">
        <v>465</v>
      </c>
      <c r="D434" s="66" t="s">
        <v>466</v>
      </c>
      <c r="E434" s="67"/>
      <c r="F434" s="67">
        <v>40179</v>
      </c>
      <c r="G434" s="64" t="str">
        <f>IF(stdProdLT(Main[[#This Row],[Comments]])=0.1,"N/A",IF(stdProdLT(Main[[#This Row],[Comments]])=0,"",stdProdLT(Main[[#This Row],[Comments]])))</f>
        <v/>
      </c>
      <c r="H434" s="68" t="str">
        <f>IF(AND(Main[[#This Row],[In Stock Date]]&lt;&gt;"",Main[[#This Row],[Revised Due Date]]&lt;&gt;""),Main[[#This Row],[In Stock Date]]-Main[[#This Row],[Revised Due Date]],"")</f>
        <v/>
      </c>
      <c r="I434" s="65" t="s">
        <v>4</v>
      </c>
      <c r="J434" s="65" t="s">
        <v>4</v>
      </c>
      <c r="K434" s="65" t="s">
        <v>4</v>
      </c>
      <c r="L434" s="67"/>
      <c r="M434" s="69" t="str">
        <f>IF(Main[[#This Row],[Tech Start Date]]&lt;1/1/1990,"",IF(Main[[#This Row],[Class]]="C",WORKDAY(Main[[#This Row],[Tech Start Date]],9),IF(Main[[#This Row],[Class]]="B", WORKDAY(Main[[#This Row],[Tech Start Date]],6),IF(Main[[#This Row],[Class]]="A",WORKDAY(Main[[#This Row],[Tech Start Date]],2),""))))</f>
        <v/>
      </c>
      <c r="N434" s="69" t="str">
        <f>IF(Main[[#This Row],[Tech Start Date]]&lt;1/1/1990,"",IF(Main[[#This Row],[Class]]="C",WORKDAY(Main[[#This Row],[Tech Start Date]],19),IF(Main[[#This Row],[Class]]="B", WORKDAY(Main[[#This Row],[Tech Start Date]],12),IF(Main[[#This Row],[Class]]="A",WORKDAY(Main[[#This Row],[Tech Start Date]],4),""))))</f>
        <v/>
      </c>
      <c r="O434" s="69" t="str">
        <f>IF(Main[[#This Row],[Tech Start Date]]&lt;1/1/1990,"",IF(Main[[#This Row],[Class]]="C",WORKDAY(Main[[#This Row],[Tech Start Date]],23),IF(Main[[#This Row],[Class]]="B", WORKDAY(Main[[#This Row],[Tech Start Date]],15),IF(Main[[#This Row],[Class]]="A",WORKDAY(Main[[#This Row],[Tech Start Date]],5),""))))</f>
        <v/>
      </c>
      <c r="P434" s="69" t="str">
        <f>IF(Main[[#This Row],[Tech Start Date]]&lt;1/1/1990,"",IF(Main[[#This Row],[Class]]="C",WORKDAY(Main[[#This Row],[Tech Start Date]],28),IF(Main[[#This Row],[Class]]="B", WORKDAY(Main[[#This Row],[Tech Start Date]],19),IF(Main[[#This Row],[Class]]="A",WORKDAY(Main[[#This Row],[Tech Start Date]],9),""))))</f>
        <v/>
      </c>
      <c r="Q434" s="67">
        <v>40154</v>
      </c>
      <c r="R434" s="67"/>
      <c r="S434" s="65" t="s">
        <v>11</v>
      </c>
      <c r="T434" s="70" t="s">
        <v>4</v>
      </c>
      <c r="U434" s="65" t="s">
        <v>14</v>
      </c>
      <c r="V434" s="65" t="s">
        <v>1917</v>
      </c>
      <c r="W434" s="65" t="s">
        <v>1920</v>
      </c>
      <c r="X434" s="65" t="s">
        <v>2863</v>
      </c>
      <c r="Y434" s="65" t="s">
        <v>4</v>
      </c>
      <c r="Z434" s="65" t="s">
        <v>4</v>
      </c>
      <c r="AA434" s="65" t="s">
        <v>2863</v>
      </c>
    </row>
    <row r="435" spans="1:27" ht="17.45" hidden="1" customHeight="1">
      <c r="A435" s="100" t="str">
        <f>IF(priority(Main[[#This Row],[Comments]])&lt;&gt;0, priority(Main[[#This Row],[Comments]]),"")</f>
        <v/>
      </c>
      <c r="B435" s="77" t="s">
        <v>1374</v>
      </c>
      <c r="C435" s="65" t="s">
        <v>4</v>
      </c>
      <c r="D435" s="66" t="s">
        <v>467</v>
      </c>
      <c r="E435" s="67">
        <v>40701.70579861111</v>
      </c>
      <c r="F435" s="67"/>
      <c r="G435" s="64" t="str">
        <f>IF(stdProdLT(Main[[#This Row],[Comments]])=0.1,"N/A",IF(stdProdLT(Main[[#This Row],[Comments]])=0,"",stdProdLT(Main[[#This Row],[Comments]])))</f>
        <v/>
      </c>
      <c r="H435" s="68" t="str">
        <f>IF(AND(Main[[#This Row],[In Stock Date]]&lt;&gt;"",Main[[#This Row],[Revised Due Date]]&lt;&gt;""),Main[[#This Row],[In Stock Date]]-Main[[#This Row],[Revised Due Date]],"")</f>
        <v/>
      </c>
      <c r="I435" s="65" t="s">
        <v>4</v>
      </c>
      <c r="J435" s="65" t="s">
        <v>4</v>
      </c>
      <c r="K435" s="71" t="s">
        <v>4</v>
      </c>
      <c r="L435" s="67"/>
      <c r="M435" s="69" t="str">
        <f>IF(Main[[#This Row],[Tech Start Date]]&lt;1/1/1990,"",IF(Main[[#This Row],[Class]]="C",WORKDAY(Main[[#This Row],[Tech Start Date]],9),IF(Main[[#This Row],[Class]]="B", WORKDAY(Main[[#This Row],[Tech Start Date]],6),IF(Main[[#This Row],[Class]]="A",WORKDAY(Main[[#This Row],[Tech Start Date]],2),""))))</f>
        <v/>
      </c>
      <c r="N435" s="69" t="str">
        <f>IF(Main[[#This Row],[Tech Start Date]]&lt;1/1/1990,"",IF(Main[[#This Row],[Class]]="C",WORKDAY(Main[[#This Row],[Tech Start Date]],19),IF(Main[[#This Row],[Class]]="B", WORKDAY(Main[[#This Row],[Tech Start Date]],12),IF(Main[[#This Row],[Class]]="A",WORKDAY(Main[[#This Row],[Tech Start Date]],4),""))))</f>
        <v/>
      </c>
      <c r="O435" s="69" t="str">
        <f>IF(Main[[#This Row],[Tech Start Date]]&lt;1/1/1990,"",IF(Main[[#This Row],[Class]]="C",WORKDAY(Main[[#This Row],[Tech Start Date]],23),IF(Main[[#This Row],[Class]]="B", WORKDAY(Main[[#This Row],[Tech Start Date]],15),IF(Main[[#This Row],[Class]]="A",WORKDAY(Main[[#This Row],[Tech Start Date]],5),""))))</f>
        <v/>
      </c>
      <c r="P435" s="69" t="str">
        <f>IF(Main[[#This Row],[Tech Start Date]]&lt;1/1/1990,"",IF(Main[[#This Row],[Class]]="C",WORKDAY(Main[[#This Row],[Tech Start Date]],28),IF(Main[[#This Row],[Class]]="B", WORKDAY(Main[[#This Row],[Tech Start Date]],19),IF(Main[[#This Row],[Class]]="A",WORKDAY(Main[[#This Row],[Tech Start Date]],9),""))))</f>
        <v/>
      </c>
      <c r="Q435" s="67">
        <v>40732</v>
      </c>
      <c r="R435" s="67"/>
      <c r="S435" s="65" t="s">
        <v>6</v>
      </c>
      <c r="T435" s="70" t="s">
        <v>4</v>
      </c>
      <c r="U435" s="65" t="s">
        <v>7</v>
      </c>
      <c r="V435" s="65" t="s">
        <v>1914</v>
      </c>
      <c r="W435" s="65" t="s">
        <v>4</v>
      </c>
      <c r="X435" s="65" t="s">
        <v>2819</v>
      </c>
      <c r="Y435" s="65" t="s">
        <v>2932</v>
      </c>
      <c r="Z435" s="65" t="s">
        <v>4</v>
      </c>
      <c r="AA435" s="65" t="s">
        <v>2819</v>
      </c>
    </row>
    <row r="436" spans="1:27" ht="17.45" hidden="1" customHeight="1">
      <c r="A436" s="100" t="str">
        <f>IF(priority(Main[[#This Row],[Comments]])&lt;&gt;0, priority(Main[[#This Row],[Comments]]),"")</f>
        <v/>
      </c>
      <c r="B436" s="77" t="s">
        <v>1780</v>
      </c>
      <c r="C436" s="65" t="s">
        <v>4</v>
      </c>
      <c r="D436" s="66" t="s">
        <v>848</v>
      </c>
      <c r="E436" s="67">
        <v>40611.493495370371</v>
      </c>
      <c r="F436" s="67"/>
      <c r="G436" s="64" t="str">
        <f>IF(stdProdLT(Main[[#This Row],[Comments]])=0.1,"N/A",IF(stdProdLT(Main[[#This Row],[Comments]])=0,"",stdProdLT(Main[[#This Row],[Comments]])))</f>
        <v/>
      </c>
      <c r="H436" s="68" t="str">
        <f>IF(AND(Main[[#This Row],[In Stock Date]]&lt;&gt;"",Main[[#This Row],[Revised Due Date]]&lt;&gt;""),Main[[#This Row],[In Stock Date]]-Main[[#This Row],[Revised Due Date]],"")</f>
        <v/>
      </c>
      <c r="I436" s="65" t="s">
        <v>4</v>
      </c>
      <c r="J436" s="65" t="s">
        <v>4</v>
      </c>
      <c r="K436" s="71" t="s">
        <v>4</v>
      </c>
      <c r="L436" s="67"/>
      <c r="M436" s="69" t="str">
        <f>IF(Main[[#This Row],[Tech Start Date]]&lt;1/1/1990,"",IF(Main[[#This Row],[Class]]="C",WORKDAY(Main[[#This Row],[Tech Start Date]],9),IF(Main[[#This Row],[Class]]="B", WORKDAY(Main[[#This Row],[Tech Start Date]],6),IF(Main[[#This Row],[Class]]="A",WORKDAY(Main[[#This Row],[Tech Start Date]],2),""))))</f>
        <v/>
      </c>
      <c r="N436" s="69" t="str">
        <f>IF(Main[[#This Row],[Tech Start Date]]&lt;1/1/1990,"",IF(Main[[#This Row],[Class]]="C",WORKDAY(Main[[#This Row],[Tech Start Date]],19),IF(Main[[#This Row],[Class]]="B", WORKDAY(Main[[#This Row],[Tech Start Date]],12),IF(Main[[#This Row],[Class]]="A",WORKDAY(Main[[#This Row],[Tech Start Date]],4),""))))</f>
        <v/>
      </c>
      <c r="O436" s="69" t="str">
        <f>IF(Main[[#This Row],[Tech Start Date]]&lt;1/1/1990,"",IF(Main[[#This Row],[Class]]="C",WORKDAY(Main[[#This Row],[Tech Start Date]],23),IF(Main[[#This Row],[Class]]="B", WORKDAY(Main[[#This Row],[Tech Start Date]],15),IF(Main[[#This Row],[Class]]="A",WORKDAY(Main[[#This Row],[Tech Start Date]],5),""))))</f>
        <v/>
      </c>
      <c r="P436" s="69" t="str">
        <f>IF(Main[[#This Row],[Tech Start Date]]&lt;1/1/1990,"",IF(Main[[#This Row],[Class]]="C",WORKDAY(Main[[#This Row],[Tech Start Date]],28),IF(Main[[#This Row],[Class]]="B", WORKDAY(Main[[#This Row],[Tech Start Date]],19),IF(Main[[#This Row],[Class]]="A",WORKDAY(Main[[#This Row],[Tech Start Date]],9),""))))</f>
        <v/>
      </c>
      <c r="Q436" s="67">
        <v>40725</v>
      </c>
      <c r="R436" s="67"/>
      <c r="S436" s="65" t="s">
        <v>17</v>
      </c>
      <c r="T436" s="70" t="s">
        <v>4</v>
      </c>
      <c r="U436" s="65" t="s">
        <v>7</v>
      </c>
      <c r="V436" s="65" t="s">
        <v>1917</v>
      </c>
      <c r="W436" s="65" t="s">
        <v>1919</v>
      </c>
      <c r="X436" s="65" t="s">
        <v>553</v>
      </c>
      <c r="Y436" s="65" t="s">
        <v>2952</v>
      </c>
      <c r="Z436" s="65" t="s">
        <v>4</v>
      </c>
      <c r="AA436" s="65" t="s">
        <v>553</v>
      </c>
    </row>
    <row r="437" spans="1:27" ht="17.45" hidden="1" customHeight="1">
      <c r="A437" s="100" t="str">
        <f>IF(priority(Main[[#This Row],[Comments]])&lt;&gt;0, priority(Main[[#This Row],[Comments]]),"")</f>
        <v/>
      </c>
      <c r="B437" s="77" t="s">
        <v>1777</v>
      </c>
      <c r="C437" s="65" t="s">
        <v>4</v>
      </c>
      <c r="D437" s="66" t="s">
        <v>845</v>
      </c>
      <c r="E437" s="67"/>
      <c r="F437" s="67"/>
      <c r="G437" s="64" t="str">
        <f>IF(stdProdLT(Main[[#This Row],[Comments]])=0.1,"N/A",IF(stdProdLT(Main[[#This Row],[Comments]])=0,"",stdProdLT(Main[[#This Row],[Comments]])))</f>
        <v/>
      </c>
      <c r="H437" s="68" t="str">
        <f>IF(AND(Main[[#This Row],[In Stock Date]]&lt;&gt;"",Main[[#This Row],[Revised Due Date]]&lt;&gt;""),Main[[#This Row],[In Stock Date]]-Main[[#This Row],[Revised Due Date]],"")</f>
        <v/>
      </c>
      <c r="I437" s="65" t="s">
        <v>2044</v>
      </c>
      <c r="J437" s="65" t="s">
        <v>28</v>
      </c>
      <c r="K437" s="65" t="s">
        <v>1923</v>
      </c>
      <c r="L437" s="67"/>
      <c r="M437" s="69" t="str">
        <f>IF(Main[[#This Row],[Tech Start Date]]&lt;1/1/1990,"",IF(Main[[#This Row],[Class]]="C",WORKDAY(Main[[#This Row],[Tech Start Date]],9),IF(Main[[#This Row],[Class]]="B", WORKDAY(Main[[#This Row],[Tech Start Date]],6),IF(Main[[#This Row],[Class]]="A",WORKDAY(Main[[#This Row],[Tech Start Date]],2),""))))</f>
        <v/>
      </c>
      <c r="N437" s="69" t="str">
        <f>IF(Main[[#This Row],[Tech Start Date]]&lt;1/1/1990,"",IF(Main[[#This Row],[Class]]="C",WORKDAY(Main[[#This Row],[Tech Start Date]],19),IF(Main[[#This Row],[Class]]="B", WORKDAY(Main[[#This Row],[Tech Start Date]],12),IF(Main[[#This Row],[Class]]="A",WORKDAY(Main[[#This Row],[Tech Start Date]],4),""))))</f>
        <v/>
      </c>
      <c r="O437" s="69" t="str">
        <f>IF(Main[[#This Row],[Tech Start Date]]&lt;1/1/1990,"",IF(Main[[#This Row],[Class]]="C",WORKDAY(Main[[#This Row],[Tech Start Date]],23),IF(Main[[#This Row],[Class]]="B", WORKDAY(Main[[#This Row],[Tech Start Date]],15),IF(Main[[#This Row],[Class]]="A",WORKDAY(Main[[#This Row],[Tech Start Date]],5),""))))</f>
        <v/>
      </c>
      <c r="P437" s="69" t="str">
        <f>IF(Main[[#This Row],[Tech Start Date]]&lt;1/1/1990,"",IF(Main[[#This Row],[Class]]="C",WORKDAY(Main[[#This Row],[Tech Start Date]],28),IF(Main[[#This Row],[Class]]="B", WORKDAY(Main[[#This Row],[Tech Start Date]],19),IF(Main[[#This Row],[Class]]="A",WORKDAY(Main[[#This Row],[Tech Start Date]],9),""))))</f>
        <v/>
      </c>
      <c r="Q437" s="67">
        <v>40694</v>
      </c>
      <c r="R437" s="67"/>
      <c r="S437" s="65" t="s">
        <v>6</v>
      </c>
      <c r="T437" s="70" t="s">
        <v>4</v>
      </c>
      <c r="U437" s="65" t="s">
        <v>14</v>
      </c>
      <c r="V437" s="65" t="s">
        <v>1917</v>
      </c>
      <c r="W437" s="65" t="s">
        <v>1918</v>
      </c>
      <c r="X437" s="65" t="s">
        <v>2819</v>
      </c>
      <c r="Y437" s="65" t="s">
        <v>2932</v>
      </c>
      <c r="Z437" s="65" t="s">
        <v>30</v>
      </c>
      <c r="AA437" s="65" t="s">
        <v>2819</v>
      </c>
    </row>
    <row r="438" spans="1:27" ht="17.45" hidden="1" customHeight="1">
      <c r="A438" s="100" t="str">
        <f>IF(priority(Main[[#This Row],[Comments]])&lt;&gt;0, priority(Main[[#This Row],[Comments]]),"")</f>
        <v/>
      </c>
      <c r="B438" s="77" t="s">
        <v>1375</v>
      </c>
      <c r="C438" s="65" t="s">
        <v>99</v>
      </c>
      <c r="D438" s="66" t="s">
        <v>100</v>
      </c>
      <c r="E438" s="67"/>
      <c r="F438" s="67"/>
      <c r="G438" s="64" t="str">
        <f>IF(stdProdLT(Main[[#This Row],[Comments]])=0.1,"N/A",IF(stdProdLT(Main[[#This Row],[Comments]])=0,"",stdProdLT(Main[[#This Row],[Comments]])))</f>
        <v/>
      </c>
      <c r="H438" s="68" t="str">
        <f>IF(AND(Main[[#This Row],[In Stock Date]]&lt;&gt;"",Main[[#This Row],[Revised Due Date]]&lt;&gt;""),Main[[#This Row],[In Stock Date]]-Main[[#This Row],[Revised Due Date]],"")</f>
        <v/>
      </c>
      <c r="I438" s="65" t="s">
        <v>4</v>
      </c>
      <c r="J438" s="65" t="s">
        <v>4</v>
      </c>
      <c r="K438" s="65" t="s">
        <v>4</v>
      </c>
      <c r="L438" s="67"/>
      <c r="M438" s="69" t="str">
        <f>IF(Main[[#This Row],[Tech Start Date]]&lt;1/1/1990,"",IF(Main[[#This Row],[Class]]="C",WORKDAY(Main[[#This Row],[Tech Start Date]],9),IF(Main[[#This Row],[Class]]="B", WORKDAY(Main[[#This Row],[Tech Start Date]],6),IF(Main[[#This Row],[Class]]="A",WORKDAY(Main[[#This Row],[Tech Start Date]],2),""))))</f>
        <v/>
      </c>
      <c r="N438" s="69" t="str">
        <f>IF(Main[[#This Row],[Tech Start Date]]&lt;1/1/1990,"",IF(Main[[#This Row],[Class]]="C",WORKDAY(Main[[#This Row],[Tech Start Date]],19),IF(Main[[#This Row],[Class]]="B", WORKDAY(Main[[#This Row],[Tech Start Date]],12),IF(Main[[#This Row],[Class]]="A",WORKDAY(Main[[#This Row],[Tech Start Date]],4),""))))</f>
        <v/>
      </c>
      <c r="O438" s="69" t="str">
        <f>IF(Main[[#This Row],[Tech Start Date]]&lt;1/1/1990,"",IF(Main[[#This Row],[Class]]="C",WORKDAY(Main[[#This Row],[Tech Start Date]],23),IF(Main[[#This Row],[Class]]="B", WORKDAY(Main[[#This Row],[Tech Start Date]],15),IF(Main[[#This Row],[Class]]="A",WORKDAY(Main[[#This Row],[Tech Start Date]],5),""))))</f>
        <v/>
      </c>
      <c r="P438" s="69" t="str">
        <f>IF(Main[[#This Row],[Tech Start Date]]&lt;1/1/1990,"",IF(Main[[#This Row],[Class]]="C",WORKDAY(Main[[#This Row],[Tech Start Date]],28),IF(Main[[#This Row],[Class]]="B", WORKDAY(Main[[#This Row],[Tech Start Date]],19),IF(Main[[#This Row],[Class]]="A",WORKDAY(Main[[#This Row],[Tech Start Date]],9),""))))</f>
        <v/>
      </c>
      <c r="Q438" s="67"/>
      <c r="R438" s="67"/>
      <c r="S438" s="65" t="s">
        <v>11</v>
      </c>
      <c r="T438" s="70" t="s">
        <v>4</v>
      </c>
      <c r="U438" s="65" t="s">
        <v>14</v>
      </c>
      <c r="V438" s="65" t="s">
        <v>1915</v>
      </c>
      <c r="W438" s="65" t="s">
        <v>1916</v>
      </c>
      <c r="X438" s="65" t="s">
        <v>2834</v>
      </c>
      <c r="Y438" s="65" t="s">
        <v>2960</v>
      </c>
      <c r="Z438" s="65" t="s">
        <v>4</v>
      </c>
      <c r="AA438" s="65" t="s">
        <v>3385</v>
      </c>
    </row>
    <row r="439" spans="1:27" ht="17.45" hidden="1" customHeight="1">
      <c r="A439" s="100" t="str">
        <f>IF(priority(Main[[#This Row],[Comments]])&lt;&gt;0, priority(Main[[#This Row],[Comments]]),"")</f>
        <v/>
      </c>
      <c r="B439" s="77" t="s">
        <v>1376</v>
      </c>
      <c r="C439" s="65" t="s">
        <v>4</v>
      </c>
      <c r="D439" s="66" t="s">
        <v>295</v>
      </c>
      <c r="E439" s="67"/>
      <c r="F439" s="67"/>
      <c r="G439" s="64" t="str">
        <f>IF(stdProdLT(Main[[#This Row],[Comments]])=0.1,"N/A",IF(stdProdLT(Main[[#This Row],[Comments]])=0,"",stdProdLT(Main[[#This Row],[Comments]])))</f>
        <v/>
      </c>
      <c r="H439" s="68" t="str">
        <f>IF(AND(Main[[#This Row],[In Stock Date]]&lt;&gt;"",Main[[#This Row],[Revised Due Date]]&lt;&gt;""),Main[[#This Row],[In Stock Date]]-Main[[#This Row],[Revised Due Date]],"")</f>
        <v/>
      </c>
      <c r="I439" s="65" t="s">
        <v>4</v>
      </c>
      <c r="J439" s="65" t="s">
        <v>4</v>
      </c>
      <c r="K439" s="65" t="s">
        <v>4</v>
      </c>
      <c r="L439" s="67"/>
      <c r="M439" s="69" t="str">
        <f>IF(Main[[#This Row],[Tech Start Date]]&lt;1/1/1990,"",IF(Main[[#This Row],[Class]]="C",WORKDAY(Main[[#This Row],[Tech Start Date]],9),IF(Main[[#This Row],[Class]]="B", WORKDAY(Main[[#This Row],[Tech Start Date]],6),IF(Main[[#This Row],[Class]]="A",WORKDAY(Main[[#This Row],[Tech Start Date]],2),""))))</f>
        <v/>
      </c>
      <c r="N439" s="69" t="str">
        <f>IF(Main[[#This Row],[Tech Start Date]]&lt;1/1/1990,"",IF(Main[[#This Row],[Class]]="C",WORKDAY(Main[[#This Row],[Tech Start Date]],19),IF(Main[[#This Row],[Class]]="B", WORKDAY(Main[[#This Row],[Tech Start Date]],12),IF(Main[[#This Row],[Class]]="A",WORKDAY(Main[[#This Row],[Tech Start Date]],4),""))))</f>
        <v/>
      </c>
      <c r="O439" s="69" t="str">
        <f>IF(Main[[#This Row],[Tech Start Date]]&lt;1/1/1990,"",IF(Main[[#This Row],[Class]]="C",WORKDAY(Main[[#This Row],[Tech Start Date]],23),IF(Main[[#This Row],[Class]]="B", WORKDAY(Main[[#This Row],[Tech Start Date]],15),IF(Main[[#This Row],[Class]]="A",WORKDAY(Main[[#This Row],[Tech Start Date]],5),""))))</f>
        <v/>
      </c>
      <c r="P439" s="69" t="str">
        <f>IF(Main[[#This Row],[Tech Start Date]]&lt;1/1/1990,"",IF(Main[[#This Row],[Class]]="C",WORKDAY(Main[[#This Row],[Tech Start Date]],28),IF(Main[[#This Row],[Class]]="B", WORKDAY(Main[[#This Row],[Tech Start Date]],19),IF(Main[[#This Row],[Class]]="A",WORKDAY(Main[[#This Row],[Tech Start Date]],9),""))))</f>
        <v/>
      </c>
      <c r="Q439" s="67">
        <v>40471</v>
      </c>
      <c r="R439" s="67"/>
      <c r="S439" s="65" t="s">
        <v>296</v>
      </c>
      <c r="T439" s="70" t="s">
        <v>4</v>
      </c>
      <c r="U439" s="65" t="s">
        <v>14</v>
      </c>
      <c r="V439" s="65" t="s">
        <v>1924</v>
      </c>
      <c r="W439" s="65" t="s">
        <v>1916</v>
      </c>
      <c r="X439" s="65" t="s">
        <v>2847</v>
      </c>
      <c r="Y439" s="65" t="s">
        <v>2978</v>
      </c>
      <c r="Z439" s="65" t="s">
        <v>4</v>
      </c>
      <c r="AA439" s="65" t="s">
        <v>2847</v>
      </c>
    </row>
    <row r="440" spans="1:27" ht="17.45" hidden="1" customHeight="1">
      <c r="A440" s="100" t="str">
        <f>IF(priority(Main[[#This Row],[Comments]])&lt;&gt;0, priority(Main[[#This Row],[Comments]]),"")</f>
        <v/>
      </c>
      <c r="B440" s="77" t="s">
        <v>1377</v>
      </c>
      <c r="C440" s="65" t="s">
        <v>4</v>
      </c>
      <c r="D440" s="66" t="s">
        <v>468</v>
      </c>
      <c r="E440" s="67">
        <v>40422.514918981484</v>
      </c>
      <c r="F440" s="67"/>
      <c r="G440" s="64" t="str">
        <f>IF(stdProdLT(Main[[#This Row],[Comments]])=0.1,"N/A",IF(stdProdLT(Main[[#This Row],[Comments]])=0,"",stdProdLT(Main[[#This Row],[Comments]])))</f>
        <v/>
      </c>
      <c r="H440" s="68" t="str">
        <f>IF(AND(Main[[#This Row],[In Stock Date]]&lt;&gt;"",Main[[#This Row],[Revised Due Date]]&lt;&gt;""),Main[[#This Row],[In Stock Date]]-Main[[#This Row],[Revised Due Date]],"")</f>
        <v/>
      </c>
      <c r="I440" s="65" t="s">
        <v>4</v>
      </c>
      <c r="J440" s="65" t="s">
        <v>28</v>
      </c>
      <c r="K440" s="71" t="s">
        <v>4</v>
      </c>
      <c r="L440" s="67"/>
      <c r="M440" s="69" t="str">
        <f>IF(Main[[#This Row],[Tech Start Date]]&lt;1/1/1990,"",IF(Main[[#This Row],[Class]]="C",WORKDAY(Main[[#This Row],[Tech Start Date]],9),IF(Main[[#This Row],[Class]]="B", WORKDAY(Main[[#This Row],[Tech Start Date]],6),IF(Main[[#This Row],[Class]]="A",WORKDAY(Main[[#This Row],[Tech Start Date]],2),""))))</f>
        <v/>
      </c>
      <c r="N440" s="69" t="str">
        <f>IF(Main[[#This Row],[Tech Start Date]]&lt;1/1/1990,"",IF(Main[[#This Row],[Class]]="C",WORKDAY(Main[[#This Row],[Tech Start Date]],19),IF(Main[[#This Row],[Class]]="B", WORKDAY(Main[[#This Row],[Tech Start Date]],12),IF(Main[[#This Row],[Class]]="A",WORKDAY(Main[[#This Row],[Tech Start Date]],4),""))))</f>
        <v/>
      </c>
      <c r="O440" s="69" t="str">
        <f>IF(Main[[#This Row],[Tech Start Date]]&lt;1/1/1990,"",IF(Main[[#This Row],[Class]]="C",WORKDAY(Main[[#This Row],[Tech Start Date]],23),IF(Main[[#This Row],[Class]]="B", WORKDAY(Main[[#This Row],[Tech Start Date]],15),IF(Main[[#This Row],[Class]]="A",WORKDAY(Main[[#This Row],[Tech Start Date]],5),""))))</f>
        <v/>
      </c>
      <c r="P440" s="69" t="str">
        <f>IF(Main[[#This Row],[Tech Start Date]]&lt;1/1/1990,"",IF(Main[[#This Row],[Class]]="C",WORKDAY(Main[[#This Row],[Tech Start Date]],28),IF(Main[[#This Row],[Class]]="B", WORKDAY(Main[[#This Row],[Tech Start Date]],19),IF(Main[[#This Row],[Class]]="A",WORKDAY(Main[[#This Row],[Tech Start Date]],9),""))))</f>
        <v/>
      </c>
      <c r="Q440" s="67">
        <v>40455</v>
      </c>
      <c r="R440" s="67"/>
      <c r="S440" s="65" t="s">
        <v>6</v>
      </c>
      <c r="T440" s="70" t="s">
        <v>4</v>
      </c>
      <c r="U440" s="65" t="s">
        <v>7</v>
      </c>
      <c r="V440" s="65" t="s">
        <v>1914</v>
      </c>
      <c r="W440" s="65" t="s">
        <v>1918</v>
      </c>
      <c r="X440" s="65" t="s">
        <v>2818</v>
      </c>
      <c r="Y440" s="65" t="s">
        <v>2929</v>
      </c>
      <c r="Z440" s="65" t="s">
        <v>129</v>
      </c>
      <c r="AA440" s="65" t="s">
        <v>2818</v>
      </c>
    </row>
    <row r="441" spans="1:27" ht="17.45" hidden="1" customHeight="1">
      <c r="A441" s="100" t="str">
        <f>IF(priority(Main[[#This Row],[Comments]])&lt;&gt;0, priority(Main[[#This Row],[Comments]]),"")</f>
        <v/>
      </c>
      <c r="B441" s="77" t="s">
        <v>1378</v>
      </c>
      <c r="C441" s="65" t="s">
        <v>137</v>
      </c>
      <c r="D441" s="66" t="s">
        <v>136</v>
      </c>
      <c r="E441" s="67"/>
      <c r="F441" s="67">
        <v>40787</v>
      </c>
      <c r="G441" s="64" t="str">
        <f>IF(stdProdLT(Main[[#This Row],[Comments]])=0.1,"N/A",IF(stdProdLT(Main[[#This Row],[Comments]])=0,"",stdProdLT(Main[[#This Row],[Comments]])))</f>
        <v/>
      </c>
      <c r="H441" s="68" t="str">
        <f>IF(AND(Main[[#This Row],[In Stock Date]]&lt;&gt;"",Main[[#This Row],[Revised Due Date]]&lt;&gt;""),Main[[#This Row],[In Stock Date]]-Main[[#This Row],[Revised Due Date]],"")</f>
        <v/>
      </c>
      <c r="I441" s="65" t="s">
        <v>4</v>
      </c>
      <c r="J441" s="65" t="s">
        <v>4</v>
      </c>
      <c r="K441" s="65" t="s">
        <v>4</v>
      </c>
      <c r="L441" s="67"/>
      <c r="M441" s="69" t="str">
        <f>IF(Main[[#This Row],[Tech Start Date]]&lt;1/1/1990,"",IF(Main[[#This Row],[Class]]="C",WORKDAY(Main[[#This Row],[Tech Start Date]],9),IF(Main[[#This Row],[Class]]="B", WORKDAY(Main[[#This Row],[Tech Start Date]],6),IF(Main[[#This Row],[Class]]="A",WORKDAY(Main[[#This Row],[Tech Start Date]],2),""))))</f>
        <v/>
      </c>
      <c r="N441" s="69" t="str">
        <f>IF(Main[[#This Row],[Tech Start Date]]&lt;1/1/1990,"",IF(Main[[#This Row],[Class]]="C",WORKDAY(Main[[#This Row],[Tech Start Date]],19),IF(Main[[#This Row],[Class]]="B", WORKDAY(Main[[#This Row],[Tech Start Date]],12),IF(Main[[#This Row],[Class]]="A",WORKDAY(Main[[#This Row],[Tech Start Date]],4),""))))</f>
        <v/>
      </c>
      <c r="O441" s="69" t="str">
        <f>IF(Main[[#This Row],[Tech Start Date]]&lt;1/1/1990,"",IF(Main[[#This Row],[Class]]="C",WORKDAY(Main[[#This Row],[Tech Start Date]],23),IF(Main[[#This Row],[Class]]="B", WORKDAY(Main[[#This Row],[Tech Start Date]],15),IF(Main[[#This Row],[Class]]="A",WORKDAY(Main[[#This Row],[Tech Start Date]],5),""))))</f>
        <v/>
      </c>
      <c r="P441" s="69" t="str">
        <f>IF(Main[[#This Row],[Tech Start Date]]&lt;1/1/1990,"",IF(Main[[#This Row],[Class]]="C",WORKDAY(Main[[#This Row],[Tech Start Date]],28),IF(Main[[#This Row],[Class]]="B", WORKDAY(Main[[#This Row],[Tech Start Date]],19),IF(Main[[#This Row],[Class]]="A",WORKDAY(Main[[#This Row],[Tech Start Date]],9),""))))</f>
        <v/>
      </c>
      <c r="Q441" s="67"/>
      <c r="R441" s="67"/>
      <c r="S441" s="65" t="s">
        <v>11</v>
      </c>
      <c r="T441" s="70" t="s">
        <v>4</v>
      </c>
      <c r="U441" s="65" t="s">
        <v>14</v>
      </c>
      <c r="V441" s="65" t="s">
        <v>1914</v>
      </c>
      <c r="W441" s="65" t="s">
        <v>1920</v>
      </c>
      <c r="X441" s="65" t="s">
        <v>50</v>
      </c>
      <c r="Y441" s="65" t="s">
        <v>3038</v>
      </c>
      <c r="Z441" s="65" t="s">
        <v>4</v>
      </c>
      <c r="AA441" s="65" t="s">
        <v>2839</v>
      </c>
    </row>
    <row r="442" spans="1:27" ht="17.45" hidden="1" customHeight="1">
      <c r="A442" s="100" t="str">
        <f>IF(priority(Main[[#This Row],[Comments]])&lt;&gt;0, priority(Main[[#This Row],[Comments]]),"")</f>
        <v/>
      </c>
      <c r="B442" s="77" t="s">
        <v>1379</v>
      </c>
      <c r="C442" s="65" t="s">
        <v>4</v>
      </c>
      <c r="D442" s="66" t="s">
        <v>469</v>
      </c>
      <c r="E442" s="67">
        <v>40704.209918981483</v>
      </c>
      <c r="F442" s="67"/>
      <c r="G442" s="64" t="str">
        <f>IF(stdProdLT(Main[[#This Row],[Comments]])=0.1,"N/A",IF(stdProdLT(Main[[#This Row],[Comments]])=0,"",stdProdLT(Main[[#This Row],[Comments]])))</f>
        <v/>
      </c>
      <c r="H442" s="68" t="str">
        <f>IF(AND(Main[[#This Row],[In Stock Date]]&lt;&gt;"",Main[[#This Row],[Revised Due Date]]&lt;&gt;""),Main[[#This Row],[In Stock Date]]-Main[[#This Row],[Revised Due Date]],"")</f>
        <v/>
      </c>
      <c r="I442" s="65" t="s">
        <v>4</v>
      </c>
      <c r="J442" s="65" t="s">
        <v>4</v>
      </c>
      <c r="K442" s="65" t="s">
        <v>4</v>
      </c>
      <c r="L442" s="67"/>
      <c r="M442" s="69" t="str">
        <f>IF(Main[[#This Row],[Tech Start Date]]&lt;1/1/1990,"",IF(Main[[#This Row],[Class]]="C",WORKDAY(Main[[#This Row],[Tech Start Date]],9),IF(Main[[#This Row],[Class]]="B", WORKDAY(Main[[#This Row],[Tech Start Date]],6),IF(Main[[#This Row],[Class]]="A",WORKDAY(Main[[#This Row],[Tech Start Date]],2),""))))</f>
        <v/>
      </c>
      <c r="N442" s="69" t="str">
        <f>IF(Main[[#This Row],[Tech Start Date]]&lt;1/1/1990,"",IF(Main[[#This Row],[Class]]="C",WORKDAY(Main[[#This Row],[Tech Start Date]],19),IF(Main[[#This Row],[Class]]="B", WORKDAY(Main[[#This Row],[Tech Start Date]],12),IF(Main[[#This Row],[Class]]="A",WORKDAY(Main[[#This Row],[Tech Start Date]],4),""))))</f>
        <v/>
      </c>
      <c r="O442" s="69" t="str">
        <f>IF(Main[[#This Row],[Tech Start Date]]&lt;1/1/1990,"",IF(Main[[#This Row],[Class]]="C",WORKDAY(Main[[#This Row],[Tech Start Date]],23),IF(Main[[#This Row],[Class]]="B", WORKDAY(Main[[#This Row],[Tech Start Date]],15),IF(Main[[#This Row],[Class]]="A",WORKDAY(Main[[#This Row],[Tech Start Date]],5),""))))</f>
        <v/>
      </c>
      <c r="P442" s="69" t="str">
        <f>IF(Main[[#This Row],[Tech Start Date]]&lt;1/1/1990,"",IF(Main[[#This Row],[Class]]="C",WORKDAY(Main[[#This Row],[Tech Start Date]],28),IF(Main[[#This Row],[Class]]="B", WORKDAY(Main[[#This Row],[Tech Start Date]],19),IF(Main[[#This Row],[Class]]="A",WORKDAY(Main[[#This Row],[Tech Start Date]],9),""))))</f>
        <v/>
      </c>
      <c r="Q442" s="67">
        <v>40725</v>
      </c>
      <c r="R442" s="67"/>
      <c r="S442" s="65" t="s">
        <v>6</v>
      </c>
      <c r="T442" s="70" t="s">
        <v>4</v>
      </c>
      <c r="U442" s="65" t="s">
        <v>7</v>
      </c>
      <c r="V442" s="65" t="s">
        <v>1914</v>
      </c>
      <c r="W442" s="65" t="s">
        <v>4</v>
      </c>
      <c r="X442" s="65" t="s">
        <v>2851</v>
      </c>
      <c r="Y442" s="65" t="s">
        <v>2986</v>
      </c>
      <c r="Z442" s="65" t="s">
        <v>4</v>
      </c>
      <c r="AA442" s="65" t="s">
        <v>2851</v>
      </c>
    </row>
    <row r="443" spans="1:27" ht="17.45" hidden="1" customHeight="1">
      <c r="A443" s="100" t="str">
        <f>IF(priority(Main[[#This Row],[Comments]])&lt;&gt;0, priority(Main[[#This Row],[Comments]]),"")</f>
        <v/>
      </c>
      <c r="B443" s="77" t="s">
        <v>1380</v>
      </c>
      <c r="C443" s="65" t="s">
        <v>31</v>
      </c>
      <c r="D443" s="66" t="s">
        <v>470</v>
      </c>
      <c r="E443" s="67"/>
      <c r="F443" s="67">
        <v>40230</v>
      </c>
      <c r="G443" s="64" t="str">
        <f>IF(stdProdLT(Main[[#This Row],[Comments]])=0.1,"N/A",IF(stdProdLT(Main[[#This Row],[Comments]])=0,"",stdProdLT(Main[[#This Row],[Comments]])))</f>
        <v/>
      </c>
      <c r="H443" s="68" t="str">
        <f>IF(AND(Main[[#This Row],[In Stock Date]]&lt;&gt;"",Main[[#This Row],[Revised Due Date]]&lt;&gt;""),Main[[#This Row],[In Stock Date]]-Main[[#This Row],[Revised Due Date]],"")</f>
        <v/>
      </c>
      <c r="I443" s="65" t="s">
        <v>4</v>
      </c>
      <c r="J443" s="65" t="s">
        <v>4</v>
      </c>
      <c r="K443" s="65" t="s">
        <v>4</v>
      </c>
      <c r="L443" s="67"/>
      <c r="M443" s="69" t="str">
        <f>IF(Main[[#This Row],[Tech Start Date]]&lt;1/1/1990,"",IF(Main[[#This Row],[Class]]="C",WORKDAY(Main[[#This Row],[Tech Start Date]],9),IF(Main[[#This Row],[Class]]="B", WORKDAY(Main[[#This Row],[Tech Start Date]],6),IF(Main[[#This Row],[Class]]="A",WORKDAY(Main[[#This Row],[Tech Start Date]],2),""))))</f>
        <v/>
      </c>
      <c r="N443" s="69" t="str">
        <f>IF(Main[[#This Row],[Tech Start Date]]&lt;1/1/1990,"",IF(Main[[#This Row],[Class]]="C",WORKDAY(Main[[#This Row],[Tech Start Date]],19),IF(Main[[#This Row],[Class]]="B", WORKDAY(Main[[#This Row],[Tech Start Date]],12),IF(Main[[#This Row],[Class]]="A",WORKDAY(Main[[#This Row],[Tech Start Date]],4),""))))</f>
        <v/>
      </c>
      <c r="O443" s="69" t="str">
        <f>IF(Main[[#This Row],[Tech Start Date]]&lt;1/1/1990,"",IF(Main[[#This Row],[Class]]="C",WORKDAY(Main[[#This Row],[Tech Start Date]],23),IF(Main[[#This Row],[Class]]="B", WORKDAY(Main[[#This Row],[Tech Start Date]],15),IF(Main[[#This Row],[Class]]="A",WORKDAY(Main[[#This Row],[Tech Start Date]],5),""))))</f>
        <v/>
      </c>
      <c r="P443" s="69" t="str">
        <f>IF(Main[[#This Row],[Tech Start Date]]&lt;1/1/1990,"",IF(Main[[#This Row],[Class]]="C",WORKDAY(Main[[#This Row],[Tech Start Date]],28),IF(Main[[#This Row],[Class]]="B", WORKDAY(Main[[#This Row],[Tech Start Date]],19),IF(Main[[#This Row],[Class]]="A",WORKDAY(Main[[#This Row],[Tech Start Date]],9),""))))</f>
        <v/>
      </c>
      <c r="Q443" s="67">
        <v>40235</v>
      </c>
      <c r="R443" s="67"/>
      <c r="S443" s="65" t="s">
        <v>11</v>
      </c>
      <c r="T443" s="70" t="s">
        <v>4</v>
      </c>
      <c r="U443" s="65" t="s">
        <v>14</v>
      </c>
      <c r="V443" s="65" t="s">
        <v>1915</v>
      </c>
      <c r="W443" s="65" t="s">
        <v>1922</v>
      </c>
      <c r="X443" s="65" t="s">
        <v>2835</v>
      </c>
      <c r="Y443" s="65" t="s">
        <v>4</v>
      </c>
      <c r="Z443" s="65" t="s">
        <v>4</v>
      </c>
      <c r="AA443" s="65" t="s">
        <v>2835</v>
      </c>
    </row>
    <row r="444" spans="1:27" ht="17.45" hidden="1" customHeight="1">
      <c r="A444" s="100" t="str">
        <f>IF(priority(Main[[#This Row],[Comments]])&lt;&gt;0, priority(Main[[#This Row],[Comments]]),"")</f>
        <v/>
      </c>
      <c r="B444" s="77" t="s">
        <v>1382</v>
      </c>
      <c r="C444" s="65" t="s">
        <v>471</v>
      </c>
      <c r="D444" s="66" t="s">
        <v>472</v>
      </c>
      <c r="E444" s="67"/>
      <c r="F444" s="67">
        <v>40450</v>
      </c>
      <c r="G444" s="64" t="str">
        <f>IF(stdProdLT(Main[[#This Row],[Comments]])=0.1,"N/A",IF(stdProdLT(Main[[#This Row],[Comments]])=0,"",stdProdLT(Main[[#This Row],[Comments]])))</f>
        <v/>
      </c>
      <c r="H444" s="68" t="str">
        <f>IF(AND(Main[[#This Row],[In Stock Date]]&lt;&gt;"",Main[[#This Row],[Revised Due Date]]&lt;&gt;""),Main[[#This Row],[In Stock Date]]-Main[[#This Row],[Revised Due Date]],"")</f>
        <v/>
      </c>
      <c r="I444" s="65" t="s">
        <v>4</v>
      </c>
      <c r="J444" s="65" t="s">
        <v>4</v>
      </c>
      <c r="K444" s="65" t="s">
        <v>4</v>
      </c>
      <c r="L444" s="67"/>
      <c r="M444" s="69" t="str">
        <f>IF(Main[[#This Row],[Tech Start Date]]&lt;1/1/1990,"",IF(Main[[#This Row],[Class]]="C",WORKDAY(Main[[#This Row],[Tech Start Date]],9),IF(Main[[#This Row],[Class]]="B", WORKDAY(Main[[#This Row],[Tech Start Date]],6),IF(Main[[#This Row],[Class]]="A",WORKDAY(Main[[#This Row],[Tech Start Date]],2),""))))</f>
        <v/>
      </c>
      <c r="N444" s="69" t="str">
        <f>IF(Main[[#This Row],[Tech Start Date]]&lt;1/1/1990,"",IF(Main[[#This Row],[Class]]="C",WORKDAY(Main[[#This Row],[Tech Start Date]],19),IF(Main[[#This Row],[Class]]="B", WORKDAY(Main[[#This Row],[Tech Start Date]],12),IF(Main[[#This Row],[Class]]="A",WORKDAY(Main[[#This Row],[Tech Start Date]],4),""))))</f>
        <v/>
      </c>
      <c r="O444" s="69" t="str">
        <f>IF(Main[[#This Row],[Tech Start Date]]&lt;1/1/1990,"",IF(Main[[#This Row],[Class]]="C",WORKDAY(Main[[#This Row],[Tech Start Date]],23),IF(Main[[#This Row],[Class]]="B", WORKDAY(Main[[#This Row],[Tech Start Date]],15),IF(Main[[#This Row],[Class]]="A",WORKDAY(Main[[#This Row],[Tech Start Date]],5),""))))</f>
        <v/>
      </c>
      <c r="P444" s="69" t="str">
        <f>IF(Main[[#This Row],[Tech Start Date]]&lt;1/1/1990,"",IF(Main[[#This Row],[Class]]="C",WORKDAY(Main[[#This Row],[Tech Start Date]],28),IF(Main[[#This Row],[Class]]="B", WORKDAY(Main[[#This Row],[Tech Start Date]],19),IF(Main[[#This Row],[Class]]="A",WORKDAY(Main[[#This Row],[Tech Start Date]],9),""))))</f>
        <v/>
      </c>
      <c r="Q444" s="67">
        <v>40421</v>
      </c>
      <c r="R444" s="67"/>
      <c r="S444" s="65" t="s">
        <v>11</v>
      </c>
      <c r="T444" s="70" t="s">
        <v>4</v>
      </c>
      <c r="U444" s="65" t="s">
        <v>14</v>
      </c>
      <c r="V444" s="65" t="s">
        <v>1917</v>
      </c>
      <c r="W444" s="65" t="s">
        <v>1919</v>
      </c>
      <c r="X444" s="65" t="s">
        <v>2856</v>
      </c>
      <c r="Y444" s="65" t="s">
        <v>2997</v>
      </c>
      <c r="Z444" s="65" t="s">
        <v>4</v>
      </c>
      <c r="AA444" s="65" t="s">
        <v>2856</v>
      </c>
    </row>
    <row r="445" spans="1:27" ht="17.45" hidden="1" customHeight="1">
      <c r="A445" s="100" t="str">
        <f>IF(priority(Main[[#This Row],[Comments]])&lt;&gt;0, priority(Main[[#This Row],[Comments]]),"")</f>
        <v/>
      </c>
      <c r="B445" s="77" t="s">
        <v>3324</v>
      </c>
      <c r="C445" s="65" t="s">
        <v>4</v>
      </c>
      <c r="D445" s="66" t="s">
        <v>3325</v>
      </c>
      <c r="E445" s="67">
        <v>40939.633171296293</v>
      </c>
      <c r="F445" s="67"/>
      <c r="G445" s="64" t="str">
        <f>IF(stdProdLT(Main[[#This Row],[Comments]])=0.1,"N/A",IF(stdProdLT(Main[[#This Row],[Comments]])=0,"",stdProdLT(Main[[#This Row],[Comments]])))</f>
        <v/>
      </c>
      <c r="H445" s="68" t="str">
        <f>IF(AND(Main[[#This Row],[In Stock Date]]&lt;&gt;"",Main[[#This Row],[Revised Due Date]]&lt;&gt;""),Main[[#This Row],[In Stock Date]]-Main[[#This Row],[Revised Due Date]],"")</f>
        <v/>
      </c>
      <c r="I445" s="65" t="s">
        <v>4</v>
      </c>
      <c r="J445" s="65" t="s">
        <v>4</v>
      </c>
      <c r="K445" s="65" t="s">
        <v>4</v>
      </c>
      <c r="L445" s="67"/>
      <c r="M445" s="69" t="str">
        <f>IF(Main[[#This Row],[Tech Start Date]]&lt;1/1/1990,"",IF(Main[[#This Row],[Class]]="C",WORKDAY(Main[[#This Row],[Tech Start Date]],9),IF(Main[[#This Row],[Class]]="B", WORKDAY(Main[[#This Row],[Tech Start Date]],6),IF(Main[[#This Row],[Class]]="A",WORKDAY(Main[[#This Row],[Tech Start Date]],2),""))))</f>
        <v/>
      </c>
      <c r="N445" s="69" t="str">
        <f>IF(Main[[#This Row],[Tech Start Date]]&lt;1/1/1990,"",IF(Main[[#This Row],[Class]]="C",WORKDAY(Main[[#This Row],[Tech Start Date]],19),IF(Main[[#This Row],[Class]]="B", WORKDAY(Main[[#This Row],[Tech Start Date]],12),IF(Main[[#This Row],[Class]]="A",WORKDAY(Main[[#This Row],[Tech Start Date]],4),""))))</f>
        <v/>
      </c>
      <c r="O445" s="69" t="str">
        <f>IF(Main[[#This Row],[Tech Start Date]]&lt;1/1/1990,"",IF(Main[[#This Row],[Class]]="C",WORKDAY(Main[[#This Row],[Tech Start Date]],23),IF(Main[[#This Row],[Class]]="B", WORKDAY(Main[[#This Row],[Tech Start Date]],15),IF(Main[[#This Row],[Class]]="A",WORKDAY(Main[[#This Row],[Tech Start Date]],5),""))))</f>
        <v/>
      </c>
      <c r="P445" s="69" t="str">
        <f>IF(Main[[#This Row],[Tech Start Date]]&lt;1/1/1990,"",IF(Main[[#This Row],[Class]]="C",WORKDAY(Main[[#This Row],[Tech Start Date]],28),IF(Main[[#This Row],[Class]]="B", WORKDAY(Main[[#This Row],[Tech Start Date]],19),IF(Main[[#This Row],[Class]]="A",WORKDAY(Main[[#This Row],[Tech Start Date]],9),""))))</f>
        <v/>
      </c>
      <c r="Q445" s="67"/>
      <c r="R445" s="67"/>
      <c r="S445" s="65" t="s">
        <v>6</v>
      </c>
      <c r="T445" s="70" t="s">
        <v>4</v>
      </c>
      <c r="U445" s="65" t="s">
        <v>7</v>
      </c>
      <c r="V445" s="65" t="s">
        <v>1914</v>
      </c>
      <c r="W445" s="65" t="s">
        <v>1918</v>
      </c>
      <c r="X445" s="65" t="s">
        <v>306</v>
      </c>
      <c r="Y445" s="65" t="s">
        <v>4</v>
      </c>
      <c r="Z445" s="65" t="s">
        <v>4</v>
      </c>
      <c r="AA445" s="65" t="s">
        <v>4</v>
      </c>
    </row>
    <row r="446" spans="1:27" ht="17.45" hidden="1" customHeight="1">
      <c r="A446" s="100" t="str">
        <f>IF(priority(Main[[#This Row],[Comments]])&lt;&gt;0, priority(Main[[#This Row],[Comments]]),"")</f>
        <v/>
      </c>
      <c r="B446" s="77" t="s">
        <v>3326</v>
      </c>
      <c r="C446" s="65" t="s">
        <v>4</v>
      </c>
      <c r="D446" s="66" t="s">
        <v>3327</v>
      </c>
      <c r="E446" s="67">
        <v>40939.634004629632</v>
      </c>
      <c r="F446" s="67"/>
      <c r="G446" s="64" t="str">
        <f>IF(stdProdLT(Main[[#This Row],[Comments]])=0.1,"N/A",IF(stdProdLT(Main[[#This Row],[Comments]])=0,"",stdProdLT(Main[[#This Row],[Comments]])))</f>
        <v/>
      </c>
      <c r="H446" s="68" t="str">
        <f>IF(AND(Main[[#This Row],[In Stock Date]]&lt;&gt;"",Main[[#This Row],[Revised Due Date]]&lt;&gt;""),Main[[#This Row],[In Stock Date]]-Main[[#This Row],[Revised Due Date]],"")</f>
        <v/>
      </c>
      <c r="I446" s="65" t="s">
        <v>4</v>
      </c>
      <c r="J446" s="65" t="s">
        <v>4</v>
      </c>
      <c r="K446" s="65" t="s">
        <v>4</v>
      </c>
      <c r="L446" s="67"/>
      <c r="M446" s="69" t="str">
        <f>IF(Main[[#This Row],[Tech Start Date]]&lt;1/1/1990,"",IF(Main[[#This Row],[Class]]="C",WORKDAY(Main[[#This Row],[Tech Start Date]],9),IF(Main[[#This Row],[Class]]="B", WORKDAY(Main[[#This Row],[Tech Start Date]],6),IF(Main[[#This Row],[Class]]="A",WORKDAY(Main[[#This Row],[Tech Start Date]],2),""))))</f>
        <v/>
      </c>
      <c r="N446" s="69" t="str">
        <f>IF(Main[[#This Row],[Tech Start Date]]&lt;1/1/1990,"",IF(Main[[#This Row],[Class]]="C",WORKDAY(Main[[#This Row],[Tech Start Date]],19),IF(Main[[#This Row],[Class]]="B", WORKDAY(Main[[#This Row],[Tech Start Date]],12),IF(Main[[#This Row],[Class]]="A",WORKDAY(Main[[#This Row],[Tech Start Date]],4),""))))</f>
        <v/>
      </c>
      <c r="O446" s="69" t="str">
        <f>IF(Main[[#This Row],[Tech Start Date]]&lt;1/1/1990,"",IF(Main[[#This Row],[Class]]="C",WORKDAY(Main[[#This Row],[Tech Start Date]],23),IF(Main[[#This Row],[Class]]="B", WORKDAY(Main[[#This Row],[Tech Start Date]],15),IF(Main[[#This Row],[Class]]="A",WORKDAY(Main[[#This Row],[Tech Start Date]],5),""))))</f>
        <v/>
      </c>
      <c r="P446" s="69" t="str">
        <f>IF(Main[[#This Row],[Tech Start Date]]&lt;1/1/1990,"",IF(Main[[#This Row],[Class]]="C",WORKDAY(Main[[#This Row],[Tech Start Date]],28),IF(Main[[#This Row],[Class]]="B", WORKDAY(Main[[#This Row],[Tech Start Date]],19),IF(Main[[#This Row],[Class]]="A",WORKDAY(Main[[#This Row],[Tech Start Date]],9),""))))</f>
        <v/>
      </c>
      <c r="Q446" s="67"/>
      <c r="R446" s="67"/>
      <c r="S446" s="65" t="s">
        <v>6</v>
      </c>
      <c r="T446" s="70" t="s">
        <v>4</v>
      </c>
      <c r="U446" s="65" t="s">
        <v>7</v>
      </c>
      <c r="V446" s="65" t="s">
        <v>1914</v>
      </c>
      <c r="W446" s="65" t="s">
        <v>1916</v>
      </c>
      <c r="X446" s="65" t="s">
        <v>306</v>
      </c>
      <c r="Y446" s="65" t="s">
        <v>4</v>
      </c>
      <c r="Z446" s="65" t="s">
        <v>877</v>
      </c>
      <c r="AA446" s="65" t="s">
        <v>4</v>
      </c>
    </row>
    <row r="447" spans="1:27" ht="17.45" hidden="1" customHeight="1">
      <c r="A447" s="100" t="str">
        <f>IF(priority(Main[[#This Row],[Comments]])&lt;&gt;0, priority(Main[[#This Row],[Comments]]),"")</f>
        <v/>
      </c>
      <c r="B447" s="77" t="s">
        <v>1384</v>
      </c>
      <c r="C447" s="65" t="s">
        <v>31</v>
      </c>
      <c r="D447" s="66" t="s">
        <v>473</v>
      </c>
      <c r="E447" s="67"/>
      <c r="F447" s="67"/>
      <c r="G447" s="64" t="str">
        <f>IF(stdProdLT(Main[[#This Row],[Comments]])=0.1,"N/A",IF(stdProdLT(Main[[#This Row],[Comments]])=0,"",stdProdLT(Main[[#This Row],[Comments]])))</f>
        <v/>
      </c>
      <c r="H447" s="68" t="str">
        <f>IF(AND(Main[[#This Row],[In Stock Date]]&lt;&gt;"",Main[[#This Row],[Revised Due Date]]&lt;&gt;""),Main[[#This Row],[In Stock Date]]-Main[[#This Row],[Revised Due Date]],"")</f>
        <v/>
      </c>
      <c r="I447" s="65" t="s">
        <v>4</v>
      </c>
      <c r="J447" s="65" t="s">
        <v>4</v>
      </c>
      <c r="K447" s="65" t="s">
        <v>4</v>
      </c>
      <c r="L447" s="67"/>
      <c r="M447" s="69" t="str">
        <f>IF(Main[[#This Row],[Tech Start Date]]&lt;1/1/1990,"",IF(Main[[#This Row],[Class]]="C",WORKDAY(Main[[#This Row],[Tech Start Date]],9),IF(Main[[#This Row],[Class]]="B", WORKDAY(Main[[#This Row],[Tech Start Date]],6),IF(Main[[#This Row],[Class]]="A",WORKDAY(Main[[#This Row],[Tech Start Date]],2),""))))</f>
        <v/>
      </c>
      <c r="N447" s="69" t="str">
        <f>IF(Main[[#This Row],[Tech Start Date]]&lt;1/1/1990,"",IF(Main[[#This Row],[Class]]="C",WORKDAY(Main[[#This Row],[Tech Start Date]],19),IF(Main[[#This Row],[Class]]="B", WORKDAY(Main[[#This Row],[Tech Start Date]],12),IF(Main[[#This Row],[Class]]="A",WORKDAY(Main[[#This Row],[Tech Start Date]],4),""))))</f>
        <v/>
      </c>
      <c r="O447" s="69" t="str">
        <f>IF(Main[[#This Row],[Tech Start Date]]&lt;1/1/1990,"",IF(Main[[#This Row],[Class]]="C",WORKDAY(Main[[#This Row],[Tech Start Date]],23),IF(Main[[#This Row],[Class]]="B", WORKDAY(Main[[#This Row],[Tech Start Date]],15),IF(Main[[#This Row],[Class]]="A",WORKDAY(Main[[#This Row],[Tech Start Date]],5),""))))</f>
        <v/>
      </c>
      <c r="P447" s="69" t="str">
        <f>IF(Main[[#This Row],[Tech Start Date]]&lt;1/1/1990,"",IF(Main[[#This Row],[Class]]="C",WORKDAY(Main[[#This Row],[Tech Start Date]],28),IF(Main[[#This Row],[Class]]="B", WORKDAY(Main[[#This Row],[Tech Start Date]],19),IF(Main[[#This Row],[Class]]="A",WORKDAY(Main[[#This Row],[Tech Start Date]],9),""))))</f>
        <v/>
      </c>
      <c r="Q447" s="67">
        <v>40318</v>
      </c>
      <c r="R447" s="67"/>
      <c r="S447" s="65" t="s">
        <v>11</v>
      </c>
      <c r="T447" s="70" t="s">
        <v>4</v>
      </c>
      <c r="U447" s="65" t="s">
        <v>14</v>
      </c>
      <c r="V447" s="65" t="s">
        <v>1917</v>
      </c>
      <c r="W447" s="65" t="s">
        <v>1916</v>
      </c>
      <c r="X447" s="65" t="s">
        <v>2830</v>
      </c>
      <c r="Y447" s="65" t="s">
        <v>4</v>
      </c>
      <c r="Z447" s="65" t="s">
        <v>4</v>
      </c>
      <c r="AA447" s="65" t="s">
        <v>2830</v>
      </c>
    </row>
    <row r="448" spans="1:27" ht="17.45" hidden="1" customHeight="1">
      <c r="A448" s="100" t="str">
        <f>IF(priority(Main[[#This Row],[Comments]])&lt;&gt;0, priority(Main[[#This Row],[Comments]]),"")</f>
        <v/>
      </c>
      <c r="B448" s="77" t="s">
        <v>1386</v>
      </c>
      <c r="C448" s="65" t="s">
        <v>4</v>
      </c>
      <c r="D448" s="66" t="s">
        <v>474</v>
      </c>
      <c r="E448" s="67">
        <v>40679.254976851851</v>
      </c>
      <c r="F448" s="67"/>
      <c r="G448" s="64" t="str">
        <f>IF(stdProdLT(Main[[#This Row],[Comments]])=0.1,"N/A",IF(stdProdLT(Main[[#This Row],[Comments]])=0,"",stdProdLT(Main[[#This Row],[Comments]])))</f>
        <v/>
      </c>
      <c r="H448" s="68" t="str">
        <f>IF(AND(Main[[#This Row],[In Stock Date]]&lt;&gt;"",Main[[#This Row],[Revised Due Date]]&lt;&gt;""),Main[[#This Row],[In Stock Date]]-Main[[#This Row],[Revised Due Date]],"")</f>
        <v/>
      </c>
      <c r="I448" s="65" t="s">
        <v>4</v>
      </c>
      <c r="J448" s="65" t="s">
        <v>4</v>
      </c>
      <c r="K448" s="65" t="s">
        <v>4</v>
      </c>
      <c r="L448" s="67"/>
      <c r="M448" s="69" t="str">
        <f>IF(Main[[#This Row],[Tech Start Date]]&lt;1/1/1990,"",IF(Main[[#This Row],[Class]]="C",WORKDAY(Main[[#This Row],[Tech Start Date]],9),IF(Main[[#This Row],[Class]]="B", WORKDAY(Main[[#This Row],[Tech Start Date]],6),IF(Main[[#This Row],[Class]]="A",WORKDAY(Main[[#This Row],[Tech Start Date]],2),""))))</f>
        <v/>
      </c>
      <c r="N448" s="69" t="str">
        <f>IF(Main[[#This Row],[Tech Start Date]]&lt;1/1/1990,"",IF(Main[[#This Row],[Class]]="C",WORKDAY(Main[[#This Row],[Tech Start Date]],19),IF(Main[[#This Row],[Class]]="B", WORKDAY(Main[[#This Row],[Tech Start Date]],12),IF(Main[[#This Row],[Class]]="A",WORKDAY(Main[[#This Row],[Tech Start Date]],4),""))))</f>
        <v/>
      </c>
      <c r="O448" s="69" t="str">
        <f>IF(Main[[#This Row],[Tech Start Date]]&lt;1/1/1990,"",IF(Main[[#This Row],[Class]]="C",WORKDAY(Main[[#This Row],[Tech Start Date]],23),IF(Main[[#This Row],[Class]]="B", WORKDAY(Main[[#This Row],[Tech Start Date]],15),IF(Main[[#This Row],[Class]]="A",WORKDAY(Main[[#This Row],[Tech Start Date]],5),""))))</f>
        <v/>
      </c>
      <c r="P448" s="69" t="str">
        <f>IF(Main[[#This Row],[Tech Start Date]]&lt;1/1/1990,"",IF(Main[[#This Row],[Class]]="C",WORKDAY(Main[[#This Row],[Tech Start Date]],28),IF(Main[[#This Row],[Class]]="B", WORKDAY(Main[[#This Row],[Tech Start Date]],19),IF(Main[[#This Row],[Class]]="A",WORKDAY(Main[[#This Row],[Tech Start Date]],9),""))))</f>
        <v/>
      </c>
      <c r="Q448" s="67">
        <v>40724</v>
      </c>
      <c r="R448" s="67"/>
      <c r="S448" s="65" t="s">
        <v>6</v>
      </c>
      <c r="T448" s="70" t="s">
        <v>4</v>
      </c>
      <c r="U448" s="65" t="s">
        <v>7</v>
      </c>
      <c r="V448" s="65" t="s">
        <v>1914</v>
      </c>
      <c r="W448" s="65" t="s">
        <v>4</v>
      </c>
      <c r="X448" s="65" t="s">
        <v>2822</v>
      </c>
      <c r="Y448" s="65" t="s">
        <v>2938</v>
      </c>
      <c r="Z448" s="65" t="s">
        <v>4</v>
      </c>
      <c r="AA448" s="65" t="s">
        <v>2822</v>
      </c>
    </row>
    <row r="449" spans="1:27" ht="17.45" hidden="1" customHeight="1">
      <c r="A449" s="100" t="str">
        <f>IF(priority(Main[[#This Row],[Comments]])&lt;&gt;0, priority(Main[[#This Row],[Comments]]),"")</f>
        <v/>
      </c>
      <c r="B449" s="77" t="s">
        <v>1387</v>
      </c>
      <c r="C449" s="65" t="s">
        <v>4</v>
      </c>
      <c r="D449" s="66" t="s">
        <v>475</v>
      </c>
      <c r="E449" s="67"/>
      <c r="F449" s="67"/>
      <c r="G449" s="64" t="str">
        <f>IF(stdProdLT(Main[[#This Row],[Comments]])=0.1,"N/A",IF(stdProdLT(Main[[#This Row],[Comments]])=0,"",stdProdLT(Main[[#This Row],[Comments]])))</f>
        <v/>
      </c>
      <c r="H449" s="68" t="str">
        <f>IF(AND(Main[[#This Row],[In Stock Date]]&lt;&gt;"",Main[[#This Row],[Revised Due Date]]&lt;&gt;""),Main[[#This Row],[In Stock Date]]-Main[[#This Row],[Revised Due Date]],"")</f>
        <v/>
      </c>
      <c r="I449" s="65" t="s">
        <v>129</v>
      </c>
      <c r="J449" s="65" t="s">
        <v>4</v>
      </c>
      <c r="K449" s="65" t="s">
        <v>4</v>
      </c>
      <c r="L449" s="67"/>
      <c r="M449" s="69" t="str">
        <f>IF(Main[[#This Row],[Tech Start Date]]&lt;1/1/1990,"",IF(Main[[#This Row],[Class]]="C",WORKDAY(Main[[#This Row],[Tech Start Date]],9),IF(Main[[#This Row],[Class]]="B", WORKDAY(Main[[#This Row],[Tech Start Date]],6),IF(Main[[#This Row],[Class]]="A",WORKDAY(Main[[#This Row],[Tech Start Date]],2),""))))</f>
        <v/>
      </c>
      <c r="N449" s="69" t="str">
        <f>IF(Main[[#This Row],[Tech Start Date]]&lt;1/1/1990,"",IF(Main[[#This Row],[Class]]="C",WORKDAY(Main[[#This Row],[Tech Start Date]],19),IF(Main[[#This Row],[Class]]="B", WORKDAY(Main[[#This Row],[Tech Start Date]],12),IF(Main[[#This Row],[Class]]="A",WORKDAY(Main[[#This Row],[Tech Start Date]],4),""))))</f>
        <v/>
      </c>
      <c r="O449" s="69" t="str">
        <f>IF(Main[[#This Row],[Tech Start Date]]&lt;1/1/1990,"",IF(Main[[#This Row],[Class]]="C",WORKDAY(Main[[#This Row],[Tech Start Date]],23),IF(Main[[#This Row],[Class]]="B", WORKDAY(Main[[#This Row],[Tech Start Date]],15),IF(Main[[#This Row],[Class]]="A",WORKDAY(Main[[#This Row],[Tech Start Date]],5),""))))</f>
        <v/>
      </c>
      <c r="P449" s="69" t="str">
        <f>IF(Main[[#This Row],[Tech Start Date]]&lt;1/1/1990,"",IF(Main[[#This Row],[Class]]="C",WORKDAY(Main[[#This Row],[Tech Start Date]],28),IF(Main[[#This Row],[Class]]="B", WORKDAY(Main[[#This Row],[Tech Start Date]],19),IF(Main[[#This Row],[Class]]="A",WORKDAY(Main[[#This Row],[Tech Start Date]],9),""))))</f>
        <v/>
      </c>
      <c r="Q449" s="67">
        <v>40359</v>
      </c>
      <c r="R449" s="67"/>
      <c r="S449" s="65" t="s">
        <v>6</v>
      </c>
      <c r="T449" s="70" t="s">
        <v>4</v>
      </c>
      <c r="U449" s="65" t="s">
        <v>14</v>
      </c>
      <c r="V449" s="65" t="s">
        <v>1914</v>
      </c>
      <c r="W449" s="65" t="s">
        <v>1919</v>
      </c>
      <c r="X449" s="65" t="s">
        <v>102</v>
      </c>
      <c r="Y449" s="65" t="s">
        <v>3039</v>
      </c>
      <c r="Z449" s="65" t="s">
        <v>4</v>
      </c>
      <c r="AA449" s="65" t="s">
        <v>2873</v>
      </c>
    </row>
    <row r="450" spans="1:27" ht="17.45" hidden="1" customHeight="1">
      <c r="A450" s="100" t="str">
        <f>IF(priority(Main[[#This Row],[Comments]])&lt;&gt;0, priority(Main[[#This Row],[Comments]]),"")</f>
        <v/>
      </c>
      <c r="B450" s="77" t="s">
        <v>1388</v>
      </c>
      <c r="C450" s="65" t="s">
        <v>4</v>
      </c>
      <c r="D450" s="66" t="s">
        <v>476</v>
      </c>
      <c r="E450" s="67"/>
      <c r="F450" s="67"/>
      <c r="G450" s="64" t="str">
        <f>IF(stdProdLT(Main[[#This Row],[Comments]])=0.1,"N/A",IF(stdProdLT(Main[[#This Row],[Comments]])=0,"",stdProdLT(Main[[#This Row],[Comments]])))</f>
        <v/>
      </c>
      <c r="H450" s="68" t="str">
        <f>IF(AND(Main[[#This Row],[In Stock Date]]&lt;&gt;"",Main[[#This Row],[Revised Due Date]]&lt;&gt;""),Main[[#This Row],[In Stock Date]]-Main[[#This Row],[Revised Due Date]],"")</f>
        <v/>
      </c>
      <c r="I450" s="65" t="s">
        <v>4</v>
      </c>
      <c r="J450" s="65" t="s">
        <v>4</v>
      </c>
      <c r="K450" s="65" t="s">
        <v>4</v>
      </c>
      <c r="L450" s="67"/>
      <c r="M450" s="69" t="str">
        <f>IF(Main[[#This Row],[Tech Start Date]]&lt;1/1/1990,"",IF(Main[[#This Row],[Class]]="C",WORKDAY(Main[[#This Row],[Tech Start Date]],9),IF(Main[[#This Row],[Class]]="B", WORKDAY(Main[[#This Row],[Tech Start Date]],6),IF(Main[[#This Row],[Class]]="A",WORKDAY(Main[[#This Row],[Tech Start Date]],2),""))))</f>
        <v/>
      </c>
      <c r="N450" s="69" t="str">
        <f>IF(Main[[#This Row],[Tech Start Date]]&lt;1/1/1990,"",IF(Main[[#This Row],[Class]]="C",WORKDAY(Main[[#This Row],[Tech Start Date]],19),IF(Main[[#This Row],[Class]]="B", WORKDAY(Main[[#This Row],[Tech Start Date]],12),IF(Main[[#This Row],[Class]]="A",WORKDAY(Main[[#This Row],[Tech Start Date]],4),""))))</f>
        <v/>
      </c>
      <c r="O450" s="69" t="str">
        <f>IF(Main[[#This Row],[Tech Start Date]]&lt;1/1/1990,"",IF(Main[[#This Row],[Class]]="C",WORKDAY(Main[[#This Row],[Tech Start Date]],23),IF(Main[[#This Row],[Class]]="B", WORKDAY(Main[[#This Row],[Tech Start Date]],15),IF(Main[[#This Row],[Class]]="A",WORKDAY(Main[[#This Row],[Tech Start Date]],5),""))))</f>
        <v/>
      </c>
      <c r="P450" s="69" t="str">
        <f>IF(Main[[#This Row],[Tech Start Date]]&lt;1/1/1990,"",IF(Main[[#This Row],[Class]]="C",WORKDAY(Main[[#This Row],[Tech Start Date]],28),IF(Main[[#This Row],[Class]]="B", WORKDAY(Main[[#This Row],[Tech Start Date]],19),IF(Main[[#This Row],[Class]]="A",WORKDAY(Main[[#This Row],[Tech Start Date]],9),""))))</f>
        <v/>
      </c>
      <c r="Q450" s="67">
        <v>40151</v>
      </c>
      <c r="R450" s="67"/>
      <c r="S450" s="65" t="s">
        <v>6</v>
      </c>
      <c r="T450" s="70" t="s">
        <v>4</v>
      </c>
      <c r="U450" s="65" t="s">
        <v>12</v>
      </c>
      <c r="V450" s="65" t="s">
        <v>1914</v>
      </c>
      <c r="W450" s="65" t="s">
        <v>1916</v>
      </c>
      <c r="X450" s="65" t="s">
        <v>894</v>
      </c>
      <c r="Y450" s="65" t="s">
        <v>3040</v>
      </c>
      <c r="Z450" s="65" t="s">
        <v>4</v>
      </c>
      <c r="AA450" s="65" t="s">
        <v>894</v>
      </c>
    </row>
    <row r="451" spans="1:27" ht="17.45" hidden="1" customHeight="1">
      <c r="A451" s="100" t="str">
        <f>IF(priority(Main[[#This Row],[Comments]])&lt;&gt;0, priority(Main[[#This Row],[Comments]]),"")</f>
        <v/>
      </c>
      <c r="B451" s="77" t="s">
        <v>2256</v>
      </c>
      <c r="C451" s="65" t="s">
        <v>95</v>
      </c>
      <c r="D451" s="66" t="s">
        <v>2257</v>
      </c>
      <c r="E451" s="67">
        <v>40806.589305555557</v>
      </c>
      <c r="F451" s="67"/>
      <c r="G451" s="64" t="str">
        <f>IF(stdProdLT(Main[[#This Row],[Comments]])=0.1,"N/A",IF(stdProdLT(Main[[#This Row],[Comments]])=0,"",stdProdLT(Main[[#This Row],[Comments]])))</f>
        <v/>
      </c>
      <c r="H451" s="68" t="str">
        <f>IF(AND(Main[[#This Row],[In Stock Date]]&lt;&gt;"",Main[[#This Row],[Revised Due Date]]&lt;&gt;""),Main[[#This Row],[In Stock Date]]-Main[[#This Row],[Revised Due Date]],"")</f>
        <v/>
      </c>
      <c r="I451" s="65" t="s">
        <v>4</v>
      </c>
      <c r="J451" s="65" t="s">
        <v>4</v>
      </c>
      <c r="K451" s="65" t="s">
        <v>4</v>
      </c>
      <c r="L451" s="67"/>
      <c r="M451" s="69" t="str">
        <f>IF(Main[[#This Row],[Tech Start Date]]&lt;1/1/1990,"",IF(Main[[#This Row],[Class]]="C",WORKDAY(Main[[#This Row],[Tech Start Date]],9),IF(Main[[#This Row],[Class]]="B", WORKDAY(Main[[#This Row],[Tech Start Date]],6),IF(Main[[#This Row],[Class]]="A",WORKDAY(Main[[#This Row],[Tech Start Date]],2),""))))</f>
        <v/>
      </c>
      <c r="N451" s="69" t="str">
        <f>IF(Main[[#This Row],[Tech Start Date]]&lt;1/1/1990,"",IF(Main[[#This Row],[Class]]="C",WORKDAY(Main[[#This Row],[Tech Start Date]],19),IF(Main[[#This Row],[Class]]="B", WORKDAY(Main[[#This Row],[Tech Start Date]],12),IF(Main[[#This Row],[Class]]="A",WORKDAY(Main[[#This Row],[Tech Start Date]],4),""))))</f>
        <v/>
      </c>
      <c r="O451" s="69" t="str">
        <f>IF(Main[[#This Row],[Tech Start Date]]&lt;1/1/1990,"",IF(Main[[#This Row],[Class]]="C",WORKDAY(Main[[#This Row],[Tech Start Date]],23),IF(Main[[#This Row],[Class]]="B", WORKDAY(Main[[#This Row],[Tech Start Date]],15),IF(Main[[#This Row],[Class]]="A",WORKDAY(Main[[#This Row],[Tech Start Date]],5),""))))</f>
        <v/>
      </c>
      <c r="P451" s="69" t="str">
        <f>IF(Main[[#This Row],[Tech Start Date]]&lt;1/1/1990,"",IF(Main[[#This Row],[Class]]="C",WORKDAY(Main[[#This Row],[Tech Start Date]],28),IF(Main[[#This Row],[Class]]="B", WORKDAY(Main[[#This Row],[Tech Start Date]],19),IF(Main[[#This Row],[Class]]="A",WORKDAY(Main[[#This Row],[Tech Start Date]],9),""))))</f>
        <v/>
      </c>
      <c r="Q451" s="67">
        <v>40823</v>
      </c>
      <c r="R451" s="67"/>
      <c r="S451" s="65" t="s">
        <v>17</v>
      </c>
      <c r="T451" s="70" t="s">
        <v>4</v>
      </c>
      <c r="U451" s="65" t="s">
        <v>7</v>
      </c>
      <c r="V451" s="65" t="s">
        <v>1915</v>
      </c>
      <c r="W451" s="65" t="s">
        <v>1919</v>
      </c>
      <c r="X451" s="65" t="s">
        <v>553</v>
      </c>
      <c r="Y451" s="65" t="s">
        <v>2952</v>
      </c>
      <c r="Z451" s="65" t="s">
        <v>4</v>
      </c>
      <c r="AA451" s="65" t="s">
        <v>553</v>
      </c>
    </row>
    <row r="452" spans="1:27" ht="17.45" hidden="1" customHeight="1">
      <c r="A452" s="100" t="str">
        <f>IF(priority(Main[[#This Row],[Comments]])&lt;&gt;0, priority(Main[[#This Row],[Comments]]),"")</f>
        <v/>
      </c>
      <c r="B452" s="77" t="s">
        <v>2219</v>
      </c>
      <c r="C452" s="65" t="s">
        <v>4</v>
      </c>
      <c r="D452" s="66" t="s">
        <v>2220</v>
      </c>
      <c r="E452" s="67"/>
      <c r="F452" s="67"/>
      <c r="G452" s="64" t="str">
        <f>IF(stdProdLT(Main[[#This Row],[Comments]])=0.1,"N/A",IF(stdProdLT(Main[[#This Row],[Comments]])=0,"",stdProdLT(Main[[#This Row],[Comments]])))</f>
        <v/>
      </c>
      <c r="H452" s="68" t="str">
        <f>IF(AND(Main[[#This Row],[In Stock Date]]&lt;&gt;"",Main[[#This Row],[Revised Due Date]]&lt;&gt;""),Main[[#This Row],[In Stock Date]]-Main[[#This Row],[Revised Due Date]],"")</f>
        <v/>
      </c>
      <c r="I452" s="65" t="s">
        <v>4</v>
      </c>
      <c r="J452" s="65" t="s">
        <v>4</v>
      </c>
      <c r="K452" s="65" t="s">
        <v>4</v>
      </c>
      <c r="L452" s="67"/>
      <c r="M452" s="69" t="str">
        <f>IF(Main[[#This Row],[Tech Start Date]]&lt;1/1/1990,"",IF(Main[[#This Row],[Class]]="C",WORKDAY(Main[[#This Row],[Tech Start Date]],9),IF(Main[[#This Row],[Class]]="B", WORKDAY(Main[[#This Row],[Tech Start Date]],6),IF(Main[[#This Row],[Class]]="A",WORKDAY(Main[[#This Row],[Tech Start Date]],2),""))))</f>
        <v/>
      </c>
      <c r="N452" s="69" t="str">
        <f>IF(Main[[#This Row],[Tech Start Date]]&lt;1/1/1990,"",IF(Main[[#This Row],[Class]]="C",WORKDAY(Main[[#This Row],[Tech Start Date]],19),IF(Main[[#This Row],[Class]]="B", WORKDAY(Main[[#This Row],[Tech Start Date]],12),IF(Main[[#This Row],[Class]]="A",WORKDAY(Main[[#This Row],[Tech Start Date]],4),""))))</f>
        <v/>
      </c>
      <c r="O452" s="69" t="str">
        <f>IF(Main[[#This Row],[Tech Start Date]]&lt;1/1/1990,"",IF(Main[[#This Row],[Class]]="C",WORKDAY(Main[[#This Row],[Tech Start Date]],23),IF(Main[[#This Row],[Class]]="B", WORKDAY(Main[[#This Row],[Tech Start Date]],15),IF(Main[[#This Row],[Class]]="A",WORKDAY(Main[[#This Row],[Tech Start Date]],5),""))))</f>
        <v/>
      </c>
      <c r="P452" s="69" t="str">
        <f>IF(Main[[#This Row],[Tech Start Date]]&lt;1/1/1990,"",IF(Main[[#This Row],[Class]]="C",WORKDAY(Main[[#This Row],[Tech Start Date]],28),IF(Main[[#This Row],[Class]]="B", WORKDAY(Main[[#This Row],[Tech Start Date]],19),IF(Main[[#This Row],[Class]]="A",WORKDAY(Main[[#This Row],[Tech Start Date]],9),""))))</f>
        <v/>
      </c>
      <c r="Q452" s="67"/>
      <c r="R452" s="67"/>
      <c r="S452" s="65" t="s">
        <v>49</v>
      </c>
      <c r="T452" s="70" t="s">
        <v>4</v>
      </c>
      <c r="U452" s="65" t="s">
        <v>14</v>
      </c>
      <c r="V452" s="65" t="s">
        <v>1915</v>
      </c>
      <c r="W452" s="65" t="s">
        <v>1918</v>
      </c>
      <c r="X452" s="65" t="s">
        <v>306</v>
      </c>
      <c r="Y452" s="65" t="s">
        <v>4</v>
      </c>
      <c r="Z452" s="65" t="s">
        <v>4</v>
      </c>
      <c r="AA452" s="65" t="s">
        <v>4</v>
      </c>
    </row>
    <row r="453" spans="1:27" ht="17.45" hidden="1" customHeight="1">
      <c r="A453" s="100" t="str">
        <f>IF(priority(Main[[#This Row],[Comments]])&lt;&gt;0, priority(Main[[#This Row],[Comments]]),"")</f>
        <v/>
      </c>
      <c r="B453" s="77" t="s">
        <v>1351</v>
      </c>
      <c r="C453" s="65" t="s">
        <v>4</v>
      </c>
      <c r="D453" s="66" t="s">
        <v>440</v>
      </c>
      <c r="E453" s="67">
        <v>40389.394756944443</v>
      </c>
      <c r="F453" s="67"/>
      <c r="G453" s="64" t="str">
        <f>IF(stdProdLT(Main[[#This Row],[Comments]])=0.1,"N/A",IF(stdProdLT(Main[[#This Row],[Comments]])=0,"",stdProdLT(Main[[#This Row],[Comments]])))</f>
        <v/>
      </c>
      <c r="H453" s="68" t="str">
        <f>IF(AND(Main[[#This Row],[In Stock Date]]&lt;&gt;"",Main[[#This Row],[Revised Due Date]]&lt;&gt;""),Main[[#This Row],[In Stock Date]]-Main[[#This Row],[Revised Due Date]],"")</f>
        <v/>
      </c>
      <c r="I453" s="65" t="s">
        <v>4</v>
      </c>
      <c r="J453" s="65" t="s">
        <v>28</v>
      </c>
      <c r="K453" s="65" t="s">
        <v>1926</v>
      </c>
      <c r="L453" s="67"/>
      <c r="M453" s="69" t="str">
        <f>IF(Main[[#This Row],[Tech Start Date]]&lt;1/1/1990,"",IF(Main[[#This Row],[Class]]="C",WORKDAY(Main[[#This Row],[Tech Start Date]],9),IF(Main[[#This Row],[Class]]="B", WORKDAY(Main[[#This Row],[Tech Start Date]],6),IF(Main[[#This Row],[Class]]="A",WORKDAY(Main[[#This Row],[Tech Start Date]],2),""))))</f>
        <v/>
      </c>
      <c r="N453" s="69" t="str">
        <f>IF(Main[[#This Row],[Tech Start Date]]&lt;1/1/1990,"",IF(Main[[#This Row],[Class]]="C",WORKDAY(Main[[#This Row],[Tech Start Date]],19),IF(Main[[#This Row],[Class]]="B", WORKDAY(Main[[#This Row],[Tech Start Date]],12),IF(Main[[#This Row],[Class]]="A",WORKDAY(Main[[#This Row],[Tech Start Date]],4),""))))</f>
        <v/>
      </c>
      <c r="O453" s="69" t="str">
        <f>IF(Main[[#This Row],[Tech Start Date]]&lt;1/1/1990,"",IF(Main[[#This Row],[Class]]="C",WORKDAY(Main[[#This Row],[Tech Start Date]],23),IF(Main[[#This Row],[Class]]="B", WORKDAY(Main[[#This Row],[Tech Start Date]],15),IF(Main[[#This Row],[Class]]="A",WORKDAY(Main[[#This Row],[Tech Start Date]],5),""))))</f>
        <v/>
      </c>
      <c r="P453" s="69" t="str">
        <f>IF(Main[[#This Row],[Tech Start Date]]&lt;1/1/1990,"",IF(Main[[#This Row],[Class]]="C",WORKDAY(Main[[#This Row],[Tech Start Date]],28),IF(Main[[#This Row],[Class]]="B", WORKDAY(Main[[#This Row],[Tech Start Date]],19),IF(Main[[#This Row],[Class]]="A",WORKDAY(Main[[#This Row],[Tech Start Date]],9),""))))</f>
        <v/>
      </c>
      <c r="Q453" s="67">
        <v>40451</v>
      </c>
      <c r="R453" s="67"/>
      <c r="S453" s="65" t="s">
        <v>17</v>
      </c>
      <c r="T453" s="70" t="s">
        <v>4</v>
      </c>
      <c r="U453" s="65" t="s">
        <v>7</v>
      </c>
      <c r="V453" s="65" t="s">
        <v>1914</v>
      </c>
      <c r="W453" s="65" t="s">
        <v>1919</v>
      </c>
      <c r="X453" s="65" t="s">
        <v>129</v>
      </c>
      <c r="Y453" s="65" t="s">
        <v>2959</v>
      </c>
      <c r="Z453" s="65" t="s">
        <v>2828</v>
      </c>
      <c r="AA453" s="65" t="s">
        <v>2828</v>
      </c>
    </row>
    <row r="454" spans="1:27" ht="17.45" hidden="1" customHeight="1">
      <c r="A454" s="100" t="str">
        <f>IF(priority(Main[[#This Row],[Comments]])&lt;&gt;0, priority(Main[[#This Row],[Comments]]),"")</f>
        <v/>
      </c>
      <c r="B454" s="77" t="s">
        <v>1390</v>
      </c>
      <c r="C454" s="65" t="s">
        <v>72</v>
      </c>
      <c r="D454" s="66" t="s">
        <v>477</v>
      </c>
      <c r="E454" s="67"/>
      <c r="F454" s="67">
        <v>40031</v>
      </c>
      <c r="G454" s="64" t="str">
        <f>IF(stdProdLT(Main[[#This Row],[Comments]])=0.1,"N/A",IF(stdProdLT(Main[[#This Row],[Comments]])=0,"",stdProdLT(Main[[#This Row],[Comments]])))</f>
        <v/>
      </c>
      <c r="H454" s="68" t="str">
        <f>IF(AND(Main[[#This Row],[In Stock Date]]&lt;&gt;"",Main[[#This Row],[Revised Due Date]]&lt;&gt;""),Main[[#This Row],[In Stock Date]]-Main[[#This Row],[Revised Due Date]],"")</f>
        <v/>
      </c>
      <c r="I454" s="65" t="s">
        <v>4</v>
      </c>
      <c r="J454" s="65" t="s">
        <v>4</v>
      </c>
      <c r="K454" s="65" t="s">
        <v>4</v>
      </c>
      <c r="L454" s="67"/>
      <c r="M454" s="69" t="str">
        <f>IF(Main[[#This Row],[Tech Start Date]]&lt;1/1/1990,"",IF(Main[[#This Row],[Class]]="C",WORKDAY(Main[[#This Row],[Tech Start Date]],9),IF(Main[[#This Row],[Class]]="B", WORKDAY(Main[[#This Row],[Tech Start Date]],6),IF(Main[[#This Row],[Class]]="A",WORKDAY(Main[[#This Row],[Tech Start Date]],2),""))))</f>
        <v/>
      </c>
      <c r="N454" s="69" t="str">
        <f>IF(Main[[#This Row],[Tech Start Date]]&lt;1/1/1990,"",IF(Main[[#This Row],[Class]]="C",WORKDAY(Main[[#This Row],[Tech Start Date]],19),IF(Main[[#This Row],[Class]]="B", WORKDAY(Main[[#This Row],[Tech Start Date]],12),IF(Main[[#This Row],[Class]]="A",WORKDAY(Main[[#This Row],[Tech Start Date]],4),""))))</f>
        <v/>
      </c>
      <c r="O454" s="69" t="str">
        <f>IF(Main[[#This Row],[Tech Start Date]]&lt;1/1/1990,"",IF(Main[[#This Row],[Class]]="C",WORKDAY(Main[[#This Row],[Tech Start Date]],23),IF(Main[[#This Row],[Class]]="B", WORKDAY(Main[[#This Row],[Tech Start Date]],15),IF(Main[[#This Row],[Class]]="A",WORKDAY(Main[[#This Row],[Tech Start Date]],5),""))))</f>
        <v/>
      </c>
      <c r="P454" s="69" t="str">
        <f>IF(Main[[#This Row],[Tech Start Date]]&lt;1/1/1990,"",IF(Main[[#This Row],[Class]]="C",WORKDAY(Main[[#This Row],[Tech Start Date]],28),IF(Main[[#This Row],[Class]]="B", WORKDAY(Main[[#This Row],[Tech Start Date]],19),IF(Main[[#This Row],[Class]]="A",WORKDAY(Main[[#This Row],[Tech Start Date]],9),""))))</f>
        <v/>
      </c>
      <c r="Q454" s="67">
        <v>39976</v>
      </c>
      <c r="R454" s="67"/>
      <c r="S454" s="65" t="s">
        <v>11</v>
      </c>
      <c r="T454" s="70" t="s">
        <v>4</v>
      </c>
      <c r="U454" s="65" t="s">
        <v>14</v>
      </c>
      <c r="V454" s="65" t="s">
        <v>1915</v>
      </c>
      <c r="W454" s="65" t="s">
        <v>1922</v>
      </c>
      <c r="X454" s="65" t="s">
        <v>2824</v>
      </c>
      <c r="Y454" s="65" t="s">
        <v>2943</v>
      </c>
      <c r="Z454" s="65" t="s">
        <v>4</v>
      </c>
      <c r="AA454" s="65" t="s">
        <v>2824</v>
      </c>
    </row>
    <row r="455" spans="1:27" ht="17.45" hidden="1" customHeight="1">
      <c r="A455" s="100" t="str">
        <f>IF(priority(Main[[#This Row],[Comments]])&lt;&gt;0, priority(Main[[#This Row],[Comments]]),"")</f>
        <v/>
      </c>
      <c r="B455" s="77" t="s">
        <v>1391</v>
      </c>
      <c r="C455" s="65" t="s">
        <v>83</v>
      </c>
      <c r="D455" s="66" t="s">
        <v>478</v>
      </c>
      <c r="E455" s="67"/>
      <c r="F455" s="67"/>
      <c r="G455" s="64" t="str">
        <f>IF(stdProdLT(Main[[#This Row],[Comments]])=0.1,"N/A",IF(stdProdLT(Main[[#This Row],[Comments]])=0,"",stdProdLT(Main[[#This Row],[Comments]])))</f>
        <v/>
      </c>
      <c r="H455" s="68" t="str">
        <f>IF(AND(Main[[#This Row],[In Stock Date]]&lt;&gt;"",Main[[#This Row],[Revised Due Date]]&lt;&gt;""),Main[[#This Row],[In Stock Date]]-Main[[#This Row],[Revised Due Date]],"")</f>
        <v/>
      </c>
      <c r="I455" s="65" t="s">
        <v>4</v>
      </c>
      <c r="J455" s="65" t="s">
        <v>4</v>
      </c>
      <c r="K455" s="65" t="s">
        <v>4</v>
      </c>
      <c r="L455" s="67"/>
      <c r="M455" s="69" t="str">
        <f>IF(Main[[#This Row],[Tech Start Date]]&lt;1/1/1990,"",IF(Main[[#This Row],[Class]]="C",WORKDAY(Main[[#This Row],[Tech Start Date]],9),IF(Main[[#This Row],[Class]]="B", WORKDAY(Main[[#This Row],[Tech Start Date]],6),IF(Main[[#This Row],[Class]]="A",WORKDAY(Main[[#This Row],[Tech Start Date]],2),""))))</f>
        <v/>
      </c>
      <c r="N455" s="69" t="str">
        <f>IF(Main[[#This Row],[Tech Start Date]]&lt;1/1/1990,"",IF(Main[[#This Row],[Class]]="C",WORKDAY(Main[[#This Row],[Tech Start Date]],19),IF(Main[[#This Row],[Class]]="B", WORKDAY(Main[[#This Row],[Tech Start Date]],12),IF(Main[[#This Row],[Class]]="A",WORKDAY(Main[[#This Row],[Tech Start Date]],4),""))))</f>
        <v/>
      </c>
      <c r="O455" s="69" t="str">
        <f>IF(Main[[#This Row],[Tech Start Date]]&lt;1/1/1990,"",IF(Main[[#This Row],[Class]]="C",WORKDAY(Main[[#This Row],[Tech Start Date]],23),IF(Main[[#This Row],[Class]]="B", WORKDAY(Main[[#This Row],[Tech Start Date]],15),IF(Main[[#This Row],[Class]]="A",WORKDAY(Main[[#This Row],[Tech Start Date]],5),""))))</f>
        <v/>
      </c>
      <c r="P455" s="69" t="str">
        <f>IF(Main[[#This Row],[Tech Start Date]]&lt;1/1/1990,"",IF(Main[[#This Row],[Class]]="C",WORKDAY(Main[[#This Row],[Tech Start Date]],28),IF(Main[[#This Row],[Class]]="B", WORKDAY(Main[[#This Row],[Tech Start Date]],19),IF(Main[[#This Row],[Class]]="A",WORKDAY(Main[[#This Row],[Tech Start Date]],9),""))))</f>
        <v/>
      </c>
      <c r="Q455" s="67">
        <v>40137</v>
      </c>
      <c r="R455" s="67"/>
      <c r="S455" s="65" t="s">
        <v>11</v>
      </c>
      <c r="T455" s="70" t="s">
        <v>4</v>
      </c>
      <c r="U455" s="65" t="s">
        <v>14</v>
      </c>
      <c r="V455" s="65" t="s">
        <v>1914</v>
      </c>
      <c r="W455" s="65" t="s">
        <v>1925</v>
      </c>
      <c r="X455" s="65" t="s">
        <v>2817</v>
      </c>
      <c r="Y455" s="65" t="s">
        <v>4</v>
      </c>
      <c r="Z455" s="65" t="s">
        <v>4</v>
      </c>
      <c r="AA455" s="65" t="s">
        <v>2817</v>
      </c>
    </row>
    <row r="456" spans="1:27" ht="17.45" hidden="1" customHeight="1">
      <c r="A456" s="100" t="str">
        <f>IF(priority(Main[[#This Row],[Comments]])&lt;&gt;0, priority(Main[[#This Row],[Comments]]),"")</f>
        <v/>
      </c>
      <c r="B456" s="77" t="s">
        <v>1392</v>
      </c>
      <c r="C456" s="65" t="s">
        <v>95</v>
      </c>
      <c r="D456" s="66" t="s">
        <v>479</v>
      </c>
      <c r="E456" s="67"/>
      <c r="F456" s="67">
        <v>40196</v>
      </c>
      <c r="G456" s="64" t="str">
        <f>IF(stdProdLT(Main[[#This Row],[Comments]])=0.1,"N/A",IF(stdProdLT(Main[[#This Row],[Comments]])=0,"",stdProdLT(Main[[#This Row],[Comments]])))</f>
        <v/>
      </c>
      <c r="H456" s="68" t="str">
        <f>IF(AND(Main[[#This Row],[In Stock Date]]&lt;&gt;"",Main[[#This Row],[Revised Due Date]]&lt;&gt;""),Main[[#This Row],[In Stock Date]]-Main[[#This Row],[Revised Due Date]],"")</f>
        <v/>
      </c>
      <c r="I456" s="65" t="s">
        <v>4</v>
      </c>
      <c r="J456" s="65" t="s">
        <v>4</v>
      </c>
      <c r="K456" s="71" t="s">
        <v>4</v>
      </c>
      <c r="L456" s="67"/>
      <c r="M456" s="69" t="str">
        <f>IF(Main[[#This Row],[Tech Start Date]]&lt;1/1/1990,"",IF(Main[[#This Row],[Class]]="C",WORKDAY(Main[[#This Row],[Tech Start Date]],9),IF(Main[[#This Row],[Class]]="B", WORKDAY(Main[[#This Row],[Tech Start Date]],6),IF(Main[[#This Row],[Class]]="A",WORKDAY(Main[[#This Row],[Tech Start Date]],2),""))))</f>
        <v/>
      </c>
      <c r="N456" s="69" t="str">
        <f>IF(Main[[#This Row],[Tech Start Date]]&lt;1/1/1990,"",IF(Main[[#This Row],[Class]]="C",WORKDAY(Main[[#This Row],[Tech Start Date]],19),IF(Main[[#This Row],[Class]]="B", WORKDAY(Main[[#This Row],[Tech Start Date]],12),IF(Main[[#This Row],[Class]]="A",WORKDAY(Main[[#This Row],[Tech Start Date]],4),""))))</f>
        <v/>
      </c>
      <c r="O456" s="69" t="str">
        <f>IF(Main[[#This Row],[Tech Start Date]]&lt;1/1/1990,"",IF(Main[[#This Row],[Class]]="C",WORKDAY(Main[[#This Row],[Tech Start Date]],23),IF(Main[[#This Row],[Class]]="B", WORKDAY(Main[[#This Row],[Tech Start Date]],15),IF(Main[[#This Row],[Class]]="A",WORKDAY(Main[[#This Row],[Tech Start Date]],5),""))))</f>
        <v/>
      </c>
      <c r="P456" s="69" t="str">
        <f>IF(Main[[#This Row],[Tech Start Date]]&lt;1/1/1990,"",IF(Main[[#This Row],[Class]]="C",WORKDAY(Main[[#This Row],[Tech Start Date]],28),IF(Main[[#This Row],[Class]]="B", WORKDAY(Main[[#This Row],[Tech Start Date]],19),IF(Main[[#This Row],[Class]]="A",WORKDAY(Main[[#This Row],[Tech Start Date]],9),""))))</f>
        <v/>
      </c>
      <c r="Q456" s="67">
        <v>40077</v>
      </c>
      <c r="R456" s="67"/>
      <c r="S456" s="65" t="s">
        <v>11</v>
      </c>
      <c r="T456" s="70" t="s">
        <v>4</v>
      </c>
      <c r="U456" s="65" t="s">
        <v>14</v>
      </c>
      <c r="V456" s="65" t="s">
        <v>1917</v>
      </c>
      <c r="W456" s="65" t="s">
        <v>1922</v>
      </c>
      <c r="X456" s="65" t="s">
        <v>2876</v>
      </c>
      <c r="Y456" s="65" t="s">
        <v>4</v>
      </c>
      <c r="Z456" s="65" t="s">
        <v>4</v>
      </c>
      <c r="AA456" s="65" t="s">
        <v>3407</v>
      </c>
    </row>
    <row r="457" spans="1:27" ht="17.45" hidden="1" customHeight="1">
      <c r="A457" s="100" t="str">
        <f>IF(priority(Main[[#This Row],[Comments]])&lt;&gt;0, priority(Main[[#This Row],[Comments]]),"")</f>
        <v/>
      </c>
      <c r="B457" s="77" t="s">
        <v>2715</v>
      </c>
      <c r="C457" s="65" t="s">
        <v>4</v>
      </c>
      <c r="D457" s="66" t="s">
        <v>2716</v>
      </c>
      <c r="E457" s="67">
        <v>40897.44736111111</v>
      </c>
      <c r="F457" s="67"/>
      <c r="G457" s="64" t="str">
        <f>IF(stdProdLT(Main[[#This Row],[Comments]])=0.1,"N/A",IF(stdProdLT(Main[[#This Row],[Comments]])=0,"",stdProdLT(Main[[#This Row],[Comments]])))</f>
        <v/>
      </c>
      <c r="H457" s="68" t="str">
        <f>IF(AND(Main[[#This Row],[In Stock Date]]&lt;&gt;"",Main[[#This Row],[Revised Due Date]]&lt;&gt;""),Main[[#This Row],[In Stock Date]]-Main[[#This Row],[Revised Due Date]],"")</f>
        <v/>
      </c>
      <c r="I457" s="65" t="s">
        <v>4</v>
      </c>
      <c r="J457" s="65" t="s">
        <v>4</v>
      </c>
      <c r="K457" s="65" t="s">
        <v>4</v>
      </c>
      <c r="L457" s="67"/>
      <c r="M457" s="69" t="str">
        <f>IF(Main[[#This Row],[Tech Start Date]]&lt;1/1/1990,"",IF(Main[[#This Row],[Class]]="C",WORKDAY(Main[[#This Row],[Tech Start Date]],9),IF(Main[[#This Row],[Class]]="B", WORKDAY(Main[[#This Row],[Tech Start Date]],6),IF(Main[[#This Row],[Class]]="A",WORKDAY(Main[[#This Row],[Tech Start Date]],2),""))))</f>
        <v/>
      </c>
      <c r="N457" s="69" t="str">
        <f>IF(Main[[#This Row],[Tech Start Date]]&lt;1/1/1990,"",IF(Main[[#This Row],[Class]]="C",WORKDAY(Main[[#This Row],[Tech Start Date]],19),IF(Main[[#This Row],[Class]]="B", WORKDAY(Main[[#This Row],[Tech Start Date]],12),IF(Main[[#This Row],[Class]]="A",WORKDAY(Main[[#This Row],[Tech Start Date]],4),""))))</f>
        <v/>
      </c>
      <c r="O457" s="69" t="str">
        <f>IF(Main[[#This Row],[Tech Start Date]]&lt;1/1/1990,"",IF(Main[[#This Row],[Class]]="C",WORKDAY(Main[[#This Row],[Tech Start Date]],23),IF(Main[[#This Row],[Class]]="B", WORKDAY(Main[[#This Row],[Tech Start Date]],15),IF(Main[[#This Row],[Class]]="A",WORKDAY(Main[[#This Row],[Tech Start Date]],5),""))))</f>
        <v/>
      </c>
      <c r="P457" s="69" t="str">
        <f>IF(Main[[#This Row],[Tech Start Date]]&lt;1/1/1990,"",IF(Main[[#This Row],[Class]]="C",WORKDAY(Main[[#This Row],[Tech Start Date]],28),IF(Main[[#This Row],[Class]]="B", WORKDAY(Main[[#This Row],[Tech Start Date]],19),IF(Main[[#This Row],[Class]]="A",WORKDAY(Main[[#This Row],[Tech Start Date]],9),""))))</f>
        <v/>
      </c>
      <c r="Q457" s="67"/>
      <c r="R457" s="67"/>
      <c r="S457" s="65" t="s">
        <v>23</v>
      </c>
      <c r="T457" s="70" t="s">
        <v>4</v>
      </c>
      <c r="U457" s="65" t="s">
        <v>7</v>
      </c>
      <c r="V457" s="65" t="s">
        <v>1915</v>
      </c>
      <c r="W457" s="65" t="s">
        <v>1918</v>
      </c>
      <c r="X457" s="65" t="s">
        <v>399</v>
      </c>
      <c r="Y457" s="65" t="s">
        <v>4</v>
      </c>
      <c r="Z457" s="65" t="s">
        <v>4</v>
      </c>
      <c r="AA457" s="65" t="s">
        <v>3386</v>
      </c>
    </row>
    <row r="458" spans="1:27" ht="17.45" hidden="1" customHeight="1">
      <c r="A458" s="100" t="str">
        <f>IF(priority(Main[[#This Row],[Comments]])&lt;&gt;0, priority(Main[[#This Row],[Comments]]),"")</f>
        <v/>
      </c>
      <c r="B458" s="77" t="s">
        <v>1410</v>
      </c>
      <c r="C458" s="65" t="s">
        <v>4</v>
      </c>
      <c r="D458" s="66" t="s">
        <v>492</v>
      </c>
      <c r="E458" s="67"/>
      <c r="F458" s="67"/>
      <c r="G458" s="64" t="str">
        <f>IF(stdProdLT(Main[[#This Row],[Comments]])=0.1,"N/A",IF(stdProdLT(Main[[#This Row],[Comments]])=0,"",stdProdLT(Main[[#This Row],[Comments]])))</f>
        <v/>
      </c>
      <c r="H458" s="68" t="str">
        <f>IF(AND(Main[[#This Row],[In Stock Date]]&lt;&gt;"",Main[[#This Row],[Revised Due Date]]&lt;&gt;""),Main[[#This Row],[In Stock Date]]-Main[[#This Row],[Revised Due Date]],"")</f>
        <v/>
      </c>
      <c r="I458" s="65" t="s">
        <v>81</v>
      </c>
      <c r="J458" s="65" t="s">
        <v>4</v>
      </c>
      <c r="K458" s="65" t="s">
        <v>4</v>
      </c>
      <c r="L458" s="67"/>
      <c r="M458" s="69" t="str">
        <f>IF(Main[[#This Row],[Tech Start Date]]&lt;1/1/1990,"",IF(Main[[#This Row],[Class]]="C",WORKDAY(Main[[#This Row],[Tech Start Date]],9),IF(Main[[#This Row],[Class]]="B", WORKDAY(Main[[#This Row],[Tech Start Date]],6),IF(Main[[#This Row],[Class]]="A",WORKDAY(Main[[#This Row],[Tech Start Date]],2),""))))</f>
        <v/>
      </c>
      <c r="N458" s="69" t="str">
        <f>IF(Main[[#This Row],[Tech Start Date]]&lt;1/1/1990,"",IF(Main[[#This Row],[Class]]="C",WORKDAY(Main[[#This Row],[Tech Start Date]],19),IF(Main[[#This Row],[Class]]="B", WORKDAY(Main[[#This Row],[Tech Start Date]],12),IF(Main[[#This Row],[Class]]="A",WORKDAY(Main[[#This Row],[Tech Start Date]],4),""))))</f>
        <v/>
      </c>
      <c r="O458" s="69" t="str">
        <f>IF(Main[[#This Row],[Tech Start Date]]&lt;1/1/1990,"",IF(Main[[#This Row],[Class]]="C",WORKDAY(Main[[#This Row],[Tech Start Date]],23),IF(Main[[#This Row],[Class]]="B", WORKDAY(Main[[#This Row],[Tech Start Date]],15),IF(Main[[#This Row],[Class]]="A",WORKDAY(Main[[#This Row],[Tech Start Date]],5),""))))</f>
        <v/>
      </c>
      <c r="P458" s="69" t="str">
        <f>IF(Main[[#This Row],[Tech Start Date]]&lt;1/1/1990,"",IF(Main[[#This Row],[Class]]="C",WORKDAY(Main[[#This Row],[Tech Start Date]],28),IF(Main[[#This Row],[Class]]="B", WORKDAY(Main[[#This Row],[Tech Start Date]],19),IF(Main[[#This Row],[Class]]="A",WORKDAY(Main[[#This Row],[Tech Start Date]],9),""))))</f>
        <v/>
      </c>
      <c r="Q458" s="67">
        <v>40338</v>
      </c>
      <c r="R458" s="67"/>
      <c r="S458" s="65" t="s">
        <v>6</v>
      </c>
      <c r="T458" s="70" t="s">
        <v>4</v>
      </c>
      <c r="U458" s="65" t="s">
        <v>14</v>
      </c>
      <c r="V458" s="65" t="s">
        <v>1917</v>
      </c>
      <c r="W458" s="65" t="s">
        <v>1918</v>
      </c>
      <c r="X458" s="65" t="s">
        <v>399</v>
      </c>
      <c r="Y458" s="65" t="s">
        <v>3061</v>
      </c>
      <c r="Z458" s="65" t="s">
        <v>4</v>
      </c>
      <c r="AA458" s="65" t="s">
        <v>3418</v>
      </c>
    </row>
    <row r="459" spans="1:27" ht="17.45" hidden="1" customHeight="1">
      <c r="A459" s="100" t="str">
        <f>IF(priority(Main[[#This Row],[Comments]])&lt;&gt;0, priority(Main[[#This Row],[Comments]]),"")</f>
        <v/>
      </c>
      <c r="B459" s="77" t="s">
        <v>1411</v>
      </c>
      <c r="C459" s="65" t="s">
        <v>493</v>
      </c>
      <c r="D459" s="66" t="s">
        <v>494</v>
      </c>
      <c r="E459" s="67"/>
      <c r="F459" s="67"/>
      <c r="G459" s="64" t="str">
        <f>IF(stdProdLT(Main[[#This Row],[Comments]])=0.1,"N/A",IF(stdProdLT(Main[[#This Row],[Comments]])=0,"",stdProdLT(Main[[#This Row],[Comments]])))</f>
        <v/>
      </c>
      <c r="H459" s="68" t="str">
        <f>IF(AND(Main[[#This Row],[In Stock Date]]&lt;&gt;"",Main[[#This Row],[Revised Due Date]]&lt;&gt;""),Main[[#This Row],[In Stock Date]]-Main[[#This Row],[Revised Due Date]],"")</f>
        <v/>
      </c>
      <c r="I459" s="65" t="s">
        <v>4</v>
      </c>
      <c r="J459" s="65" t="s">
        <v>4</v>
      </c>
      <c r="K459" s="65" t="s">
        <v>4</v>
      </c>
      <c r="L459" s="67"/>
      <c r="M459" s="69" t="str">
        <f>IF(Main[[#This Row],[Tech Start Date]]&lt;1/1/1990,"",IF(Main[[#This Row],[Class]]="C",WORKDAY(Main[[#This Row],[Tech Start Date]],9),IF(Main[[#This Row],[Class]]="B", WORKDAY(Main[[#This Row],[Tech Start Date]],6),IF(Main[[#This Row],[Class]]="A",WORKDAY(Main[[#This Row],[Tech Start Date]],2),""))))</f>
        <v/>
      </c>
      <c r="N459" s="69" t="str">
        <f>IF(Main[[#This Row],[Tech Start Date]]&lt;1/1/1990,"",IF(Main[[#This Row],[Class]]="C",WORKDAY(Main[[#This Row],[Tech Start Date]],19),IF(Main[[#This Row],[Class]]="B", WORKDAY(Main[[#This Row],[Tech Start Date]],12),IF(Main[[#This Row],[Class]]="A",WORKDAY(Main[[#This Row],[Tech Start Date]],4),""))))</f>
        <v/>
      </c>
      <c r="O459" s="69" t="str">
        <f>IF(Main[[#This Row],[Tech Start Date]]&lt;1/1/1990,"",IF(Main[[#This Row],[Class]]="C",WORKDAY(Main[[#This Row],[Tech Start Date]],23),IF(Main[[#This Row],[Class]]="B", WORKDAY(Main[[#This Row],[Tech Start Date]],15),IF(Main[[#This Row],[Class]]="A",WORKDAY(Main[[#This Row],[Tech Start Date]],5),""))))</f>
        <v/>
      </c>
      <c r="P459" s="69" t="str">
        <f>IF(Main[[#This Row],[Tech Start Date]]&lt;1/1/1990,"",IF(Main[[#This Row],[Class]]="C",WORKDAY(Main[[#This Row],[Tech Start Date]],28),IF(Main[[#This Row],[Class]]="B", WORKDAY(Main[[#This Row],[Tech Start Date]],19),IF(Main[[#This Row],[Class]]="A",WORKDAY(Main[[#This Row],[Tech Start Date]],9),""))))</f>
        <v/>
      </c>
      <c r="Q459" s="67">
        <v>40239</v>
      </c>
      <c r="R459" s="67"/>
      <c r="S459" s="65" t="s">
        <v>11</v>
      </c>
      <c r="T459" s="70" t="s">
        <v>4</v>
      </c>
      <c r="U459" s="65" t="s">
        <v>14</v>
      </c>
      <c r="V459" s="65" t="s">
        <v>1917</v>
      </c>
      <c r="W459" s="65" t="s">
        <v>1916</v>
      </c>
      <c r="X459" s="65" t="s">
        <v>2896</v>
      </c>
      <c r="Y459" s="65" t="s">
        <v>4</v>
      </c>
      <c r="Z459" s="65" t="s">
        <v>4</v>
      </c>
      <c r="AA459" s="65" t="s">
        <v>2896</v>
      </c>
    </row>
    <row r="460" spans="1:27" ht="17.45" hidden="1" customHeight="1">
      <c r="A460" s="100" t="str">
        <f>IF(priority(Main[[#This Row],[Comments]])&lt;&gt;0, priority(Main[[#This Row],[Comments]]),"")</f>
        <v/>
      </c>
      <c r="B460" s="77" t="s">
        <v>1412</v>
      </c>
      <c r="C460" s="65" t="s">
        <v>495</v>
      </c>
      <c r="D460" s="66" t="s">
        <v>496</v>
      </c>
      <c r="E460" s="67"/>
      <c r="F460" s="67"/>
      <c r="G460" s="64" t="str">
        <f>IF(stdProdLT(Main[[#This Row],[Comments]])=0.1,"N/A",IF(stdProdLT(Main[[#This Row],[Comments]])=0,"",stdProdLT(Main[[#This Row],[Comments]])))</f>
        <v/>
      </c>
      <c r="H460" s="68" t="str">
        <f>IF(AND(Main[[#This Row],[In Stock Date]]&lt;&gt;"",Main[[#This Row],[Revised Due Date]]&lt;&gt;""),Main[[#This Row],[In Stock Date]]-Main[[#This Row],[Revised Due Date]],"")</f>
        <v/>
      </c>
      <c r="I460" s="65" t="s">
        <v>4</v>
      </c>
      <c r="J460" s="65" t="s">
        <v>4</v>
      </c>
      <c r="K460" s="65" t="s">
        <v>4</v>
      </c>
      <c r="L460" s="67"/>
      <c r="M460" s="69" t="str">
        <f>IF(Main[[#This Row],[Tech Start Date]]&lt;1/1/1990,"",IF(Main[[#This Row],[Class]]="C",WORKDAY(Main[[#This Row],[Tech Start Date]],9),IF(Main[[#This Row],[Class]]="B", WORKDAY(Main[[#This Row],[Tech Start Date]],6),IF(Main[[#This Row],[Class]]="A",WORKDAY(Main[[#This Row],[Tech Start Date]],2),""))))</f>
        <v/>
      </c>
      <c r="N460" s="69" t="str">
        <f>IF(Main[[#This Row],[Tech Start Date]]&lt;1/1/1990,"",IF(Main[[#This Row],[Class]]="C",WORKDAY(Main[[#This Row],[Tech Start Date]],19),IF(Main[[#This Row],[Class]]="B", WORKDAY(Main[[#This Row],[Tech Start Date]],12),IF(Main[[#This Row],[Class]]="A",WORKDAY(Main[[#This Row],[Tech Start Date]],4),""))))</f>
        <v/>
      </c>
      <c r="O460" s="69" t="str">
        <f>IF(Main[[#This Row],[Tech Start Date]]&lt;1/1/1990,"",IF(Main[[#This Row],[Class]]="C",WORKDAY(Main[[#This Row],[Tech Start Date]],23),IF(Main[[#This Row],[Class]]="B", WORKDAY(Main[[#This Row],[Tech Start Date]],15),IF(Main[[#This Row],[Class]]="A",WORKDAY(Main[[#This Row],[Tech Start Date]],5),""))))</f>
        <v/>
      </c>
      <c r="P460" s="69" t="str">
        <f>IF(Main[[#This Row],[Tech Start Date]]&lt;1/1/1990,"",IF(Main[[#This Row],[Class]]="C",WORKDAY(Main[[#This Row],[Tech Start Date]],28),IF(Main[[#This Row],[Class]]="B", WORKDAY(Main[[#This Row],[Tech Start Date]],19),IF(Main[[#This Row],[Class]]="A",WORKDAY(Main[[#This Row],[Tech Start Date]],9),""))))</f>
        <v/>
      </c>
      <c r="Q460" s="67"/>
      <c r="R460" s="67"/>
      <c r="S460" s="65" t="s">
        <v>11</v>
      </c>
      <c r="T460" s="70" t="s">
        <v>4</v>
      </c>
      <c r="U460" s="65" t="s">
        <v>14</v>
      </c>
      <c r="V460" s="65" t="s">
        <v>1914</v>
      </c>
      <c r="W460" s="65" t="s">
        <v>1922</v>
      </c>
      <c r="X460" s="65" t="s">
        <v>50</v>
      </c>
      <c r="Y460" s="65" t="s">
        <v>3062</v>
      </c>
      <c r="Z460" s="65" t="s">
        <v>4</v>
      </c>
      <c r="AA460" s="65" t="s">
        <v>2860</v>
      </c>
    </row>
    <row r="461" spans="1:27" ht="17.45" hidden="1" customHeight="1">
      <c r="A461" s="100" t="str">
        <f>IF(priority(Main[[#This Row],[Comments]])&lt;&gt;0, priority(Main[[#This Row],[Comments]]),"")</f>
        <v/>
      </c>
      <c r="B461" s="77" t="s">
        <v>1413</v>
      </c>
      <c r="C461" s="65" t="s">
        <v>93</v>
      </c>
      <c r="D461" s="66" t="s">
        <v>497</v>
      </c>
      <c r="E461" s="67"/>
      <c r="F461" s="67">
        <v>40132</v>
      </c>
      <c r="G461" s="64" t="str">
        <f>IF(stdProdLT(Main[[#This Row],[Comments]])=0.1,"N/A",IF(stdProdLT(Main[[#This Row],[Comments]])=0,"",stdProdLT(Main[[#This Row],[Comments]])))</f>
        <v/>
      </c>
      <c r="H461" s="68" t="str">
        <f>IF(AND(Main[[#This Row],[In Stock Date]]&lt;&gt;"",Main[[#This Row],[Revised Due Date]]&lt;&gt;""),Main[[#This Row],[In Stock Date]]-Main[[#This Row],[Revised Due Date]],"")</f>
        <v/>
      </c>
      <c r="I461" s="65" t="s">
        <v>4</v>
      </c>
      <c r="J461" s="65" t="s">
        <v>4</v>
      </c>
      <c r="K461" s="65" t="s">
        <v>4</v>
      </c>
      <c r="L461" s="67"/>
      <c r="M461" s="69" t="str">
        <f>IF(Main[[#This Row],[Tech Start Date]]&lt;1/1/1990,"",IF(Main[[#This Row],[Class]]="C",WORKDAY(Main[[#This Row],[Tech Start Date]],9),IF(Main[[#This Row],[Class]]="B", WORKDAY(Main[[#This Row],[Tech Start Date]],6),IF(Main[[#This Row],[Class]]="A",WORKDAY(Main[[#This Row],[Tech Start Date]],2),""))))</f>
        <v/>
      </c>
      <c r="N461" s="69" t="str">
        <f>IF(Main[[#This Row],[Tech Start Date]]&lt;1/1/1990,"",IF(Main[[#This Row],[Class]]="C",WORKDAY(Main[[#This Row],[Tech Start Date]],19),IF(Main[[#This Row],[Class]]="B", WORKDAY(Main[[#This Row],[Tech Start Date]],12),IF(Main[[#This Row],[Class]]="A",WORKDAY(Main[[#This Row],[Tech Start Date]],4),""))))</f>
        <v/>
      </c>
      <c r="O461" s="69" t="str">
        <f>IF(Main[[#This Row],[Tech Start Date]]&lt;1/1/1990,"",IF(Main[[#This Row],[Class]]="C",WORKDAY(Main[[#This Row],[Tech Start Date]],23),IF(Main[[#This Row],[Class]]="B", WORKDAY(Main[[#This Row],[Tech Start Date]],15),IF(Main[[#This Row],[Class]]="A",WORKDAY(Main[[#This Row],[Tech Start Date]],5),""))))</f>
        <v/>
      </c>
      <c r="P461" s="69" t="str">
        <f>IF(Main[[#This Row],[Tech Start Date]]&lt;1/1/1990,"",IF(Main[[#This Row],[Class]]="C",WORKDAY(Main[[#This Row],[Tech Start Date]],28),IF(Main[[#This Row],[Class]]="B", WORKDAY(Main[[#This Row],[Tech Start Date]],19),IF(Main[[#This Row],[Class]]="A",WORKDAY(Main[[#This Row],[Tech Start Date]],9),""))))</f>
        <v/>
      </c>
      <c r="Q461" s="67">
        <v>40132</v>
      </c>
      <c r="R461" s="67"/>
      <c r="S461" s="65" t="s">
        <v>11</v>
      </c>
      <c r="T461" s="70" t="s">
        <v>4</v>
      </c>
      <c r="U461" s="65" t="s">
        <v>14</v>
      </c>
      <c r="V461" s="65" t="s">
        <v>1924</v>
      </c>
      <c r="W461" s="65" t="s">
        <v>1925</v>
      </c>
      <c r="X461" s="65" t="s">
        <v>2856</v>
      </c>
      <c r="Y461" s="65" t="s">
        <v>4</v>
      </c>
      <c r="Z461" s="65" t="s">
        <v>4</v>
      </c>
      <c r="AA461" s="65" t="s">
        <v>2856</v>
      </c>
    </row>
    <row r="462" spans="1:27" ht="17.45" hidden="1" customHeight="1">
      <c r="A462" s="100" t="str">
        <f>IF(priority(Main[[#This Row],[Comments]])&lt;&gt;0, priority(Main[[#This Row],[Comments]]),"")</f>
        <v/>
      </c>
      <c r="B462" s="77" t="s">
        <v>1414</v>
      </c>
      <c r="C462" s="65" t="s">
        <v>99</v>
      </c>
      <c r="D462" s="66" t="s">
        <v>498</v>
      </c>
      <c r="E462" s="67"/>
      <c r="F462" s="67">
        <v>40435</v>
      </c>
      <c r="G462" s="64" t="str">
        <f>IF(stdProdLT(Main[[#This Row],[Comments]])=0.1,"N/A",IF(stdProdLT(Main[[#This Row],[Comments]])=0,"",stdProdLT(Main[[#This Row],[Comments]])))</f>
        <v/>
      </c>
      <c r="H462" s="68" t="str">
        <f>IF(AND(Main[[#This Row],[In Stock Date]]&lt;&gt;"",Main[[#This Row],[Revised Due Date]]&lt;&gt;""),Main[[#This Row],[In Stock Date]]-Main[[#This Row],[Revised Due Date]],"")</f>
        <v/>
      </c>
      <c r="I462" s="65" t="s">
        <v>4</v>
      </c>
      <c r="J462" s="65" t="s">
        <v>28</v>
      </c>
      <c r="K462" s="65" t="s">
        <v>4</v>
      </c>
      <c r="L462" s="67"/>
      <c r="M462" s="69" t="str">
        <f>IF(Main[[#This Row],[Tech Start Date]]&lt;1/1/1990,"",IF(Main[[#This Row],[Class]]="C",WORKDAY(Main[[#This Row],[Tech Start Date]],9),IF(Main[[#This Row],[Class]]="B", WORKDAY(Main[[#This Row],[Tech Start Date]],6),IF(Main[[#This Row],[Class]]="A",WORKDAY(Main[[#This Row],[Tech Start Date]],2),""))))</f>
        <v/>
      </c>
      <c r="N462" s="69" t="str">
        <f>IF(Main[[#This Row],[Tech Start Date]]&lt;1/1/1990,"",IF(Main[[#This Row],[Class]]="C",WORKDAY(Main[[#This Row],[Tech Start Date]],19),IF(Main[[#This Row],[Class]]="B", WORKDAY(Main[[#This Row],[Tech Start Date]],12),IF(Main[[#This Row],[Class]]="A",WORKDAY(Main[[#This Row],[Tech Start Date]],4),""))))</f>
        <v/>
      </c>
      <c r="O462" s="69" t="str">
        <f>IF(Main[[#This Row],[Tech Start Date]]&lt;1/1/1990,"",IF(Main[[#This Row],[Class]]="C",WORKDAY(Main[[#This Row],[Tech Start Date]],23),IF(Main[[#This Row],[Class]]="B", WORKDAY(Main[[#This Row],[Tech Start Date]],15),IF(Main[[#This Row],[Class]]="A",WORKDAY(Main[[#This Row],[Tech Start Date]],5),""))))</f>
        <v/>
      </c>
      <c r="P462" s="69" t="str">
        <f>IF(Main[[#This Row],[Tech Start Date]]&lt;1/1/1990,"",IF(Main[[#This Row],[Class]]="C",WORKDAY(Main[[#This Row],[Tech Start Date]],28),IF(Main[[#This Row],[Class]]="B", WORKDAY(Main[[#This Row],[Tech Start Date]],19),IF(Main[[#This Row],[Class]]="A",WORKDAY(Main[[#This Row],[Tech Start Date]],9),""))))</f>
        <v/>
      </c>
      <c r="Q462" s="67">
        <v>40435</v>
      </c>
      <c r="R462" s="67"/>
      <c r="S462" s="65" t="s">
        <v>11</v>
      </c>
      <c r="T462" s="70" t="s">
        <v>4</v>
      </c>
      <c r="U462" s="65" t="s">
        <v>14</v>
      </c>
      <c r="V462" s="65" t="s">
        <v>1917</v>
      </c>
      <c r="W462" s="65" t="s">
        <v>1919</v>
      </c>
      <c r="X462" s="65" t="s">
        <v>2837</v>
      </c>
      <c r="Y462" s="65" t="s">
        <v>2966</v>
      </c>
      <c r="Z462" s="65" t="s">
        <v>530</v>
      </c>
      <c r="AA462" s="65" t="s">
        <v>2834</v>
      </c>
    </row>
    <row r="463" spans="1:27" ht="17.45" hidden="1" customHeight="1">
      <c r="A463" s="100" t="str">
        <f>IF(priority(Main[[#This Row],[Comments]])&lt;&gt;0, priority(Main[[#This Row],[Comments]]),"")</f>
        <v/>
      </c>
      <c r="B463" s="77" t="s">
        <v>1281</v>
      </c>
      <c r="C463" s="65" t="s">
        <v>42</v>
      </c>
      <c r="D463" s="66" t="s">
        <v>355</v>
      </c>
      <c r="E463" s="67"/>
      <c r="F463" s="67"/>
      <c r="G463" s="64" t="str">
        <f>IF(stdProdLT(Main[[#This Row],[Comments]])=0.1,"N/A",IF(stdProdLT(Main[[#This Row],[Comments]])=0,"",stdProdLT(Main[[#This Row],[Comments]])))</f>
        <v/>
      </c>
      <c r="H463" s="68" t="str">
        <f>IF(AND(Main[[#This Row],[In Stock Date]]&lt;&gt;"",Main[[#This Row],[Revised Due Date]]&lt;&gt;""),Main[[#This Row],[In Stock Date]]-Main[[#This Row],[Revised Due Date]],"")</f>
        <v/>
      </c>
      <c r="I463" s="65" t="s">
        <v>4</v>
      </c>
      <c r="J463" s="65" t="s">
        <v>4</v>
      </c>
      <c r="K463" s="65" t="s">
        <v>4</v>
      </c>
      <c r="L463" s="67"/>
      <c r="M463" s="69" t="str">
        <f>IF(Main[[#This Row],[Tech Start Date]]&lt;1/1/1990,"",IF(Main[[#This Row],[Class]]="C",WORKDAY(Main[[#This Row],[Tech Start Date]],9),IF(Main[[#This Row],[Class]]="B", WORKDAY(Main[[#This Row],[Tech Start Date]],6),IF(Main[[#This Row],[Class]]="A",WORKDAY(Main[[#This Row],[Tech Start Date]],2),""))))</f>
        <v/>
      </c>
      <c r="N463" s="69" t="str">
        <f>IF(Main[[#This Row],[Tech Start Date]]&lt;1/1/1990,"",IF(Main[[#This Row],[Class]]="C",WORKDAY(Main[[#This Row],[Tech Start Date]],19),IF(Main[[#This Row],[Class]]="B", WORKDAY(Main[[#This Row],[Tech Start Date]],12),IF(Main[[#This Row],[Class]]="A",WORKDAY(Main[[#This Row],[Tech Start Date]],4),""))))</f>
        <v/>
      </c>
      <c r="O463" s="69" t="str">
        <f>IF(Main[[#This Row],[Tech Start Date]]&lt;1/1/1990,"",IF(Main[[#This Row],[Class]]="C",WORKDAY(Main[[#This Row],[Tech Start Date]],23),IF(Main[[#This Row],[Class]]="B", WORKDAY(Main[[#This Row],[Tech Start Date]],15),IF(Main[[#This Row],[Class]]="A",WORKDAY(Main[[#This Row],[Tech Start Date]],5),""))))</f>
        <v/>
      </c>
      <c r="P463" s="69" t="str">
        <f>IF(Main[[#This Row],[Tech Start Date]]&lt;1/1/1990,"",IF(Main[[#This Row],[Class]]="C",WORKDAY(Main[[#This Row],[Tech Start Date]],28),IF(Main[[#This Row],[Class]]="B", WORKDAY(Main[[#This Row],[Tech Start Date]],19),IF(Main[[#This Row],[Class]]="A",WORKDAY(Main[[#This Row],[Tech Start Date]],9),""))))</f>
        <v/>
      </c>
      <c r="Q463" s="67"/>
      <c r="R463" s="67"/>
      <c r="S463" s="65" t="s">
        <v>17</v>
      </c>
      <c r="T463" s="70" t="s">
        <v>4</v>
      </c>
      <c r="U463" s="65" t="s">
        <v>14</v>
      </c>
      <c r="V463" s="65" t="s">
        <v>1917</v>
      </c>
      <c r="W463" s="65" t="s">
        <v>4</v>
      </c>
      <c r="X463" s="65" t="s">
        <v>399</v>
      </c>
      <c r="Y463" s="65" t="s">
        <v>4</v>
      </c>
      <c r="Z463" s="65" t="s">
        <v>4</v>
      </c>
      <c r="AA463" s="65" t="s">
        <v>3419</v>
      </c>
    </row>
    <row r="464" spans="1:27" ht="17.45" hidden="1" customHeight="1">
      <c r="A464" s="100" t="str">
        <f>IF(priority(Main[[#This Row],[Comments]])&lt;&gt;0, priority(Main[[#This Row],[Comments]]),"")</f>
        <v/>
      </c>
      <c r="B464" s="77" t="s">
        <v>1415</v>
      </c>
      <c r="C464" s="65" t="s">
        <v>499</v>
      </c>
      <c r="D464" s="66" t="s">
        <v>500</v>
      </c>
      <c r="E464" s="67"/>
      <c r="F464" s="67">
        <v>40296</v>
      </c>
      <c r="G464" s="64" t="str">
        <f>IF(stdProdLT(Main[[#This Row],[Comments]])=0.1,"N/A",IF(stdProdLT(Main[[#This Row],[Comments]])=0,"",stdProdLT(Main[[#This Row],[Comments]])))</f>
        <v/>
      </c>
      <c r="H464" s="68" t="str">
        <f>IF(AND(Main[[#This Row],[In Stock Date]]&lt;&gt;"",Main[[#This Row],[Revised Due Date]]&lt;&gt;""),Main[[#This Row],[In Stock Date]]-Main[[#This Row],[Revised Due Date]],"")</f>
        <v/>
      </c>
      <c r="I464" s="65" t="s">
        <v>4</v>
      </c>
      <c r="J464" s="65" t="s">
        <v>4</v>
      </c>
      <c r="K464" s="65" t="s">
        <v>4</v>
      </c>
      <c r="L464" s="67"/>
      <c r="M464" s="69" t="str">
        <f>IF(Main[[#This Row],[Tech Start Date]]&lt;1/1/1990,"",IF(Main[[#This Row],[Class]]="C",WORKDAY(Main[[#This Row],[Tech Start Date]],9),IF(Main[[#This Row],[Class]]="B", WORKDAY(Main[[#This Row],[Tech Start Date]],6),IF(Main[[#This Row],[Class]]="A",WORKDAY(Main[[#This Row],[Tech Start Date]],2),""))))</f>
        <v/>
      </c>
      <c r="N464" s="69" t="str">
        <f>IF(Main[[#This Row],[Tech Start Date]]&lt;1/1/1990,"",IF(Main[[#This Row],[Class]]="C",WORKDAY(Main[[#This Row],[Tech Start Date]],19),IF(Main[[#This Row],[Class]]="B", WORKDAY(Main[[#This Row],[Tech Start Date]],12),IF(Main[[#This Row],[Class]]="A",WORKDAY(Main[[#This Row],[Tech Start Date]],4),""))))</f>
        <v/>
      </c>
      <c r="O464" s="69" t="str">
        <f>IF(Main[[#This Row],[Tech Start Date]]&lt;1/1/1990,"",IF(Main[[#This Row],[Class]]="C",WORKDAY(Main[[#This Row],[Tech Start Date]],23),IF(Main[[#This Row],[Class]]="B", WORKDAY(Main[[#This Row],[Tech Start Date]],15),IF(Main[[#This Row],[Class]]="A",WORKDAY(Main[[#This Row],[Tech Start Date]],5),""))))</f>
        <v/>
      </c>
      <c r="P464" s="69" t="str">
        <f>IF(Main[[#This Row],[Tech Start Date]]&lt;1/1/1990,"",IF(Main[[#This Row],[Class]]="C",WORKDAY(Main[[#This Row],[Tech Start Date]],28),IF(Main[[#This Row],[Class]]="B", WORKDAY(Main[[#This Row],[Tech Start Date]],19),IF(Main[[#This Row],[Class]]="A",WORKDAY(Main[[#This Row],[Tech Start Date]],9),""))))</f>
        <v/>
      </c>
      <c r="Q464" s="67"/>
      <c r="R464" s="67"/>
      <c r="S464" s="65" t="s">
        <v>11</v>
      </c>
      <c r="T464" s="70" t="s">
        <v>4</v>
      </c>
      <c r="U464" s="65" t="s">
        <v>14</v>
      </c>
      <c r="V464" s="65" t="s">
        <v>1924</v>
      </c>
      <c r="W464" s="65" t="s">
        <v>1920</v>
      </c>
      <c r="X464" s="65" t="s">
        <v>2868</v>
      </c>
      <c r="Y464" s="65" t="s">
        <v>3012</v>
      </c>
      <c r="Z464" s="65" t="s">
        <v>4</v>
      </c>
      <c r="AA464" s="65" t="s">
        <v>2868</v>
      </c>
    </row>
    <row r="465" spans="1:27" ht="17.45" hidden="1" customHeight="1">
      <c r="A465" s="100" t="str">
        <f>IF(priority(Main[[#This Row],[Comments]])&lt;&gt;0, priority(Main[[#This Row],[Comments]]),"")</f>
        <v/>
      </c>
      <c r="B465" s="77" t="s">
        <v>1857</v>
      </c>
      <c r="C465" s="65" t="s">
        <v>47</v>
      </c>
      <c r="D465" s="66" t="s">
        <v>914</v>
      </c>
      <c r="E465" s="67">
        <v>39937.592280092591</v>
      </c>
      <c r="F465" s="67"/>
      <c r="G465" s="64" t="str">
        <f>IF(stdProdLT(Main[[#This Row],[Comments]])=0.1,"N/A",IF(stdProdLT(Main[[#This Row],[Comments]])=0,"",stdProdLT(Main[[#This Row],[Comments]])))</f>
        <v/>
      </c>
      <c r="H465" s="68" t="str">
        <f>IF(AND(Main[[#This Row],[In Stock Date]]&lt;&gt;"",Main[[#This Row],[Revised Due Date]]&lt;&gt;""),Main[[#This Row],[In Stock Date]]-Main[[#This Row],[Revised Due Date]],"")</f>
        <v/>
      </c>
      <c r="I465" s="65" t="s">
        <v>889</v>
      </c>
      <c r="J465" s="65" t="s">
        <v>4</v>
      </c>
      <c r="K465" s="65" t="s">
        <v>1926</v>
      </c>
      <c r="L465" s="67"/>
      <c r="M465" s="69" t="str">
        <f>IF(Main[[#This Row],[Tech Start Date]]&lt;1/1/1990,"",IF(Main[[#This Row],[Class]]="C",WORKDAY(Main[[#This Row],[Tech Start Date]],9),IF(Main[[#This Row],[Class]]="B", WORKDAY(Main[[#This Row],[Tech Start Date]],6),IF(Main[[#This Row],[Class]]="A",WORKDAY(Main[[#This Row],[Tech Start Date]],2),""))))</f>
        <v/>
      </c>
      <c r="N465" s="69" t="str">
        <f>IF(Main[[#This Row],[Tech Start Date]]&lt;1/1/1990,"",IF(Main[[#This Row],[Class]]="C",WORKDAY(Main[[#This Row],[Tech Start Date]],19),IF(Main[[#This Row],[Class]]="B", WORKDAY(Main[[#This Row],[Tech Start Date]],12),IF(Main[[#This Row],[Class]]="A",WORKDAY(Main[[#This Row],[Tech Start Date]],4),""))))</f>
        <v/>
      </c>
      <c r="O465" s="69" t="str">
        <f>IF(Main[[#This Row],[Tech Start Date]]&lt;1/1/1990,"",IF(Main[[#This Row],[Class]]="C",WORKDAY(Main[[#This Row],[Tech Start Date]],23),IF(Main[[#This Row],[Class]]="B", WORKDAY(Main[[#This Row],[Tech Start Date]],15),IF(Main[[#This Row],[Class]]="A",WORKDAY(Main[[#This Row],[Tech Start Date]],5),""))))</f>
        <v/>
      </c>
      <c r="P465" s="69" t="str">
        <f>IF(Main[[#This Row],[Tech Start Date]]&lt;1/1/1990,"",IF(Main[[#This Row],[Class]]="C",WORKDAY(Main[[#This Row],[Tech Start Date]],28),IF(Main[[#This Row],[Class]]="B", WORKDAY(Main[[#This Row],[Tech Start Date]],19),IF(Main[[#This Row],[Class]]="A",WORKDAY(Main[[#This Row],[Tech Start Date]],9),""))))</f>
        <v/>
      </c>
      <c r="Q465" s="67">
        <v>40209</v>
      </c>
      <c r="R465" s="67">
        <v>40574</v>
      </c>
      <c r="S465" s="65" t="s">
        <v>17</v>
      </c>
      <c r="T465" s="70" t="s">
        <v>4</v>
      </c>
      <c r="U465" s="65" t="s">
        <v>29</v>
      </c>
      <c r="V465" s="65" t="s">
        <v>1914</v>
      </c>
      <c r="W465" s="65" t="s">
        <v>1918</v>
      </c>
      <c r="X465" s="65" t="s">
        <v>2827</v>
      </c>
      <c r="Y465" s="65" t="s">
        <v>2948</v>
      </c>
      <c r="Z465" s="65" t="s">
        <v>4</v>
      </c>
      <c r="AA465" s="65" t="s">
        <v>2827</v>
      </c>
    </row>
    <row r="466" spans="1:27" ht="17.45" hidden="1" customHeight="1">
      <c r="A466" s="100" t="str">
        <f>IF(priority(Main[[#This Row],[Comments]])&lt;&gt;0, priority(Main[[#This Row],[Comments]]),"")</f>
        <v/>
      </c>
      <c r="B466" s="77" t="s">
        <v>1416</v>
      </c>
      <c r="C466" s="65" t="s">
        <v>501</v>
      </c>
      <c r="D466" s="66" t="s">
        <v>502</v>
      </c>
      <c r="E466" s="67"/>
      <c r="F466" s="67">
        <v>40848</v>
      </c>
      <c r="G466" s="64" t="str">
        <f>IF(stdProdLT(Main[[#This Row],[Comments]])=0.1,"N/A",IF(stdProdLT(Main[[#This Row],[Comments]])=0,"",stdProdLT(Main[[#This Row],[Comments]])))</f>
        <v/>
      </c>
      <c r="H466" s="68" t="str">
        <f>IF(AND(Main[[#This Row],[In Stock Date]]&lt;&gt;"",Main[[#This Row],[Revised Due Date]]&lt;&gt;""),Main[[#This Row],[In Stock Date]]-Main[[#This Row],[Revised Due Date]],"")</f>
        <v/>
      </c>
      <c r="I466" s="65" t="s">
        <v>4</v>
      </c>
      <c r="J466" s="65" t="s">
        <v>28</v>
      </c>
      <c r="K466" s="65" t="s">
        <v>4</v>
      </c>
      <c r="L466" s="67"/>
      <c r="M466" s="69" t="str">
        <f>IF(Main[[#This Row],[Tech Start Date]]&lt;1/1/1990,"",IF(Main[[#This Row],[Class]]="C",WORKDAY(Main[[#This Row],[Tech Start Date]],9),IF(Main[[#This Row],[Class]]="B", WORKDAY(Main[[#This Row],[Tech Start Date]],6),IF(Main[[#This Row],[Class]]="A",WORKDAY(Main[[#This Row],[Tech Start Date]],2),""))))</f>
        <v/>
      </c>
      <c r="N466" s="69" t="str">
        <f>IF(Main[[#This Row],[Tech Start Date]]&lt;1/1/1990,"",IF(Main[[#This Row],[Class]]="C",WORKDAY(Main[[#This Row],[Tech Start Date]],19),IF(Main[[#This Row],[Class]]="B", WORKDAY(Main[[#This Row],[Tech Start Date]],12),IF(Main[[#This Row],[Class]]="A",WORKDAY(Main[[#This Row],[Tech Start Date]],4),""))))</f>
        <v/>
      </c>
      <c r="O466" s="69" t="str">
        <f>IF(Main[[#This Row],[Tech Start Date]]&lt;1/1/1990,"",IF(Main[[#This Row],[Class]]="C",WORKDAY(Main[[#This Row],[Tech Start Date]],23),IF(Main[[#This Row],[Class]]="B", WORKDAY(Main[[#This Row],[Tech Start Date]],15),IF(Main[[#This Row],[Class]]="A",WORKDAY(Main[[#This Row],[Tech Start Date]],5),""))))</f>
        <v/>
      </c>
      <c r="P466" s="69" t="str">
        <f>IF(Main[[#This Row],[Tech Start Date]]&lt;1/1/1990,"",IF(Main[[#This Row],[Class]]="C",WORKDAY(Main[[#This Row],[Tech Start Date]],28),IF(Main[[#This Row],[Class]]="B", WORKDAY(Main[[#This Row],[Tech Start Date]],19),IF(Main[[#This Row],[Class]]="A",WORKDAY(Main[[#This Row],[Tech Start Date]],9),""))))</f>
        <v/>
      </c>
      <c r="Q466" s="67">
        <v>40627</v>
      </c>
      <c r="R466" s="67"/>
      <c r="S466" s="65" t="s">
        <v>11</v>
      </c>
      <c r="T466" s="70" t="s">
        <v>4</v>
      </c>
      <c r="U466" s="65" t="s">
        <v>14</v>
      </c>
      <c r="V466" s="65" t="s">
        <v>1917</v>
      </c>
      <c r="W466" s="65" t="s">
        <v>1920</v>
      </c>
      <c r="X466" s="65" t="s">
        <v>50</v>
      </c>
      <c r="Y466" s="65" t="s">
        <v>3063</v>
      </c>
      <c r="Z466" s="65" t="s">
        <v>81</v>
      </c>
      <c r="AA466" s="65" t="s">
        <v>3420</v>
      </c>
    </row>
    <row r="467" spans="1:27" ht="17.45" hidden="1" customHeight="1">
      <c r="A467" s="100" t="str">
        <f>IF(priority(Main[[#This Row],[Comments]])&lt;&gt;0, priority(Main[[#This Row],[Comments]]),"")</f>
        <v/>
      </c>
      <c r="B467" s="77" t="s">
        <v>1417</v>
      </c>
      <c r="C467" s="65" t="s">
        <v>4</v>
      </c>
      <c r="D467" s="66" t="s">
        <v>1949</v>
      </c>
      <c r="E467" s="67"/>
      <c r="F467" s="67"/>
      <c r="G467" s="64" t="str">
        <f>IF(stdProdLT(Main[[#This Row],[Comments]])=0.1,"N/A",IF(stdProdLT(Main[[#This Row],[Comments]])=0,"",stdProdLT(Main[[#This Row],[Comments]])))</f>
        <v/>
      </c>
      <c r="H467" s="68" t="str">
        <f>IF(AND(Main[[#This Row],[In Stock Date]]&lt;&gt;"",Main[[#This Row],[Revised Due Date]]&lt;&gt;""),Main[[#This Row],[In Stock Date]]-Main[[#This Row],[Revised Due Date]],"")</f>
        <v/>
      </c>
      <c r="I467" s="65" t="s">
        <v>4</v>
      </c>
      <c r="J467" s="65" t="s">
        <v>28</v>
      </c>
      <c r="K467" s="65" t="s">
        <v>1921</v>
      </c>
      <c r="L467" s="67"/>
      <c r="M467" s="69" t="str">
        <f>IF(Main[[#This Row],[Tech Start Date]]&lt;1/1/1990,"",IF(Main[[#This Row],[Class]]="C",WORKDAY(Main[[#This Row],[Tech Start Date]],9),IF(Main[[#This Row],[Class]]="B", WORKDAY(Main[[#This Row],[Tech Start Date]],6),IF(Main[[#This Row],[Class]]="A",WORKDAY(Main[[#This Row],[Tech Start Date]],2),""))))</f>
        <v/>
      </c>
      <c r="N467" s="69" t="str">
        <f>IF(Main[[#This Row],[Tech Start Date]]&lt;1/1/1990,"",IF(Main[[#This Row],[Class]]="C",WORKDAY(Main[[#This Row],[Tech Start Date]],19),IF(Main[[#This Row],[Class]]="B", WORKDAY(Main[[#This Row],[Tech Start Date]],12),IF(Main[[#This Row],[Class]]="A",WORKDAY(Main[[#This Row],[Tech Start Date]],4),""))))</f>
        <v/>
      </c>
      <c r="O467" s="69" t="str">
        <f>IF(Main[[#This Row],[Tech Start Date]]&lt;1/1/1990,"",IF(Main[[#This Row],[Class]]="C",WORKDAY(Main[[#This Row],[Tech Start Date]],23),IF(Main[[#This Row],[Class]]="B", WORKDAY(Main[[#This Row],[Tech Start Date]],15),IF(Main[[#This Row],[Class]]="A",WORKDAY(Main[[#This Row],[Tech Start Date]],5),""))))</f>
        <v/>
      </c>
      <c r="P467" s="69" t="str">
        <f>IF(Main[[#This Row],[Tech Start Date]]&lt;1/1/1990,"",IF(Main[[#This Row],[Class]]="C",WORKDAY(Main[[#This Row],[Tech Start Date]],28),IF(Main[[#This Row],[Class]]="B", WORKDAY(Main[[#This Row],[Tech Start Date]],19),IF(Main[[#This Row],[Class]]="A",WORKDAY(Main[[#This Row],[Tech Start Date]],9),""))))</f>
        <v/>
      </c>
      <c r="Q467" s="67"/>
      <c r="R467" s="67"/>
      <c r="S467" s="65" t="s">
        <v>6</v>
      </c>
      <c r="T467" s="70" t="s">
        <v>4</v>
      </c>
      <c r="U467" s="65" t="s">
        <v>14</v>
      </c>
      <c r="V467" s="65" t="s">
        <v>1915</v>
      </c>
      <c r="W467" s="65" t="s">
        <v>1916</v>
      </c>
      <c r="X467" s="65" t="s">
        <v>2897</v>
      </c>
      <c r="Y467" s="65" t="s">
        <v>3064</v>
      </c>
      <c r="Z467" s="65" t="s">
        <v>4</v>
      </c>
      <c r="AA467" s="65" t="s">
        <v>3421</v>
      </c>
    </row>
    <row r="468" spans="1:27" ht="17.45" hidden="1" customHeight="1">
      <c r="A468" s="100" t="str">
        <f>IF(priority(Main[[#This Row],[Comments]])&lt;&gt;0, priority(Main[[#This Row],[Comments]]),"")</f>
        <v/>
      </c>
      <c r="B468" s="77" t="s">
        <v>1418</v>
      </c>
      <c r="C468" s="65" t="s">
        <v>83</v>
      </c>
      <c r="D468" s="66" t="s">
        <v>503</v>
      </c>
      <c r="E468" s="67"/>
      <c r="F468" s="67"/>
      <c r="G468" s="64" t="str">
        <f>IF(stdProdLT(Main[[#This Row],[Comments]])=0.1,"N/A",IF(stdProdLT(Main[[#This Row],[Comments]])=0,"",stdProdLT(Main[[#This Row],[Comments]])))</f>
        <v/>
      </c>
      <c r="H468" s="68" t="str">
        <f>IF(AND(Main[[#This Row],[In Stock Date]]&lt;&gt;"",Main[[#This Row],[Revised Due Date]]&lt;&gt;""),Main[[#This Row],[In Stock Date]]-Main[[#This Row],[Revised Due Date]],"")</f>
        <v/>
      </c>
      <c r="I468" s="65" t="s">
        <v>4</v>
      </c>
      <c r="J468" s="65" t="s">
        <v>4</v>
      </c>
      <c r="K468" s="65" t="s">
        <v>4</v>
      </c>
      <c r="L468" s="67"/>
      <c r="M468" s="69" t="str">
        <f>IF(Main[[#This Row],[Tech Start Date]]&lt;1/1/1990,"",IF(Main[[#This Row],[Class]]="C",WORKDAY(Main[[#This Row],[Tech Start Date]],9),IF(Main[[#This Row],[Class]]="B", WORKDAY(Main[[#This Row],[Tech Start Date]],6),IF(Main[[#This Row],[Class]]="A",WORKDAY(Main[[#This Row],[Tech Start Date]],2),""))))</f>
        <v/>
      </c>
      <c r="N468" s="69" t="str">
        <f>IF(Main[[#This Row],[Tech Start Date]]&lt;1/1/1990,"",IF(Main[[#This Row],[Class]]="C",WORKDAY(Main[[#This Row],[Tech Start Date]],19),IF(Main[[#This Row],[Class]]="B", WORKDAY(Main[[#This Row],[Tech Start Date]],12),IF(Main[[#This Row],[Class]]="A",WORKDAY(Main[[#This Row],[Tech Start Date]],4),""))))</f>
        <v/>
      </c>
      <c r="O468" s="69" t="str">
        <f>IF(Main[[#This Row],[Tech Start Date]]&lt;1/1/1990,"",IF(Main[[#This Row],[Class]]="C",WORKDAY(Main[[#This Row],[Tech Start Date]],23),IF(Main[[#This Row],[Class]]="B", WORKDAY(Main[[#This Row],[Tech Start Date]],15),IF(Main[[#This Row],[Class]]="A",WORKDAY(Main[[#This Row],[Tech Start Date]],5),""))))</f>
        <v/>
      </c>
      <c r="P468" s="69" t="str">
        <f>IF(Main[[#This Row],[Tech Start Date]]&lt;1/1/1990,"",IF(Main[[#This Row],[Class]]="C",WORKDAY(Main[[#This Row],[Tech Start Date]],28),IF(Main[[#This Row],[Class]]="B", WORKDAY(Main[[#This Row],[Tech Start Date]],19),IF(Main[[#This Row],[Class]]="A",WORKDAY(Main[[#This Row],[Tech Start Date]],9),""))))</f>
        <v/>
      </c>
      <c r="Q468" s="67">
        <v>40259</v>
      </c>
      <c r="R468" s="67"/>
      <c r="S468" s="65" t="s">
        <v>11</v>
      </c>
      <c r="T468" s="70" t="s">
        <v>4</v>
      </c>
      <c r="U468" s="65" t="s">
        <v>14</v>
      </c>
      <c r="V468" s="65" t="s">
        <v>1914</v>
      </c>
      <c r="W468" s="65" t="s">
        <v>1925</v>
      </c>
      <c r="X468" s="65" t="s">
        <v>2817</v>
      </c>
      <c r="Y468" s="65" t="s">
        <v>4</v>
      </c>
      <c r="Z468" s="65" t="s">
        <v>4</v>
      </c>
      <c r="AA468" s="65" t="s">
        <v>2817</v>
      </c>
    </row>
    <row r="469" spans="1:27" ht="17.45" hidden="1" customHeight="1">
      <c r="A469" s="100" t="str">
        <f>IF(priority(Main[[#This Row],[Comments]])&lt;&gt;0, priority(Main[[#This Row],[Comments]]),"")</f>
        <v/>
      </c>
      <c r="B469" s="77" t="s">
        <v>1419</v>
      </c>
      <c r="C469" s="65" t="s">
        <v>4</v>
      </c>
      <c r="D469" s="66" t="s">
        <v>504</v>
      </c>
      <c r="E469" s="67">
        <v>40582.330949074072</v>
      </c>
      <c r="F469" s="67">
        <v>40664</v>
      </c>
      <c r="G469" s="64" t="str">
        <f>IF(stdProdLT(Main[[#This Row],[Comments]])=0.1,"N/A",IF(stdProdLT(Main[[#This Row],[Comments]])=0,"",stdProdLT(Main[[#This Row],[Comments]])))</f>
        <v/>
      </c>
      <c r="H469" s="68" t="str">
        <f>IF(AND(Main[[#This Row],[In Stock Date]]&lt;&gt;"",Main[[#This Row],[Revised Due Date]]&lt;&gt;""),Main[[#This Row],[In Stock Date]]-Main[[#This Row],[Revised Due Date]],"")</f>
        <v/>
      </c>
      <c r="I469" s="65" t="s">
        <v>4</v>
      </c>
      <c r="J469" s="65" t="s">
        <v>28</v>
      </c>
      <c r="K469" s="65" t="s">
        <v>1921</v>
      </c>
      <c r="L469" s="67"/>
      <c r="M469" s="69" t="str">
        <f>IF(Main[[#This Row],[Tech Start Date]]&lt;1/1/1990,"",IF(Main[[#This Row],[Class]]="C",WORKDAY(Main[[#This Row],[Tech Start Date]],9),IF(Main[[#This Row],[Class]]="B", WORKDAY(Main[[#This Row],[Tech Start Date]],6),IF(Main[[#This Row],[Class]]="A",WORKDAY(Main[[#This Row],[Tech Start Date]],2),""))))</f>
        <v/>
      </c>
      <c r="N469" s="69" t="str">
        <f>IF(Main[[#This Row],[Tech Start Date]]&lt;1/1/1990,"",IF(Main[[#This Row],[Class]]="C",WORKDAY(Main[[#This Row],[Tech Start Date]],19),IF(Main[[#This Row],[Class]]="B", WORKDAY(Main[[#This Row],[Tech Start Date]],12),IF(Main[[#This Row],[Class]]="A",WORKDAY(Main[[#This Row],[Tech Start Date]],4),""))))</f>
        <v/>
      </c>
      <c r="O469" s="69" t="str">
        <f>IF(Main[[#This Row],[Tech Start Date]]&lt;1/1/1990,"",IF(Main[[#This Row],[Class]]="C",WORKDAY(Main[[#This Row],[Tech Start Date]],23),IF(Main[[#This Row],[Class]]="B", WORKDAY(Main[[#This Row],[Tech Start Date]],15),IF(Main[[#This Row],[Class]]="A",WORKDAY(Main[[#This Row],[Tech Start Date]],5),""))))</f>
        <v/>
      </c>
      <c r="P469" s="69" t="str">
        <f>IF(Main[[#This Row],[Tech Start Date]]&lt;1/1/1990,"",IF(Main[[#This Row],[Class]]="C",WORKDAY(Main[[#This Row],[Tech Start Date]],28),IF(Main[[#This Row],[Class]]="B", WORKDAY(Main[[#This Row],[Tech Start Date]],19),IF(Main[[#This Row],[Class]]="A",WORKDAY(Main[[#This Row],[Tech Start Date]],9),""))))</f>
        <v/>
      </c>
      <c r="Q469" s="67">
        <v>40664</v>
      </c>
      <c r="R469" s="67"/>
      <c r="S469" s="65" t="s">
        <v>6</v>
      </c>
      <c r="T469" s="70" t="s">
        <v>4</v>
      </c>
      <c r="U469" s="65" t="s">
        <v>7</v>
      </c>
      <c r="V469" s="65" t="s">
        <v>1914</v>
      </c>
      <c r="W469" s="65" t="s">
        <v>1916</v>
      </c>
      <c r="X469" s="65" t="s">
        <v>2845</v>
      </c>
      <c r="Y469" s="65" t="s">
        <v>3065</v>
      </c>
      <c r="Z469" s="65" t="s">
        <v>129</v>
      </c>
      <c r="AA469" s="65" t="s">
        <v>2845</v>
      </c>
    </row>
    <row r="470" spans="1:27" ht="17.45" hidden="1" customHeight="1">
      <c r="A470" s="100" t="str">
        <f>IF(priority(Main[[#This Row],[Comments]])&lt;&gt;0, priority(Main[[#This Row],[Comments]]),"")</f>
        <v/>
      </c>
      <c r="B470" s="77" t="s">
        <v>1420</v>
      </c>
      <c r="C470" s="65" t="s">
        <v>4</v>
      </c>
      <c r="D470" s="66" t="s">
        <v>505</v>
      </c>
      <c r="E470" s="67"/>
      <c r="F470" s="67"/>
      <c r="G470" s="64" t="str">
        <f>IF(stdProdLT(Main[[#This Row],[Comments]])=0.1,"N/A",IF(stdProdLT(Main[[#This Row],[Comments]])=0,"",stdProdLT(Main[[#This Row],[Comments]])))</f>
        <v/>
      </c>
      <c r="H470" s="68" t="str">
        <f>IF(AND(Main[[#This Row],[In Stock Date]]&lt;&gt;"",Main[[#This Row],[Revised Due Date]]&lt;&gt;""),Main[[#This Row],[In Stock Date]]-Main[[#This Row],[Revised Due Date]],"")</f>
        <v/>
      </c>
      <c r="I470" s="65" t="s">
        <v>4</v>
      </c>
      <c r="J470" s="65" t="s">
        <v>4</v>
      </c>
      <c r="K470" s="65" t="s">
        <v>4</v>
      </c>
      <c r="L470" s="67"/>
      <c r="M470" s="69" t="str">
        <f>IF(Main[[#This Row],[Tech Start Date]]&lt;1/1/1990,"",IF(Main[[#This Row],[Class]]="C",WORKDAY(Main[[#This Row],[Tech Start Date]],9),IF(Main[[#This Row],[Class]]="B", WORKDAY(Main[[#This Row],[Tech Start Date]],6),IF(Main[[#This Row],[Class]]="A",WORKDAY(Main[[#This Row],[Tech Start Date]],2),""))))</f>
        <v/>
      </c>
      <c r="N470" s="69" t="str">
        <f>IF(Main[[#This Row],[Tech Start Date]]&lt;1/1/1990,"",IF(Main[[#This Row],[Class]]="C",WORKDAY(Main[[#This Row],[Tech Start Date]],19),IF(Main[[#This Row],[Class]]="B", WORKDAY(Main[[#This Row],[Tech Start Date]],12),IF(Main[[#This Row],[Class]]="A",WORKDAY(Main[[#This Row],[Tech Start Date]],4),""))))</f>
        <v/>
      </c>
      <c r="O470" s="69" t="str">
        <f>IF(Main[[#This Row],[Tech Start Date]]&lt;1/1/1990,"",IF(Main[[#This Row],[Class]]="C",WORKDAY(Main[[#This Row],[Tech Start Date]],23),IF(Main[[#This Row],[Class]]="B", WORKDAY(Main[[#This Row],[Tech Start Date]],15),IF(Main[[#This Row],[Class]]="A",WORKDAY(Main[[#This Row],[Tech Start Date]],5),""))))</f>
        <v/>
      </c>
      <c r="P470" s="69" t="str">
        <f>IF(Main[[#This Row],[Tech Start Date]]&lt;1/1/1990,"",IF(Main[[#This Row],[Class]]="C",WORKDAY(Main[[#This Row],[Tech Start Date]],28),IF(Main[[#This Row],[Class]]="B", WORKDAY(Main[[#This Row],[Tech Start Date]],19),IF(Main[[#This Row],[Class]]="A",WORKDAY(Main[[#This Row],[Tech Start Date]],9),""))))</f>
        <v/>
      </c>
      <c r="Q470" s="67"/>
      <c r="R470" s="67"/>
      <c r="S470" s="65" t="s">
        <v>11</v>
      </c>
      <c r="T470" s="70" t="s">
        <v>4</v>
      </c>
      <c r="U470" s="65" t="s">
        <v>14</v>
      </c>
      <c r="V470" s="65" t="s">
        <v>1917</v>
      </c>
      <c r="W470" s="65" t="s">
        <v>1922</v>
      </c>
      <c r="X470" s="65" t="s">
        <v>2847</v>
      </c>
      <c r="Y470" s="65" t="s">
        <v>2978</v>
      </c>
      <c r="Z470" s="65" t="s">
        <v>4</v>
      </c>
      <c r="AA470" s="65" t="s">
        <v>2847</v>
      </c>
    </row>
    <row r="471" spans="1:27" ht="17.45" hidden="1" customHeight="1">
      <c r="A471" s="100" t="str">
        <f>IF(priority(Main[[#This Row],[Comments]])&lt;&gt;0, priority(Main[[#This Row],[Comments]]),"")</f>
        <v/>
      </c>
      <c r="B471" s="77" t="s">
        <v>1421</v>
      </c>
      <c r="C471" s="65" t="s">
        <v>506</v>
      </c>
      <c r="D471" s="66" t="s">
        <v>507</v>
      </c>
      <c r="E471" s="67"/>
      <c r="F471" s="67"/>
      <c r="G471" s="64" t="str">
        <f>IF(stdProdLT(Main[[#This Row],[Comments]])=0.1,"N/A",IF(stdProdLT(Main[[#This Row],[Comments]])=0,"",stdProdLT(Main[[#This Row],[Comments]])))</f>
        <v/>
      </c>
      <c r="H471" s="68" t="str">
        <f>IF(AND(Main[[#This Row],[In Stock Date]]&lt;&gt;"",Main[[#This Row],[Revised Due Date]]&lt;&gt;""),Main[[#This Row],[In Stock Date]]-Main[[#This Row],[Revised Due Date]],"")</f>
        <v/>
      </c>
      <c r="I471" s="65" t="s">
        <v>4</v>
      </c>
      <c r="J471" s="65" t="s">
        <v>4</v>
      </c>
      <c r="K471" s="65" t="s">
        <v>4</v>
      </c>
      <c r="L471" s="67"/>
      <c r="M471" s="69" t="str">
        <f>IF(Main[[#This Row],[Tech Start Date]]&lt;1/1/1990,"",IF(Main[[#This Row],[Class]]="C",WORKDAY(Main[[#This Row],[Tech Start Date]],9),IF(Main[[#This Row],[Class]]="B", WORKDAY(Main[[#This Row],[Tech Start Date]],6),IF(Main[[#This Row],[Class]]="A",WORKDAY(Main[[#This Row],[Tech Start Date]],2),""))))</f>
        <v/>
      </c>
      <c r="N471" s="69" t="str">
        <f>IF(Main[[#This Row],[Tech Start Date]]&lt;1/1/1990,"",IF(Main[[#This Row],[Class]]="C",WORKDAY(Main[[#This Row],[Tech Start Date]],19),IF(Main[[#This Row],[Class]]="B", WORKDAY(Main[[#This Row],[Tech Start Date]],12),IF(Main[[#This Row],[Class]]="A",WORKDAY(Main[[#This Row],[Tech Start Date]],4),""))))</f>
        <v/>
      </c>
      <c r="O471" s="69" t="str">
        <f>IF(Main[[#This Row],[Tech Start Date]]&lt;1/1/1990,"",IF(Main[[#This Row],[Class]]="C",WORKDAY(Main[[#This Row],[Tech Start Date]],23),IF(Main[[#This Row],[Class]]="B", WORKDAY(Main[[#This Row],[Tech Start Date]],15),IF(Main[[#This Row],[Class]]="A",WORKDAY(Main[[#This Row],[Tech Start Date]],5),""))))</f>
        <v/>
      </c>
      <c r="P471" s="69" t="str">
        <f>IF(Main[[#This Row],[Tech Start Date]]&lt;1/1/1990,"",IF(Main[[#This Row],[Class]]="C",WORKDAY(Main[[#This Row],[Tech Start Date]],28),IF(Main[[#This Row],[Class]]="B", WORKDAY(Main[[#This Row],[Tech Start Date]],19),IF(Main[[#This Row],[Class]]="A",WORKDAY(Main[[#This Row],[Tech Start Date]],9),""))))</f>
        <v/>
      </c>
      <c r="Q471" s="67">
        <v>40042</v>
      </c>
      <c r="R471" s="67"/>
      <c r="S471" s="65" t="s">
        <v>11</v>
      </c>
      <c r="T471" s="70" t="s">
        <v>4</v>
      </c>
      <c r="U471" s="65" t="s">
        <v>14</v>
      </c>
      <c r="V471" s="65" t="s">
        <v>1915</v>
      </c>
      <c r="W471" s="65" t="s">
        <v>1928</v>
      </c>
      <c r="X471" s="65" t="s">
        <v>745</v>
      </c>
      <c r="Y471" s="65" t="s">
        <v>3066</v>
      </c>
      <c r="Z471" s="65" t="s">
        <v>4</v>
      </c>
      <c r="AA471" s="65" t="s">
        <v>745</v>
      </c>
    </row>
    <row r="472" spans="1:27" ht="17.45" hidden="1" customHeight="1">
      <c r="A472" s="100" t="str">
        <f>IF(priority(Main[[#This Row],[Comments]])&lt;&gt;0, priority(Main[[#This Row],[Comments]]),"")</f>
        <v/>
      </c>
      <c r="B472" s="77" t="s">
        <v>1964</v>
      </c>
      <c r="C472" s="65" t="s">
        <v>4</v>
      </c>
      <c r="D472" s="66" t="s">
        <v>1965</v>
      </c>
      <c r="E472" s="67"/>
      <c r="F472" s="67"/>
      <c r="G472" s="64" t="str">
        <f>IF(stdProdLT(Main[[#This Row],[Comments]])=0.1,"N/A",IF(stdProdLT(Main[[#This Row],[Comments]])=0,"",stdProdLT(Main[[#This Row],[Comments]])))</f>
        <v/>
      </c>
      <c r="H472" s="68" t="str">
        <f>IF(AND(Main[[#This Row],[In Stock Date]]&lt;&gt;"",Main[[#This Row],[Revised Due Date]]&lt;&gt;""),Main[[#This Row],[In Stock Date]]-Main[[#This Row],[Revised Due Date]],"")</f>
        <v/>
      </c>
      <c r="I472" s="65" t="s">
        <v>4</v>
      </c>
      <c r="J472" s="65" t="s">
        <v>4</v>
      </c>
      <c r="K472" s="65" t="s">
        <v>4</v>
      </c>
      <c r="L472" s="67"/>
      <c r="M472" s="69" t="str">
        <f>IF(Main[[#This Row],[Tech Start Date]]&lt;1/1/1990,"",IF(Main[[#This Row],[Class]]="C",WORKDAY(Main[[#This Row],[Tech Start Date]],9),IF(Main[[#This Row],[Class]]="B", WORKDAY(Main[[#This Row],[Tech Start Date]],6),IF(Main[[#This Row],[Class]]="A",WORKDAY(Main[[#This Row],[Tech Start Date]],2),""))))</f>
        <v/>
      </c>
      <c r="N472" s="69" t="str">
        <f>IF(Main[[#This Row],[Tech Start Date]]&lt;1/1/1990,"",IF(Main[[#This Row],[Class]]="C",WORKDAY(Main[[#This Row],[Tech Start Date]],19),IF(Main[[#This Row],[Class]]="B", WORKDAY(Main[[#This Row],[Tech Start Date]],12),IF(Main[[#This Row],[Class]]="A",WORKDAY(Main[[#This Row],[Tech Start Date]],4),""))))</f>
        <v/>
      </c>
      <c r="O472" s="69" t="str">
        <f>IF(Main[[#This Row],[Tech Start Date]]&lt;1/1/1990,"",IF(Main[[#This Row],[Class]]="C",WORKDAY(Main[[#This Row],[Tech Start Date]],23),IF(Main[[#This Row],[Class]]="B", WORKDAY(Main[[#This Row],[Tech Start Date]],15),IF(Main[[#This Row],[Class]]="A",WORKDAY(Main[[#This Row],[Tech Start Date]],5),""))))</f>
        <v/>
      </c>
      <c r="P472" s="69" t="str">
        <f>IF(Main[[#This Row],[Tech Start Date]]&lt;1/1/1990,"",IF(Main[[#This Row],[Class]]="C",WORKDAY(Main[[#This Row],[Tech Start Date]],28),IF(Main[[#This Row],[Class]]="B", WORKDAY(Main[[#This Row],[Tech Start Date]],19),IF(Main[[#This Row],[Class]]="A",WORKDAY(Main[[#This Row],[Tech Start Date]],9),""))))</f>
        <v/>
      </c>
      <c r="Q472" s="67"/>
      <c r="R472" s="67"/>
      <c r="S472" s="65" t="s">
        <v>23</v>
      </c>
      <c r="T472" s="70" t="s">
        <v>4</v>
      </c>
      <c r="U472" s="65" t="s">
        <v>14</v>
      </c>
      <c r="V472" s="65" t="s">
        <v>1914</v>
      </c>
      <c r="W472" s="65" t="s">
        <v>1918</v>
      </c>
      <c r="X472" s="65" t="s">
        <v>102</v>
      </c>
      <c r="Y472" s="65" t="s">
        <v>3067</v>
      </c>
      <c r="Z472" s="65" t="s">
        <v>4</v>
      </c>
      <c r="AA472" s="65" t="s">
        <v>3418</v>
      </c>
    </row>
    <row r="473" spans="1:27" ht="17.45" hidden="1" customHeight="1">
      <c r="A473" s="100" t="str">
        <f>IF(priority(Main[[#This Row],[Comments]])&lt;&gt;0, priority(Main[[#This Row],[Comments]]),"")</f>
        <v/>
      </c>
      <c r="B473" s="77" t="s">
        <v>1422</v>
      </c>
      <c r="C473" s="65" t="s">
        <v>4</v>
      </c>
      <c r="D473" s="66" t="s">
        <v>508</v>
      </c>
      <c r="E473" s="67">
        <v>40322.154652777775</v>
      </c>
      <c r="F473" s="67"/>
      <c r="G473" s="64" t="str">
        <f>IF(stdProdLT(Main[[#This Row],[Comments]])=0.1,"N/A",IF(stdProdLT(Main[[#This Row],[Comments]])=0,"",stdProdLT(Main[[#This Row],[Comments]])))</f>
        <v/>
      </c>
      <c r="H473" s="68" t="str">
        <f>IF(AND(Main[[#This Row],[In Stock Date]]&lt;&gt;"",Main[[#This Row],[Revised Due Date]]&lt;&gt;""),Main[[#This Row],[In Stock Date]]-Main[[#This Row],[Revised Due Date]],"")</f>
        <v/>
      </c>
      <c r="I473" s="65" t="s">
        <v>129</v>
      </c>
      <c r="J473" s="65" t="s">
        <v>4</v>
      </c>
      <c r="K473" s="65" t="s">
        <v>4</v>
      </c>
      <c r="L473" s="67"/>
      <c r="M473" s="69" t="str">
        <f>IF(Main[[#This Row],[Tech Start Date]]&lt;1/1/1990,"",IF(Main[[#This Row],[Class]]="C",WORKDAY(Main[[#This Row],[Tech Start Date]],9),IF(Main[[#This Row],[Class]]="B", WORKDAY(Main[[#This Row],[Tech Start Date]],6),IF(Main[[#This Row],[Class]]="A",WORKDAY(Main[[#This Row],[Tech Start Date]],2),""))))</f>
        <v/>
      </c>
      <c r="N473" s="69" t="str">
        <f>IF(Main[[#This Row],[Tech Start Date]]&lt;1/1/1990,"",IF(Main[[#This Row],[Class]]="C",WORKDAY(Main[[#This Row],[Tech Start Date]],19),IF(Main[[#This Row],[Class]]="B", WORKDAY(Main[[#This Row],[Tech Start Date]],12),IF(Main[[#This Row],[Class]]="A",WORKDAY(Main[[#This Row],[Tech Start Date]],4),""))))</f>
        <v/>
      </c>
      <c r="O473" s="69" t="str">
        <f>IF(Main[[#This Row],[Tech Start Date]]&lt;1/1/1990,"",IF(Main[[#This Row],[Class]]="C",WORKDAY(Main[[#This Row],[Tech Start Date]],23),IF(Main[[#This Row],[Class]]="B", WORKDAY(Main[[#This Row],[Tech Start Date]],15),IF(Main[[#This Row],[Class]]="A",WORKDAY(Main[[#This Row],[Tech Start Date]],5),""))))</f>
        <v/>
      </c>
      <c r="P473" s="69" t="str">
        <f>IF(Main[[#This Row],[Tech Start Date]]&lt;1/1/1990,"",IF(Main[[#This Row],[Class]]="C",WORKDAY(Main[[#This Row],[Tech Start Date]],28),IF(Main[[#This Row],[Class]]="B", WORKDAY(Main[[#This Row],[Tech Start Date]],19),IF(Main[[#This Row],[Class]]="A",WORKDAY(Main[[#This Row],[Tech Start Date]],9),""))))</f>
        <v/>
      </c>
      <c r="Q473" s="67">
        <v>40353</v>
      </c>
      <c r="R473" s="67"/>
      <c r="S473" s="65" t="s">
        <v>6</v>
      </c>
      <c r="T473" s="70" t="s">
        <v>4</v>
      </c>
      <c r="U473" s="65" t="s">
        <v>7</v>
      </c>
      <c r="V473" s="65" t="s">
        <v>1914</v>
      </c>
      <c r="W473" s="65" t="s">
        <v>1916</v>
      </c>
      <c r="X473" s="65" t="s">
        <v>2822</v>
      </c>
      <c r="Y473" s="65" t="s">
        <v>2938</v>
      </c>
      <c r="Z473" s="65" t="s">
        <v>4</v>
      </c>
      <c r="AA473" s="65" t="s">
        <v>2822</v>
      </c>
    </row>
    <row r="474" spans="1:27" ht="17.45" hidden="1" customHeight="1">
      <c r="A474" s="100" t="str">
        <f>IF(priority(Main[[#This Row],[Comments]])&lt;&gt;0, priority(Main[[#This Row],[Comments]]),"")</f>
        <v/>
      </c>
      <c r="B474" s="77" t="s">
        <v>1423</v>
      </c>
      <c r="C474" s="65" t="s">
        <v>4</v>
      </c>
      <c r="D474" s="66" t="s">
        <v>509</v>
      </c>
      <c r="E474" s="67"/>
      <c r="F474" s="67"/>
      <c r="G474" s="64" t="str">
        <f>IF(stdProdLT(Main[[#This Row],[Comments]])=0.1,"N/A",IF(stdProdLT(Main[[#This Row],[Comments]])=0,"",stdProdLT(Main[[#This Row],[Comments]])))</f>
        <v/>
      </c>
      <c r="H474" s="68" t="str">
        <f>IF(AND(Main[[#This Row],[In Stock Date]]&lt;&gt;"",Main[[#This Row],[Revised Due Date]]&lt;&gt;""),Main[[#This Row],[In Stock Date]]-Main[[#This Row],[Revised Due Date]],"")</f>
        <v/>
      </c>
      <c r="I474" s="65" t="s">
        <v>4</v>
      </c>
      <c r="J474" s="65" t="s">
        <v>4</v>
      </c>
      <c r="K474" s="65" t="s">
        <v>4</v>
      </c>
      <c r="L474" s="67"/>
      <c r="M474" s="69" t="str">
        <f>IF(Main[[#This Row],[Tech Start Date]]&lt;1/1/1990,"",IF(Main[[#This Row],[Class]]="C",WORKDAY(Main[[#This Row],[Tech Start Date]],9),IF(Main[[#This Row],[Class]]="B", WORKDAY(Main[[#This Row],[Tech Start Date]],6),IF(Main[[#This Row],[Class]]="A",WORKDAY(Main[[#This Row],[Tech Start Date]],2),""))))</f>
        <v/>
      </c>
      <c r="N474" s="69" t="str">
        <f>IF(Main[[#This Row],[Tech Start Date]]&lt;1/1/1990,"",IF(Main[[#This Row],[Class]]="C",WORKDAY(Main[[#This Row],[Tech Start Date]],19),IF(Main[[#This Row],[Class]]="B", WORKDAY(Main[[#This Row],[Tech Start Date]],12),IF(Main[[#This Row],[Class]]="A",WORKDAY(Main[[#This Row],[Tech Start Date]],4),""))))</f>
        <v/>
      </c>
      <c r="O474" s="69" t="str">
        <f>IF(Main[[#This Row],[Tech Start Date]]&lt;1/1/1990,"",IF(Main[[#This Row],[Class]]="C",WORKDAY(Main[[#This Row],[Tech Start Date]],23),IF(Main[[#This Row],[Class]]="B", WORKDAY(Main[[#This Row],[Tech Start Date]],15),IF(Main[[#This Row],[Class]]="A",WORKDAY(Main[[#This Row],[Tech Start Date]],5),""))))</f>
        <v/>
      </c>
      <c r="P474" s="69" t="str">
        <f>IF(Main[[#This Row],[Tech Start Date]]&lt;1/1/1990,"",IF(Main[[#This Row],[Class]]="C",WORKDAY(Main[[#This Row],[Tech Start Date]],28),IF(Main[[#This Row],[Class]]="B", WORKDAY(Main[[#This Row],[Tech Start Date]],19),IF(Main[[#This Row],[Class]]="A",WORKDAY(Main[[#This Row],[Tech Start Date]],9),""))))</f>
        <v/>
      </c>
      <c r="Q474" s="67"/>
      <c r="R474" s="67"/>
      <c r="S474" s="65" t="s">
        <v>4</v>
      </c>
      <c r="T474" s="70" t="s">
        <v>4</v>
      </c>
      <c r="U474" s="65" t="s">
        <v>14</v>
      </c>
      <c r="V474" s="65" t="s">
        <v>1914</v>
      </c>
      <c r="W474" s="65" t="s">
        <v>4</v>
      </c>
      <c r="X474" s="65" t="s">
        <v>2888</v>
      </c>
      <c r="Y474" s="65" t="s">
        <v>3044</v>
      </c>
      <c r="Z474" s="65" t="s">
        <v>4</v>
      </c>
      <c r="AA474" s="65" t="s">
        <v>2888</v>
      </c>
    </row>
    <row r="475" spans="1:27" ht="17.45" hidden="1" customHeight="1">
      <c r="A475" s="100" t="str">
        <f>IF(priority(Main[[#This Row],[Comments]])&lt;&gt;0, priority(Main[[#This Row],[Comments]]),"")</f>
        <v/>
      </c>
      <c r="B475" s="77" t="s">
        <v>1426</v>
      </c>
      <c r="C475" s="65" t="s">
        <v>31</v>
      </c>
      <c r="D475" s="66" t="s">
        <v>510</v>
      </c>
      <c r="E475" s="67"/>
      <c r="F475" s="67"/>
      <c r="G475" s="64" t="str">
        <f>IF(stdProdLT(Main[[#This Row],[Comments]])=0.1,"N/A",IF(stdProdLT(Main[[#This Row],[Comments]])=0,"",stdProdLT(Main[[#This Row],[Comments]])))</f>
        <v/>
      </c>
      <c r="H475" s="68" t="str">
        <f>IF(AND(Main[[#This Row],[In Stock Date]]&lt;&gt;"",Main[[#This Row],[Revised Due Date]]&lt;&gt;""),Main[[#This Row],[In Stock Date]]-Main[[#This Row],[Revised Due Date]],"")</f>
        <v/>
      </c>
      <c r="I475" s="65" t="s">
        <v>4</v>
      </c>
      <c r="J475" s="65" t="s">
        <v>4</v>
      </c>
      <c r="K475" s="65" t="s">
        <v>4</v>
      </c>
      <c r="L475" s="67"/>
      <c r="M475" s="69" t="str">
        <f>IF(Main[[#This Row],[Tech Start Date]]&lt;1/1/1990,"",IF(Main[[#This Row],[Class]]="C",WORKDAY(Main[[#This Row],[Tech Start Date]],9),IF(Main[[#This Row],[Class]]="B", WORKDAY(Main[[#This Row],[Tech Start Date]],6),IF(Main[[#This Row],[Class]]="A",WORKDAY(Main[[#This Row],[Tech Start Date]],2),""))))</f>
        <v/>
      </c>
      <c r="N475" s="69" t="str">
        <f>IF(Main[[#This Row],[Tech Start Date]]&lt;1/1/1990,"",IF(Main[[#This Row],[Class]]="C",WORKDAY(Main[[#This Row],[Tech Start Date]],19),IF(Main[[#This Row],[Class]]="B", WORKDAY(Main[[#This Row],[Tech Start Date]],12),IF(Main[[#This Row],[Class]]="A",WORKDAY(Main[[#This Row],[Tech Start Date]],4),""))))</f>
        <v/>
      </c>
      <c r="O475" s="69" t="str">
        <f>IF(Main[[#This Row],[Tech Start Date]]&lt;1/1/1990,"",IF(Main[[#This Row],[Class]]="C",WORKDAY(Main[[#This Row],[Tech Start Date]],23),IF(Main[[#This Row],[Class]]="B", WORKDAY(Main[[#This Row],[Tech Start Date]],15),IF(Main[[#This Row],[Class]]="A",WORKDAY(Main[[#This Row],[Tech Start Date]],5),""))))</f>
        <v/>
      </c>
      <c r="P475" s="69" t="str">
        <f>IF(Main[[#This Row],[Tech Start Date]]&lt;1/1/1990,"",IF(Main[[#This Row],[Class]]="C",WORKDAY(Main[[#This Row],[Tech Start Date]],28),IF(Main[[#This Row],[Class]]="B", WORKDAY(Main[[#This Row],[Tech Start Date]],19),IF(Main[[#This Row],[Class]]="A",WORKDAY(Main[[#This Row],[Tech Start Date]],9),""))))</f>
        <v/>
      </c>
      <c r="Q475" s="67">
        <v>40318</v>
      </c>
      <c r="R475" s="67"/>
      <c r="S475" s="65" t="s">
        <v>11</v>
      </c>
      <c r="T475" s="70" t="s">
        <v>4</v>
      </c>
      <c r="U475" s="65" t="s">
        <v>14</v>
      </c>
      <c r="V475" s="65" t="s">
        <v>1917</v>
      </c>
      <c r="W475" s="65" t="s">
        <v>1925</v>
      </c>
      <c r="X475" s="65" t="s">
        <v>2830</v>
      </c>
      <c r="Y475" s="65" t="s">
        <v>4</v>
      </c>
      <c r="Z475" s="65" t="s">
        <v>4</v>
      </c>
      <c r="AA475" s="65" t="s">
        <v>2830</v>
      </c>
    </row>
    <row r="476" spans="1:27" ht="17.45" hidden="1" customHeight="1">
      <c r="A476" s="100" t="str">
        <f>IF(priority(Main[[#This Row],[Comments]])&lt;&gt;0, priority(Main[[#This Row],[Comments]]),"")</f>
        <v/>
      </c>
      <c r="B476" s="77" t="s">
        <v>1427</v>
      </c>
      <c r="C476" s="65" t="s">
        <v>47</v>
      </c>
      <c r="D476" s="66" t="s">
        <v>511</v>
      </c>
      <c r="E476" s="67"/>
      <c r="F476" s="67"/>
      <c r="G476" s="64" t="str">
        <f>IF(stdProdLT(Main[[#This Row],[Comments]])=0.1,"N/A",IF(stdProdLT(Main[[#This Row],[Comments]])=0,"",stdProdLT(Main[[#This Row],[Comments]])))</f>
        <v/>
      </c>
      <c r="H476" s="68" t="str">
        <f>IF(AND(Main[[#This Row],[In Stock Date]]&lt;&gt;"",Main[[#This Row],[Revised Due Date]]&lt;&gt;""),Main[[#This Row],[In Stock Date]]-Main[[#This Row],[Revised Due Date]],"")</f>
        <v/>
      </c>
      <c r="I476" s="65" t="s">
        <v>4</v>
      </c>
      <c r="J476" s="65" t="s">
        <v>4</v>
      </c>
      <c r="K476" s="71" t="s">
        <v>4</v>
      </c>
      <c r="L476" s="67"/>
      <c r="M476" s="69" t="str">
        <f>IF(Main[[#This Row],[Tech Start Date]]&lt;1/1/1990,"",IF(Main[[#This Row],[Class]]="C",WORKDAY(Main[[#This Row],[Tech Start Date]],9),IF(Main[[#This Row],[Class]]="B", WORKDAY(Main[[#This Row],[Tech Start Date]],6),IF(Main[[#This Row],[Class]]="A",WORKDAY(Main[[#This Row],[Tech Start Date]],2),""))))</f>
        <v/>
      </c>
      <c r="N476" s="69" t="str">
        <f>IF(Main[[#This Row],[Tech Start Date]]&lt;1/1/1990,"",IF(Main[[#This Row],[Class]]="C",WORKDAY(Main[[#This Row],[Tech Start Date]],19),IF(Main[[#This Row],[Class]]="B", WORKDAY(Main[[#This Row],[Tech Start Date]],12),IF(Main[[#This Row],[Class]]="A",WORKDAY(Main[[#This Row],[Tech Start Date]],4),""))))</f>
        <v/>
      </c>
      <c r="O476" s="69" t="str">
        <f>IF(Main[[#This Row],[Tech Start Date]]&lt;1/1/1990,"",IF(Main[[#This Row],[Class]]="C",WORKDAY(Main[[#This Row],[Tech Start Date]],23),IF(Main[[#This Row],[Class]]="B", WORKDAY(Main[[#This Row],[Tech Start Date]],15),IF(Main[[#This Row],[Class]]="A",WORKDAY(Main[[#This Row],[Tech Start Date]],5),""))))</f>
        <v/>
      </c>
      <c r="P476" s="69" t="str">
        <f>IF(Main[[#This Row],[Tech Start Date]]&lt;1/1/1990,"",IF(Main[[#This Row],[Class]]="C",WORKDAY(Main[[#This Row],[Tech Start Date]],28),IF(Main[[#This Row],[Class]]="B", WORKDAY(Main[[#This Row],[Tech Start Date]],19),IF(Main[[#This Row],[Class]]="A",WORKDAY(Main[[#This Row],[Tech Start Date]],9),""))))</f>
        <v/>
      </c>
      <c r="Q476" s="67"/>
      <c r="R476" s="67"/>
      <c r="S476" s="65" t="s">
        <v>11</v>
      </c>
      <c r="T476" s="70" t="s">
        <v>4</v>
      </c>
      <c r="U476" s="65" t="s">
        <v>14</v>
      </c>
      <c r="V476" s="65" t="s">
        <v>1915</v>
      </c>
      <c r="W476" s="65" t="s">
        <v>1918</v>
      </c>
      <c r="X476" s="65" t="s">
        <v>306</v>
      </c>
      <c r="Y476" s="65" t="s">
        <v>2941</v>
      </c>
      <c r="Z476" s="65" t="s">
        <v>4</v>
      </c>
      <c r="AA476" s="65" t="s">
        <v>3377</v>
      </c>
    </row>
    <row r="477" spans="1:27" ht="17.45" hidden="1" customHeight="1">
      <c r="A477" s="100" t="str">
        <f>IF(priority(Main[[#This Row],[Comments]])&lt;&gt;0, priority(Main[[#This Row],[Comments]]),"")</f>
        <v/>
      </c>
      <c r="B477" s="77" t="s">
        <v>1428</v>
      </c>
      <c r="C477" s="65" t="s">
        <v>4</v>
      </c>
      <c r="D477" s="66" t="s">
        <v>512</v>
      </c>
      <c r="E477" s="67">
        <v>40465.986851851849</v>
      </c>
      <c r="F477" s="67"/>
      <c r="G477" s="64" t="str">
        <f>IF(stdProdLT(Main[[#This Row],[Comments]])=0.1,"N/A",IF(stdProdLT(Main[[#This Row],[Comments]])=0,"",stdProdLT(Main[[#This Row],[Comments]])))</f>
        <v/>
      </c>
      <c r="H477" s="68" t="str">
        <f>IF(AND(Main[[#This Row],[In Stock Date]]&lt;&gt;"",Main[[#This Row],[Revised Due Date]]&lt;&gt;""),Main[[#This Row],[In Stock Date]]-Main[[#This Row],[Revised Due Date]],"")</f>
        <v/>
      </c>
      <c r="I477" s="65" t="s">
        <v>4</v>
      </c>
      <c r="J477" s="65" t="s">
        <v>28</v>
      </c>
      <c r="K477" s="65" t="s">
        <v>4</v>
      </c>
      <c r="L477" s="67"/>
      <c r="M477" s="69" t="str">
        <f>IF(Main[[#This Row],[Tech Start Date]]&lt;1/1/1990,"",IF(Main[[#This Row],[Class]]="C",WORKDAY(Main[[#This Row],[Tech Start Date]],9),IF(Main[[#This Row],[Class]]="B", WORKDAY(Main[[#This Row],[Tech Start Date]],6),IF(Main[[#This Row],[Class]]="A",WORKDAY(Main[[#This Row],[Tech Start Date]],2),""))))</f>
        <v/>
      </c>
      <c r="N477" s="69" t="str">
        <f>IF(Main[[#This Row],[Tech Start Date]]&lt;1/1/1990,"",IF(Main[[#This Row],[Class]]="C",WORKDAY(Main[[#This Row],[Tech Start Date]],19),IF(Main[[#This Row],[Class]]="B", WORKDAY(Main[[#This Row],[Tech Start Date]],12),IF(Main[[#This Row],[Class]]="A",WORKDAY(Main[[#This Row],[Tech Start Date]],4),""))))</f>
        <v/>
      </c>
      <c r="O477" s="69" t="str">
        <f>IF(Main[[#This Row],[Tech Start Date]]&lt;1/1/1990,"",IF(Main[[#This Row],[Class]]="C",WORKDAY(Main[[#This Row],[Tech Start Date]],23),IF(Main[[#This Row],[Class]]="B", WORKDAY(Main[[#This Row],[Tech Start Date]],15),IF(Main[[#This Row],[Class]]="A",WORKDAY(Main[[#This Row],[Tech Start Date]],5),""))))</f>
        <v/>
      </c>
      <c r="P477" s="69" t="str">
        <f>IF(Main[[#This Row],[Tech Start Date]]&lt;1/1/1990,"",IF(Main[[#This Row],[Class]]="C",WORKDAY(Main[[#This Row],[Tech Start Date]],28),IF(Main[[#This Row],[Class]]="B", WORKDAY(Main[[#This Row],[Tech Start Date]],19),IF(Main[[#This Row],[Class]]="A",WORKDAY(Main[[#This Row],[Tech Start Date]],9),""))))</f>
        <v/>
      </c>
      <c r="Q477" s="67"/>
      <c r="R477" s="67"/>
      <c r="S477" s="65" t="s">
        <v>6</v>
      </c>
      <c r="T477" s="70" t="s">
        <v>4</v>
      </c>
      <c r="U477" s="65" t="s">
        <v>7</v>
      </c>
      <c r="V477" s="65" t="s">
        <v>1914</v>
      </c>
      <c r="W477" s="65" t="s">
        <v>1918</v>
      </c>
      <c r="X477" s="65" t="s">
        <v>2866</v>
      </c>
      <c r="Y477" s="65" t="s">
        <v>3000</v>
      </c>
      <c r="Z477" s="65" t="s">
        <v>129</v>
      </c>
      <c r="AA477" s="65" t="s">
        <v>2866</v>
      </c>
    </row>
    <row r="478" spans="1:27" ht="17.45" hidden="1" customHeight="1">
      <c r="A478" s="100" t="str">
        <f>IF(priority(Main[[#This Row],[Comments]])&lt;&gt;0, priority(Main[[#This Row],[Comments]]),"")</f>
        <v/>
      </c>
      <c r="B478" s="77" t="s">
        <v>1253</v>
      </c>
      <c r="C478" s="65" t="s">
        <v>4</v>
      </c>
      <c r="D478" s="66" t="s">
        <v>319</v>
      </c>
      <c r="E478" s="67">
        <v>40014.430787037039</v>
      </c>
      <c r="F478" s="67"/>
      <c r="G478" s="64" t="str">
        <f>IF(stdProdLT(Main[[#This Row],[Comments]])=0.1,"N/A",IF(stdProdLT(Main[[#This Row],[Comments]])=0,"",stdProdLT(Main[[#This Row],[Comments]])))</f>
        <v/>
      </c>
      <c r="H478" s="68" t="str">
        <f>IF(AND(Main[[#This Row],[In Stock Date]]&lt;&gt;"",Main[[#This Row],[Revised Due Date]]&lt;&gt;""),Main[[#This Row],[In Stock Date]]-Main[[#This Row],[Revised Due Date]],"")</f>
        <v/>
      </c>
      <c r="I478" s="65" t="s">
        <v>2013</v>
      </c>
      <c r="J478" s="65" t="s">
        <v>28</v>
      </c>
      <c r="K478" s="65" t="s">
        <v>4</v>
      </c>
      <c r="L478" s="67"/>
      <c r="M478" s="69" t="str">
        <f>IF(Main[[#This Row],[Tech Start Date]]&lt;1/1/1990,"",IF(Main[[#This Row],[Class]]="C",WORKDAY(Main[[#This Row],[Tech Start Date]],9),IF(Main[[#This Row],[Class]]="B", WORKDAY(Main[[#This Row],[Tech Start Date]],6),IF(Main[[#This Row],[Class]]="A",WORKDAY(Main[[#This Row],[Tech Start Date]],2),""))))</f>
        <v/>
      </c>
      <c r="N478" s="69" t="str">
        <f>IF(Main[[#This Row],[Tech Start Date]]&lt;1/1/1990,"",IF(Main[[#This Row],[Class]]="C",WORKDAY(Main[[#This Row],[Tech Start Date]],19),IF(Main[[#This Row],[Class]]="B", WORKDAY(Main[[#This Row],[Tech Start Date]],12),IF(Main[[#This Row],[Class]]="A",WORKDAY(Main[[#This Row],[Tech Start Date]],4),""))))</f>
        <v/>
      </c>
      <c r="O478" s="69" t="str">
        <f>IF(Main[[#This Row],[Tech Start Date]]&lt;1/1/1990,"",IF(Main[[#This Row],[Class]]="C",WORKDAY(Main[[#This Row],[Tech Start Date]],23),IF(Main[[#This Row],[Class]]="B", WORKDAY(Main[[#This Row],[Tech Start Date]],15),IF(Main[[#This Row],[Class]]="A",WORKDAY(Main[[#This Row],[Tech Start Date]],5),""))))</f>
        <v/>
      </c>
      <c r="P478" s="69" t="str">
        <f>IF(Main[[#This Row],[Tech Start Date]]&lt;1/1/1990,"",IF(Main[[#This Row],[Class]]="C",WORKDAY(Main[[#This Row],[Tech Start Date]],28),IF(Main[[#This Row],[Class]]="B", WORKDAY(Main[[#This Row],[Tech Start Date]],19),IF(Main[[#This Row],[Class]]="A",WORKDAY(Main[[#This Row],[Tech Start Date]],9),""))))</f>
        <v/>
      </c>
      <c r="Q478" s="67">
        <v>40237</v>
      </c>
      <c r="R478" s="67"/>
      <c r="S478" s="65" t="s">
        <v>17</v>
      </c>
      <c r="T478" s="70" t="s">
        <v>4</v>
      </c>
      <c r="U478" s="65" t="s">
        <v>7</v>
      </c>
      <c r="V478" s="65" t="s">
        <v>1929</v>
      </c>
      <c r="W478" s="65" t="s">
        <v>1922</v>
      </c>
      <c r="X478" s="65" t="s">
        <v>2862</v>
      </c>
      <c r="Y478" s="65" t="s">
        <v>3045</v>
      </c>
      <c r="Z478" s="65" t="s">
        <v>2211</v>
      </c>
      <c r="AA478" s="65" t="s">
        <v>2013</v>
      </c>
    </row>
    <row r="479" spans="1:27" ht="17.45" hidden="1" customHeight="1">
      <c r="A479" s="100" t="str">
        <f>IF(priority(Main[[#This Row],[Comments]])&lt;&gt;0, priority(Main[[#This Row],[Comments]]),"")</f>
        <v/>
      </c>
      <c r="B479" s="77" t="s">
        <v>1429</v>
      </c>
      <c r="C479" s="65" t="s">
        <v>72</v>
      </c>
      <c r="D479" s="66" t="s">
        <v>513</v>
      </c>
      <c r="E479" s="67"/>
      <c r="F479" s="67">
        <v>40544</v>
      </c>
      <c r="G479" s="64" t="str">
        <f>IF(stdProdLT(Main[[#This Row],[Comments]])=0.1,"N/A",IF(stdProdLT(Main[[#This Row],[Comments]])=0,"",stdProdLT(Main[[#This Row],[Comments]])))</f>
        <v/>
      </c>
      <c r="H479" s="68" t="str">
        <f>IF(AND(Main[[#This Row],[In Stock Date]]&lt;&gt;"",Main[[#This Row],[Revised Due Date]]&lt;&gt;""),Main[[#This Row],[In Stock Date]]-Main[[#This Row],[Revised Due Date]],"")</f>
        <v/>
      </c>
      <c r="I479" s="65" t="s">
        <v>4</v>
      </c>
      <c r="J479" s="65" t="s">
        <v>4</v>
      </c>
      <c r="K479" s="65" t="s">
        <v>4</v>
      </c>
      <c r="L479" s="67"/>
      <c r="M479" s="69" t="str">
        <f>IF(Main[[#This Row],[Tech Start Date]]&lt;1/1/1990,"",IF(Main[[#This Row],[Class]]="C",WORKDAY(Main[[#This Row],[Tech Start Date]],9),IF(Main[[#This Row],[Class]]="B", WORKDAY(Main[[#This Row],[Tech Start Date]],6),IF(Main[[#This Row],[Class]]="A",WORKDAY(Main[[#This Row],[Tech Start Date]],2),""))))</f>
        <v/>
      </c>
      <c r="N479" s="69" t="str">
        <f>IF(Main[[#This Row],[Tech Start Date]]&lt;1/1/1990,"",IF(Main[[#This Row],[Class]]="C",WORKDAY(Main[[#This Row],[Tech Start Date]],19),IF(Main[[#This Row],[Class]]="B", WORKDAY(Main[[#This Row],[Tech Start Date]],12),IF(Main[[#This Row],[Class]]="A",WORKDAY(Main[[#This Row],[Tech Start Date]],4),""))))</f>
        <v/>
      </c>
      <c r="O479" s="69" t="str">
        <f>IF(Main[[#This Row],[Tech Start Date]]&lt;1/1/1990,"",IF(Main[[#This Row],[Class]]="C",WORKDAY(Main[[#This Row],[Tech Start Date]],23),IF(Main[[#This Row],[Class]]="B", WORKDAY(Main[[#This Row],[Tech Start Date]],15),IF(Main[[#This Row],[Class]]="A",WORKDAY(Main[[#This Row],[Tech Start Date]],5),""))))</f>
        <v/>
      </c>
      <c r="P479" s="69" t="str">
        <f>IF(Main[[#This Row],[Tech Start Date]]&lt;1/1/1990,"",IF(Main[[#This Row],[Class]]="C",WORKDAY(Main[[#This Row],[Tech Start Date]],28),IF(Main[[#This Row],[Class]]="B", WORKDAY(Main[[#This Row],[Tech Start Date]],19),IF(Main[[#This Row],[Class]]="A",WORKDAY(Main[[#This Row],[Tech Start Date]],9),""))))</f>
        <v/>
      </c>
      <c r="Q479" s="67"/>
      <c r="R479" s="67"/>
      <c r="S479" s="65" t="s">
        <v>11</v>
      </c>
      <c r="T479" s="70" t="s">
        <v>4</v>
      </c>
      <c r="U479" s="65" t="s">
        <v>14</v>
      </c>
      <c r="V479" s="65" t="s">
        <v>1917</v>
      </c>
      <c r="W479" s="65" t="s">
        <v>1922</v>
      </c>
      <c r="X479" s="65" t="s">
        <v>2847</v>
      </c>
      <c r="Y479" s="65" t="s">
        <v>2978</v>
      </c>
      <c r="Z479" s="65" t="s">
        <v>4</v>
      </c>
      <c r="AA479" s="65" t="s">
        <v>2847</v>
      </c>
    </row>
    <row r="480" spans="1:27" ht="17.45" hidden="1" customHeight="1">
      <c r="A480" s="100" t="str">
        <f>IF(priority(Main[[#This Row],[Comments]])&lt;&gt;0, priority(Main[[#This Row],[Comments]]),"")</f>
        <v/>
      </c>
      <c r="B480" s="77" t="s">
        <v>1639</v>
      </c>
      <c r="C480" s="65" t="s">
        <v>4</v>
      </c>
      <c r="D480" s="66" t="s">
        <v>1993</v>
      </c>
      <c r="E480" s="67"/>
      <c r="F480" s="67"/>
      <c r="G480" s="64" t="str">
        <f>IF(stdProdLT(Main[[#This Row],[Comments]])=0.1,"N/A",IF(stdProdLT(Main[[#This Row],[Comments]])=0,"",stdProdLT(Main[[#This Row],[Comments]])))</f>
        <v/>
      </c>
      <c r="H480" s="68" t="str">
        <f>IF(AND(Main[[#This Row],[In Stock Date]]&lt;&gt;"",Main[[#This Row],[Revised Due Date]]&lt;&gt;""),Main[[#This Row],[In Stock Date]]-Main[[#This Row],[Revised Due Date]],"")</f>
        <v/>
      </c>
      <c r="I480" s="65" t="s">
        <v>44</v>
      </c>
      <c r="J480" s="65" t="s">
        <v>28</v>
      </c>
      <c r="K480" s="65" t="s">
        <v>1923</v>
      </c>
      <c r="L480" s="67"/>
      <c r="M480" s="69" t="str">
        <f>IF(Main[[#This Row],[Tech Start Date]]&lt;1/1/1990,"",IF(Main[[#This Row],[Class]]="C",WORKDAY(Main[[#This Row],[Tech Start Date]],9),IF(Main[[#This Row],[Class]]="B", WORKDAY(Main[[#This Row],[Tech Start Date]],6),IF(Main[[#This Row],[Class]]="A",WORKDAY(Main[[#This Row],[Tech Start Date]],2),""))))</f>
        <v/>
      </c>
      <c r="N480" s="69" t="str">
        <f>IF(Main[[#This Row],[Tech Start Date]]&lt;1/1/1990,"",IF(Main[[#This Row],[Class]]="C",WORKDAY(Main[[#This Row],[Tech Start Date]],19),IF(Main[[#This Row],[Class]]="B", WORKDAY(Main[[#This Row],[Tech Start Date]],12),IF(Main[[#This Row],[Class]]="A",WORKDAY(Main[[#This Row],[Tech Start Date]],4),""))))</f>
        <v/>
      </c>
      <c r="O480" s="69" t="str">
        <f>IF(Main[[#This Row],[Tech Start Date]]&lt;1/1/1990,"",IF(Main[[#This Row],[Class]]="C",WORKDAY(Main[[#This Row],[Tech Start Date]],23),IF(Main[[#This Row],[Class]]="B", WORKDAY(Main[[#This Row],[Tech Start Date]],15),IF(Main[[#This Row],[Class]]="A",WORKDAY(Main[[#This Row],[Tech Start Date]],5),""))))</f>
        <v/>
      </c>
      <c r="P480" s="69" t="str">
        <f>IF(Main[[#This Row],[Tech Start Date]]&lt;1/1/1990,"",IF(Main[[#This Row],[Class]]="C",WORKDAY(Main[[#This Row],[Tech Start Date]],28),IF(Main[[#This Row],[Class]]="B", WORKDAY(Main[[#This Row],[Tech Start Date]],19),IF(Main[[#This Row],[Class]]="A",WORKDAY(Main[[#This Row],[Tech Start Date]],9),""))))</f>
        <v/>
      </c>
      <c r="Q480" s="67">
        <v>40755</v>
      </c>
      <c r="R480" s="67"/>
      <c r="S480" s="65" t="s">
        <v>6</v>
      </c>
      <c r="T480" s="70" t="s">
        <v>4</v>
      </c>
      <c r="U480" s="65" t="s">
        <v>14</v>
      </c>
      <c r="V480" s="65" t="s">
        <v>1917</v>
      </c>
      <c r="W480" s="65" t="s">
        <v>1918</v>
      </c>
      <c r="X480" s="65" t="s">
        <v>30</v>
      </c>
      <c r="Y480" s="65" t="s">
        <v>3046</v>
      </c>
      <c r="Z480" s="65" t="s">
        <v>44</v>
      </c>
      <c r="AA480" s="65" t="s">
        <v>3415</v>
      </c>
    </row>
    <row r="481" spans="1:27" ht="17.45" hidden="1" customHeight="1">
      <c r="A481" s="100" t="str">
        <f>IF(priority(Main[[#This Row],[Comments]])&lt;&gt;0, priority(Main[[#This Row],[Comments]]),"")</f>
        <v/>
      </c>
      <c r="B481" s="77" t="s">
        <v>1430</v>
      </c>
      <c r="C481" s="65" t="s">
        <v>4</v>
      </c>
      <c r="D481" s="66" t="s">
        <v>97</v>
      </c>
      <c r="E481" s="67"/>
      <c r="F481" s="67"/>
      <c r="G481" s="64" t="str">
        <f>IF(stdProdLT(Main[[#This Row],[Comments]])=0.1,"N/A",IF(stdProdLT(Main[[#This Row],[Comments]])=0,"",stdProdLT(Main[[#This Row],[Comments]])))</f>
        <v/>
      </c>
      <c r="H481" s="68" t="str">
        <f>IF(AND(Main[[#This Row],[In Stock Date]]&lt;&gt;"",Main[[#This Row],[Revised Due Date]]&lt;&gt;""),Main[[#This Row],[In Stock Date]]-Main[[#This Row],[Revised Due Date]],"")</f>
        <v/>
      </c>
      <c r="I481" s="65" t="s">
        <v>4</v>
      </c>
      <c r="J481" s="65" t="s">
        <v>4</v>
      </c>
      <c r="K481" s="65" t="s">
        <v>4</v>
      </c>
      <c r="L481" s="67"/>
      <c r="M481" s="69" t="str">
        <f>IF(Main[[#This Row],[Tech Start Date]]&lt;1/1/1990,"",IF(Main[[#This Row],[Class]]="C",WORKDAY(Main[[#This Row],[Tech Start Date]],9),IF(Main[[#This Row],[Class]]="B", WORKDAY(Main[[#This Row],[Tech Start Date]],6),IF(Main[[#This Row],[Class]]="A",WORKDAY(Main[[#This Row],[Tech Start Date]],2),""))))</f>
        <v/>
      </c>
      <c r="N481" s="69" t="str">
        <f>IF(Main[[#This Row],[Tech Start Date]]&lt;1/1/1990,"",IF(Main[[#This Row],[Class]]="C",WORKDAY(Main[[#This Row],[Tech Start Date]],19),IF(Main[[#This Row],[Class]]="B", WORKDAY(Main[[#This Row],[Tech Start Date]],12),IF(Main[[#This Row],[Class]]="A",WORKDAY(Main[[#This Row],[Tech Start Date]],4),""))))</f>
        <v/>
      </c>
      <c r="O481" s="69" t="str">
        <f>IF(Main[[#This Row],[Tech Start Date]]&lt;1/1/1990,"",IF(Main[[#This Row],[Class]]="C",WORKDAY(Main[[#This Row],[Tech Start Date]],23),IF(Main[[#This Row],[Class]]="B", WORKDAY(Main[[#This Row],[Tech Start Date]],15),IF(Main[[#This Row],[Class]]="A",WORKDAY(Main[[#This Row],[Tech Start Date]],5),""))))</f>
        <v/>
      </c>
      <c r="P481" s="69" t="str">
        <f>IF(Main[[#This Row],[Tech Start Date]]&lt;1/1/1990,"",IF(Main[[#This Row],[Class]]="C",WORKDAY(Main[[#This Row],[Tech Start Date]],28),IF(Main[[#This Row],[Class]]="B", WORKDAY(Main[[#This Row],[Tech Start Date]],19),IF(Main[[#This Row],[Class]]="A",WORKDAY(Main[[#This Row],[Tech Start Date]],9),""))))</f>
        <v/>
      </c>
      <c r="Q481" s="67">
        <v>40858</v>
      </c>
      <c r="R481" s="67"/>
      <c r="S481" s="65" t="s">
        <v>17</v>
      </c>
      <c r="T481" s="70" t="s">
        <v>4</v>
      </c>
      <c r="U481" s="65" t="s">
        <v>14</v>
      </c>
      <c r="V481" s="65" t="s">
        <v>1914</v>
      </c>
      <c r="W481" s="65" t="s">
        <v>1919</v>
      </c>
      <c r="X481" s="65" t="s">
        <v>50</v>
      </c>
      <c r="Y481" s="65" t="s">
        <v>2959</v>
      </c>
      <c r="Z481" s="65" t="s">
        <v>4</v>
      </c>
      <c r="AA481" s="65" t="s">
        <v>2828</v>
      </c>
    </row>
    <row r="482" spans="1:27" ht="17.45" hidden="1" customHeight="1">
      <c r="A482" s="100" t="str">
        <f>IF(priority(Main[[#This Row],[Comments]])&lt;&gt;0, priority(Main[[#This Row],[Comments]]),"")</f>
        <v/>
      </c>
      <c r="B482" s="77" t="s">
        <v>1431</v>
      </c>
      <c r="C482" s="65" t="s">
        <v>47</v>
      </c>
      <c r="D482" s="66" t="s">
        <v>517</v>
      </c>
      <c r="E482" s="67"/>
      <c r="F482" s="67"/>
      <c r="G482" s="64" t="str">
        <f>IF(stdProdLT(Main[[#This Row],[Comments]])=0.1,"N/A",IF(stdProdLT(Main[[#This Row],[Comments]])=0,"",stdProdLT(Main[[#This Row],[Comments]])))</f>
        <v/>
      </c>
      <c r="H482" s="68" t="str">
        <f>IF(AND(Main[[#This Row],[In Stock Date]]&lt;&gt;"",Main[[#This Row],[Revised Due Date]]&lt;&gt;""),Main[[#This Row],[In Stock Date]]-Main[[#This Row],[Revised Due Date]],"")</f>
        <v/>
      </c>
      <c r="I482" s="65" t="s">
        <v>4</v>
      </c>
      <c r="J482" s="65" t="s">
        <v>4</v>
      </c>
      <c r="K482" s="65" t="s">
        <v>4</v>
      </c>
      <c r="L482" s="67"/>
      <c r="M482" s="69" t="str">
        <f>IF(Main[[#This Row],[Tech Start Date]]&lt;1/1/1990,"",IF(Main[[#This Row],[Class]]="C",WORKDAY(Main[[#This Row],[Tech Start Date]],9),IF(Main[[#This Row],[Class]]="B", WORKDAY(Main[[#This Row],[Tech Start Date]],6),IF(Main[[#This Row],[Class]]="A",WORKDAY(Main[[#This Row],[Tech Start Date]],2),""))))</f>
        <v/>
      </c>
      <c r="N482" s="69" t="str">
        <f>IF(Main[[#This Row],[Tech Start Date]]&lt;1/1/1990,"",IF(Main[[#This Row],[Class]]="C",WORKDAY(Main[[#This Row],[Tech Start Date]],19),IF(Main[[#This Row],[Class]]="B", WORKDAY(Main[[#This Row],[Tech Start Date]],12),IF(Main[[#This Row],[Class]]="A",WORKDAY(Main[[#This Row],[Tech Start Date]],4),""))))</f>
        <v/>
      </c>
      <c r="O482" s="69" t="str">
        <f>IF(Main[[#This Row],[Tech Start Date]]&lt;1/1/1990,"",IF(Main[[#This Row],[Class]]="C",WORKDAY(Main[[#This Row],[Tech Start Date]],23),IF(Main[[#This Row],[Class]]="B", WORKDAY(Main[[#This Row],[Tech Start Date]],15),IF(Main[[#This Row],[Class]]="A",WORKDAY(Main[[#This Row],[Tech Start Date]],5),""))))</f>
        <v/>
      </c>
      <c r="P482" s="69" t="str">
        <f>IF(Main[[#This Row],[Tech Start Date]]&lt;1/1/1990,"",IF(Main[[#This Row],[Class]]="C",WORKDAY(Main[[#This Row],[Tech Start Date]],28),IF(Main[[#This Row],[Class]]="B", WORKDAY(Main[[#This Row],[Tech Start Date]],19),IF(Main[[#This Row],[Class]]="A",WORKDAY(Main[[#This Row],[Tech Start Date]],9),""))))</f>
        <v/>
      </c>
      <c r="Q482" s="67"/>
      <c r="R482" s="67"/>
      <c r="S482" s="65" t="s">
        <v>49</v>
      </c>
      <c r="T482" s="70" t="s">
        <v>4</v>
      </c>
      <c r="U482" s="65" t="s">
        <v>14</v>
      </c>
      <c r="V482" s="65" t="s">
        <v>1917</v>
      </c>
      <c r="W482" s="65" t="s">
        <v>1918</v>
      </c>
      <c r="X482" s="65" t="s">
        <v>306</v>
      </c>
      <c r="Y482" s="65" t="s">
        <v>4</v>
      </c>
      <c r="Z482" s="65" t="s">
        <v>4</v>
      </c>
      <c r="AA482" s="65" t="s">
        <v>4</v>
      </c>
    </row>
    <row r="483" spans="1:27" ht="17.45" hidden="1" customHeight="1">
      <c r="A483" s="100" t="str">
        <f>IF(priority(Main[[#This Row],[Comments]])&lt;&gt;0, priority(Main[[#This Row],[Comments]]),"")</f>
        <v/>
      </c>
      <c r="B483" s="77" t="s">
        <v>1432</v>
      </c>
      <c r="C483" s="65" t="s">
        <v>518</v>
      </c>
      <c r="D483" s="66" t="s">
        <v>519</v>
      </c>
      <c r="E483" s="67"/>
      <c r="F483" s="67">
        <v>40548</v>
      </c>
      <c r="G483" s="64" t="str">
        <f>IF(stdProdLT(Main[[#This Row],[Comments]])=0.1,"N/A",IF(stdProdLT(Main[[#This Row],[Comments]])=0,"",stdProdLT(Main[[#This Row],[Comments]])))</f>
        <v/>
      </c>
      <c r="H483" s="68" t="str">
        <f>IF(AND(Main[[#This Row],[In Stock Date]]&lt;&gt;"",Main[[#This Row],[Revised Due Date]]&lt;&gt;""),Main[[#This Row],[In Stock Date]]-Main[[#This Row],[Revised Due Date]],"")</f>
        <v/>
      </c>
      <c r="I483" s="65" t="s">
        <v>4</v>
      </c>
      <c r="J483" s="65" t="s">
        <v>4</v>
      </c>
      <c r="K483" s="65" t="s">
        <v>1926</v>
      </c>
      <c r="L483" s="67"/>
      <c r="M483" s="69" t="str">
        <f>IF(Main[[#This Row],[Tech Start Date]]&lt;1/1/1990,"",IF(Main[[#This Row],[Class]]="C",WORKDAY(Main[[#This Row],[Tech Start Date]],9),IF(Main[[#This Row],[Class]]="B", WORKDAY(Main[[#This Row],[Tech Start Date]],6),IF(Main[[#This Row],[Class]]="A",WORKDAY(Main[[#This Row],[Tech Start Date]],2),""))))</f>
        <v/>
      </c>
      <c r="N483" s="69" t="str">
        <f>IF(Main[[#This Row],[Tech Start Date]]&lt;1/1/1990,"",IF(Main[[#This Row],[Class]]="C",WORKDAY(Main[[#This Row],[Tech Start Date]],19),IF(Main[[#This Row],[Class]]="B", WORKDAY(Main[[#This Row],[Tech Start Date]],12),IF(Main[[#This Row],[Class]]="A",WORKDAY(Main[[#This Row],[Tech Start Date]],4),""))))</f>
        <v/>
      </c>
      <c r="O483" s="69" t="str">
        <f>IF(Main[[#This Row],[Tech Start Date]]&lt;1/1/1990,"",IF(Main[[#This Row],[Class]]="C",WORKDAY(Main[[#This Row],[Tech Start Date]],23),IF(Main[[#This Row],[Class]]="B", WORKDAY(Main[[#This Row],[Tech Start Date]],15),IF(Main[[#This Row],[Class]]="A",WORKDAY(Main[[#This Row],[Tech Start Date]],5),""))))</f>
        <v/>
      </c>
      <c r="P483" s="69" t="str">
        <f>IF(Main[[#This Row],[Tech Start Date]]&lt;1/1/1990,"",IF(Main[[#This Row],[Class]]="C",WORKDAY(Main[[#This Row],[Tech Start Date]],28),IF(Main[[#This Row],[Class]]="B", WORKDAY(Main[[#This Row],[Tech Start Date]],19),IF(Main[[#This Row],[Class]]="A",WORKDAY(Main[[#This Row],[Tech Start Date]],9),""))))</f>
        <v/>
      </c>
      <c r="Q483" s="67"/>
      <c r="R483" s="67"/>
      <c r="S483" s="65" t="s">
        <v>11</v>
      </c>
      <c r="T483" s="70" t="s">
        <v>4</v>
      </c>
      <c r="U483" s="65" t="s">
        <v>14</v>
      </c>
      <c r="V483" s="65" t="s">
        <v>1915</v>
      </c>
      <c r="W483" s="65" t="s">
        <v>1919</v>
      </c>
      <c r="X483" s="65" t="s">
        <v>2889</v>
      </c>
      <c r="Y483" s="65" t="s">
        <v>4</v>
      </c>
      <c r="Z483" s="65" t="s">
        <v>4</v>
      </c>
      <c r="AA483" s="65" t="s">
        <v>4</v>
      </c>
    </row>
    <row r="484" spans="1:27" ht="17.45" hidden="1" customHeight="1">
      <c r="A484" s="100" t="str">
        <f>IF(priority(Main[[#This Row],[Comments]])&lt;&gt;0, priority(Main[[#This Row],[Comments]]),"")</f>
        <v/>
      </c>
      <c r="B484" s="77" t="s">
        <v>1433</v>
      </c>
      <c r="C484" s="65" t="s">
        <v>122</v>
      </c>
      <c r="D484" s="66" t="s">
        <v>520</v>
      </c>
      <c r="E484" s="67"/>
      <c r="F484" s="67"/>
      <c r="G484" s="64" t="str">
        <f>IF(stdProdLT(Main[[#This Row],[Comments]])=0.1,"N/A",IF(stdProdLT(Main[[#This Row],[Comments]])=0,"",stdProdLT(Main[[#This Row],[Comments]])))</f>
        <v/>
      </c>
      <c r="H484" s="68" t="str">
        <f>IF(AND(Main[[#This Row],[In Stock Date]]&lt;&gt;"",Main[[#This Row],[Revised Due Date]]&lt;&gt;""),Main[[#This Row],[In Stock Date]]-Main[[#This Row],[Revised Due Date]],"")</f>
        <v/>
      </c>
      <c r="I484" s="65" t="s">
        <v>4</v>
      </c>
      <c r="J484" s="65" t="s">
        <v>4</v>
      </c>
      <c r="K484" s="65" t="s">
        <v>4</v>
      </c>
      <c r="L484" s="67"/>
      <c r="M484" s="69" t="str">
        <f>IF(Main[[#This Row],[Tech Start Date]]&lt;1/1/1990,"",IF(Main[[#This Row],[Class]]="C",WORKDAY(Main[[#This Row],[Tech Start Date]],9),IF(Main[[#This Row],[Class]]="B", WORKDAY(Main[[#This Row],[Tech Start Date]],6),IF(Main[[#This Row],[Class]]="A",WORKDAY(Main[[#This Row],[Tech Start Date]],2),""))))</f>
        <v/>
      </c>
      <c r="N484" s="69" t="str">
        <f>IF(Main[[#This Row],[Tech Start Date]]&lt;1/1/1990,"",IF(Main[[#This Row],[Class]]="C",WORKDAY(Main[[#This Row],[Tech Start Date]],19),IF(Main[[#This Row],[Class]]="B", WORKDAY(Main[[#This Row],[Tech Start Date]],12),IF(Main[[#This Row],[Class]]="A",WORKDAY(Main[[#This Row],[Tech Start Date]],4),""))))</f>
        <v/>
      </c>
      <c r="O484" s="69" t="str">
        <f>IF(Main[[#This Row],[Tech Start Date]]&lt;1/1/1990,"",IF(Main[[#This Row],[Class]]="C",WORKDAY(Main[[#This Row],[Tech Start Date]],23),IF(Main[[#This Row],[Class]]="B", WORKDAY(Main[[#This Row],[Tech Start Date]],15),IF(Main[[#This Row],[Class]]="A",WORKDAY(Main[[#This Row],[Tech Start Date]],5),""))))</f>
        <v/>
      </c>
      <c r="P484" s="69" t="str">
        <f>IF(Main[[#This Row],[Tech Start Date]]&lt;1/1/1990,"",IF(Main[[#This Row],[Class]]="C",WORKDAY(Main[[#This Row],[Tech Start Date]],28),IF(Main[[#This Row],[Class]]="B", WORKDAY(Main[[#This Row],[Tech Start Date]],19),IF(Main[[#This Row],[Class]]="A",WORKDAY(Main[[#This Row],[Tech Start Date]],9),""))))</f>
        <v/>
      </c>
      <c r="Q484" s="67">
        <v>40245</v>
      </c>
      <c r="R484" s="67"/>
      <c r="S484" s="65" t="s">
        <v>11</v>
      </c>
      <c r="T484" s="70" t="s">
        <v>4</v>
      </c>
      <c r="U484" s="65" t="s">
        <v>14</v>
      </c>
      <c r="V484" s="65" t="s">
        <v>1917</v>
      </c>
      <c r="W484" s="65" t="s">
        <v>1916</v>
      </c>
      <c r="X484" s="65" t="s">
        <v>2872</v>
      </c>
      <c r="Y484" s="65" t="s">
        <v>4</v>
      </c>
      <c r="Z484" s="65" t="s">
        <v>4</v>
      </c>
      <c r="AA484" s="65" t="s">
        <v>2872</v>
      </c>
    </row>
    <row r="485" spans="1:27" ht="17.45" hidden="1" customHeight="1">
      <c r="A485" s="100" t="str">
        <f>IF(priority(Main[[#This Row],[Comments]])&lt;&gt;0, priority(Main[[#This Row],[Comments]]),"")</f>
        <v/>
      </c>
      <c r="B485" s="77" t="s">
        <v>1434</v>
      </c>
      <c r="C485" s="65" t="s">
        <v>4</v>
      </c>
      <c r="D485" s="66" t="s">
        <v>521</v>
      </c>
      <c r="E485" s="67"/>
      <c r="F485" s="67">
        <v>40178</v>
      </c>
      <c r="G485" s="64" t="str">
        <f>IF(stdProdLT(Main[[#This Row],[Comments]])=0.1,"N/A",IF(stdProdLT(Main[[#This Row],[Comments]])=0,"",stdProdLT(Main[[#This Row],[Comments]])))</f>
        <v/>
      </c>
      <c r="H485" s="68" t="str">
        <f>IF(AND(Main[[#This Row],[In Stock Date]]&lt;&gt;"",Main[[#This Row],[Revised Due Date]]&lt;&gt;""),Main[[#This Row],[In Stock Date]]-Main[[#This Row],[Revised Due Date]],"")</f>
        <v/>
      </c>
      <c r="I485" s="65" t="s">
        <v>4</v>
      </c>
      <c r="J485" s="65" t="s">
        <v>4</v>
      </c>
      <c r="K485" s="65" t="s">
        <v>4</v>
      </c>
      <c r="L485" s="67"/>
      <c r="M485" s="69" t="str">
        <f>IF(Main[[#This Row],[Tech Start Date]]&lt;1/1/1990,"",IF(Main[[#This Row],[Class]]="C",WORKDAY(Main[[#This Row],[Tech Start Date]],9),IF(Main[[#This Row],[Class]]="B", WORKDAY(Main[[#This Row],[Tech Start Date]],6),IF(Main[[#This Row],[Class]]="A",WORKDAY(Main[[#This Row],[Tech Start Date]],2),""))))</f>
        <v/>
      </c>
      <c r="N485" s="69" t="str">
        <f>IF(Main[[#This Row],[Tech Start Date]]&lt;1/1/1990,"",IF(Main[[#This Row],[Class]]="C",WORKDAY(Main[[#This Row],[Tech Start Date]],19),IF(Main[[#This Row],[Class]]="B", WORKDAY(Main[[#This Row],[Tech Start Date]],12),IF(Main[[#This Row],[Class]]="A",WORKDAY(Main[[#This Row],[Tech Start Date]],4),""))))</f>
        <v/>
      </c>
      <c r="O485" s="69" t="str">
        <f>IF(Main[[#This Row],[Tech Start Date]]&lt;1/1/1990,"",IF(Main[[#This Row],[Class]]="C",WORKDAY(Main[[#This Row],[Tech Start Date]],23),IF(Main[[#This Row],[Class]]="B", WORKDAY(Main[[#This Row],[Tech Start Date]],15),IF(Main[[#This Row],[Class]]="A",WORKDAY(Main[[#This Row],[Tech Start Date]],5),""))))</f>
        <v/>
      </c>
      <c r="P485" s="69" t="str">
        <f>IF(Main[[#This Row],[Tech Start Date]]&lt;1/1/1990,"",IF(Main[[#This Row],[Class]]="C",WORKDAY(Main[[#This Row],[Tech Start Date]],28),IF(Main[[#This Row],[Class]]="B", WORKDAY(Main[[#This Row],[Tech Start Date]],19),IF(Main[[#This Row],[Class]]="A",WORKDAY(Main[[#This Row],[Tech Start Date]],9),""))))</f>
        <v/>
      </c>
      <c r="Q485" s="67">
        <v>40158</v>
      </c>
      <c r="R485" s="67"/>
      <c r="S485" s="65" t="s">
        <v>11</v>
      </c>
      <c r="T485" s="70" t="s">
        <v>4</v>
      </c>
      <c r="U485" s="65" t="s">
        <v>14</v>
      </c>
      <c r="V485" s="65" t="s">
        <v>1914</v>
      </c>
      <c r="W485" s="65" t="s">
        <v>1919</v>
      </c>
      <c r="X485" s="65" t="s">
        <v>2824</v>
      </c>
      <c r="Y485" s="65" t="s">
        <v>2943</v>
      </c>
      <c r="Z485" s="65" t="s">
        <v>4</v>
      </c>
      <c r="AA485" s="65" t="s">
        <v>2824</v>
      </c>
    </row>
    <row r="486" spans="1:27" ht="17.45" hidden="1" customHeight="1">
      <c r="A486" s="100" t="str">
        <f>IF(priority(Main[[#This Row],[Comments]])&lt;&gt;0, priority(Main[[#This Row],[Comments]]),"")</f>
        <v/>
      </c>
      <c r="B486" s="77" t="s">
        <v>2373</v>
      </c>
      <c r="C486" s="65" t="s">
        <v>72</v>
      </c>
      <c r="D486" s="66" t="s">
        <v>2374</v>
      </c>
      <c r="E486" s="67"/>
      <c r="F486" s="67"/>
      <c r="G486" s="64" t="str">
        <f>IF(stdProdLT(Main[[#This Row],[Comments]])=0.1,"N/A",IF(stdProdLT(Main[[#This Row],[Comments]])=0,"",stdProdLT(Main[[#This Row],[Comments]])))</f>
        <v/>
      </c>
      <c r="H486" s="68" t="str">
        <f>IF(AND(Main[[#This Row],[In Stock Date]]&lt;&gt;"",Main[[#This Row],[Revised Due Date]]&lt;&gt;""),Main[[#This Row],[In Stock Date]]-Main[[#This Row],[Revised Due Date]],"")</f>
        <v/>
      </c>
      <c r="I486" s="65" t="s">
        <v>4</v>
      </c>
      <c r="J486" s="65" t="s">
        <v>4</v>
      </c>
      <c r="K486" s="65" t="s">
        <v>4</v>
      </c>
      <c r="L486" s="67"/>
      <c r="M486" s="69" t="str">
        <f>IF(Main[[#This Row],[Tech Start Date]]&lt;1/1/1990,"",IF(Main[[#This Row],[Class]]="C",WORKDAY(Main[[#This Row],[Tech Start Date]],9),IF(Main[[#This Row],[Class]]="B", WORKDAY(Main[[#This Row],[Tech Start Date]],6),IF(Main[[#This Row],[Class]]="A",WORKDAY(Main[[#This Row],[Tech Start Date]],2),""))))</f>
        <v/>
      </c>
      <c r="N486" s="69" t="str">
        <f>IF(Main[[#This Row],[Tech Start Date]]&lt;1/1/1990,"",IF(Main[[#This Row],[Class]]="C",WORKDAY(Main[[#This Row],[Tech Start Date]],19),IF(Main[[#This Row],[Class]]="B", WORKDAY(Main[[#This Row],[Tech Start Date]],12),IF(Main[[#This Row],[Class]]="A",WORKDAY(Main[[#This Row],[Tech Start Date]],4),""))))</f>
        <v/>
      </c>
      <c r="O486" s="69" t="str">
        <f>IF(Main[[#This Row],[Tech Start Date]]&lt;1/1/1990,"",IF(Main[[#This Row],[Class]]="C",WORKDAY(Main[[#This Row],[Tech Start Date]],23),IF(Main[[#This Row],[Class]]="B", WORKDAY(Main[[#This Row],[Tech Start Date]],15),IF(Main[[#This Row],[Class]]="A",WORKDAY(Main[[#This Row],[Tech Start Date]],5),""))))</f>
        <v/>
      </c>
      <c r="P486" s="69" t="str">
        <f>IF(Main[[#This Row],[Tech Start Date]]&lt;1/1/1990,"",IF(Main[[#This Row],[Class]]="C",WORKDAY(Main[[#This Row],[Tech Start Date]],28),IF(Main[[#This Row],[Class]]="B", WORKDAY(Main[[#This Row],[Tech Start Date]],19),IF(Main[[#This Row],[Class]]="A",WORKDAY(Main[[#This Row],[Tech Start Date]],9),""))))</f>
        <v/>
      </c>
      <c r="Q486" s="67"/>
      <c r="R486" s="67"/>
      <c r="S486" s="65" t="s">
        <v>17</v>
      </c>
      <c r="T486" s="70" t="s">
        <v>4</v>
      </c>
      <c r="U486" s="65" t="s">
        <v>14</v>
      </c>
      <c r="V486" s="65" t="s">
        <v>1915</v>
      </c>
      <c r="W486" s="65" t="s">
        <v>1916</v>
      </c>
      <c r="X486" s="65" t="s">
        <v>2890</v>
      </c>
      <c r="Y486" s="65" t="s">
        <v>3047</v>
      </c>
      <c r="Z486" s="65" t="s">
        <v>4</v>
      </c>
      <c r="AA486" s="65" t="s">
        <v>2890</v>
      </c>
    </row>
    <row r="487" spans="1:27" ht="17.45" hidden="1" customHeight="1">
      <c r="A487" s="100" t="str">
        <f>IF(priority(Main[[#This Row],[Comments]])&lt;&gt;0, priority(Main[[#This Row],[Comments]]),"")</f>
        <v/>
      </c>
      <c r="B487" s="77" t="s">
        <v>1439</v>
      </c>
      <c r="C487" s="65" t="s">
        <v>113</v>
      </c>
      <c r="D487" s="66" t="s">
        <v>522</v>
      </c>
      <c r="E487" s="67"/>
      <c r="F487" s="67"/>
      <c r="G487" s="64" t="str">
        <f>IF(stdProdLT(Main[[#This Row],[Comments]])=0.1,"N/A",IF(stdProdLT(Main[[#This Row],[Comments]])=0,"",stdProdLT(Main[[#This Row],[Comments]])))</f>
        <v/>
      </c>
      <c r="H487" s="68" t="str">
        <f>IF(AND(Main[[#This Row],[In Stock Date]]&lt;&gt;"",Main[[#This Row],[Revised Due Date]]&lt;&gt;""),Main[[#This Row],[In Stock Date]]-Main[[#This Row],[Revised Due Date]],"")</f>
        <v/>
      </c>
      <c r="I487" s="65" t="s">
        <v>4</v>
      </c>
      <c r="J487" s="65" t="s">
        <v>4</v>
      </c>
      <c r="K487" s="65" t="s">
        <v>4</v>
      </c>
      <c r="L487" s="67"/>
      <c r="M487" s="69" t="str">
        <f>IF(Main[[#This Row],[Tech Start Date]]&lt;1/1/1990,"",IF(Main[[#This Row],[Class]]="C",WORKDAY(Main[[#This Row],[Tech Start Date]],9),IF(Main[[#This Row],[Class]]="B", WORKDAY(Main[[#This Row],[Tech Start Date]],6),IF(Main[[#This Row],[Class]]="A",WORKDAY(Main[[#This Row],[Tech Start Date]],2),""))))</f>
        <v/>
      </c>
      <c r="N487" s="69" t="str">
        <f>IF(Main[[#This Row],[Tech Start Date]]&lt;1/1/1990,"",IF(Main[[#This Row],[Class]]="C",WORKDAY(Main[[#This Row],[Tech Start Date]],19),IF(Main[[#This Row],[Class]]="B", WORKDAY(Main[[#This Row],[Tech Start Date]],12),IF(Main[[#This Row],[Class]]="A",WORKDAY(Main[[#This Row],[Tech Start Date]],4),""))))</f>
        <v/>
      </c>
      <c r="O487" s="69" t="str">
        <f>IF(Main[[#This Row],[Tech Start Date]]&lt;1/1/1990,"",IF(Main[[#This Row],[Class]]="C",WORKDAY(Main[[#This Row],[Tech Start Date]],23),IF(Main[[#This Row],[Class]]="B", WORKDAY(Main[[#This Row],[Tech Start Date]],15),IF(Main[[#This Row],[Class]]="A",WORKDAY(Main[[#This Row],[Tech Start Date]],5),""))))</f>
        <v/>
      </c>
      <c r="P487" s="69" t="str">
        <f>IF(Main[[#This Row],[Tech Start Date]]&lt;1/1/1990,"",IF(Main[[#This Row],[Class]]="C",WORKDAY(Main[[#This Row],[Tech Start Date]],28),IF(Main[[#This Row],[Class]]="B", WORKDAY(Main[[#This Row],[Tech Start Date]],19),IF(Main[[#This Row],[Class]]="A",WORKDAY(Main[[#This Row],[Tech Start Date]],9),""))))</f>
        <v/>
      </c>
      <c r="Q487" s="67">
        <v>40505</v>
      </c>
      <c r="R487" s="67"/>
      <c r="S487" s="65" t="s">
        <v>49</v>
      </c>
      <c r="T487" s="70" t="s">
        <v>4</v>
      </c>
      <c r="U487" s="65" t="s">
        <v>12</v>
      </c>
      <c r="V487" s="65" t="s">
        <v>1915</v>
      </c>
      <c r="W487" s="65" t="s">
        <v>1919</v>
      </c>
      <c r="X487" s="65" t="s">
        <v>2891</v>
      </c>
      <c r="Y487" s="65" t="s">
        <v>2981</v>
      </c>
      <c r="Z487" s="65" t="s">
        <v>4</v>
      </c>
      <c r="AA487" s="65" t="s">
        <v>2839</v>
      </c>
    </row>
    <row r="488" spans="1:27" ht="17.45" hidden="1" customHeight="1">
      <c r="A488" s="100" t="str">
        <f>IF(priority(Main[[#This Row],[Comments]])&lt;&gt;0, priority(Main[[#This Row],[Comments]]),"")</f>
        <v/>
      </c>
      <c r="B488" s="77" t="s">
        <v>2259</v>
      </c>
      <c r="C488" s="65" t="s">
        <v>4</v>
      </c>
      <c r="D488" s="66" t="s">
        <v>2293</v>
      </c>
      <c r="E488" s="67">
        <v>40806.662407407406</v>
      </c>
      <c r="F488" s="67"/>
      <c r="G488" s="64" t="str">
        <f>IF(stdProdLT(Main[[#This Row],[Comments]])=0.1,"N/A",IF(stdProdLT(Main[[#This Row],[Comments]])=0,"",stdProdLT(Main[[#This Row],[Comments]])))</f>
        <v/>
      </c>
      <c r="H488" s="68" t="str">
        <f>IF(AND(Main[[#This Row],[In Stock Date]]&lt;&gt;"",Main[[#This Row],[Revised Due Date]]&lt;&gt;""),Main[[#This Row],[In Stock Date]]-Main[[#This Row],[Revised Due Date]],"")</f>
        <v/>
      </c>
      <c r="I488" s="65" t="s">
        <v>30</v>
      </c>
      <c r="J488" s="65" t="s">
        <v>21</v>
      </c>
      <c r="K488" s="65" t="s">
        <v>1923</v>
      </c>
      <c r="L488" s="67"/>
      <c r="M488" s="69" t="str">
        <f>IF(Main[[#This Row],[Tech Start Date]]&lt;1/1/1990,"",IF(Main[[#This Row],[Class]]="C",WORKDAY(Main[[#This Row],[Tech Start Date]],9),IF(Main[[#This Row],[Class]]="B", WORKDAY(Main[[#This Row],[Tech Start Date]],6),IF(Main[[#This Row],[Class]]="A",WORKDAY(Main[[#This Row],[Tech Start Date]],2),""))))</f>
        <v/>
      </c>
      <c r="N488" s="69" t="str">
        <f>IF(Main[[#This Row],[Tech Start Date]]&lt;1/1/1990,"",IF(Main[[#This Row],[Class]]="C",WORKDAY(Main[[#This Row],[Tech Start Date]],19),IF(Main[[#This Row],[Class]]="B", WORKDAY(Main[[#This Row],[Tech Start Date]],12),IF(Main[[#This Row],[Class]]="A",WORKDAY(Main[[#This Row],[Tech Start Date]],4),""))))</f>
        <v/>
      </c>
      <c r="O488" s="69" t="str">
        <f>IF(Main[[#This Row],[Tech Start Date]]&lt;1/1/1990,"",IF(Main[[#This Row],[Class]]="C",WORKDAY(Main[[#This Row],[Tech Start Date]],23),IF(Main[[#This Row],[Class]]="B", WORKDAY(Main[[#This Row],[Tech Start Date]],15),IF(Main[[#This Row],[Class]]="A",WORKDAY(Main[[#This Row],[Tech Start Date]],5),""))))</f>
        <v/>
      </c>
      <c r="P488" s="69" t="str">
        <f>IF(Main[[#This Row],[Tech Start Date]]&lt;1/1/1990,"",IF(Main[[#This Row],[Class]]="C",WORKDAY(Main[[#This Row],[Tech Start Date]],28),IF(Main[[#This Row],[Class]]="B", WORKDAY(Main[[#This Row],[Tech Start Date]],19),IF(Main[[#This Row],[Class]]="A",WORKDAY(Main[[#This Row],[Tech Start Date]],9),""))))</f>
        <v/>
      </c>
      <c r="Q488" s="67"/>
      <c r="R488" s="67"/>
      <c r="S488" s="65" t="s">
        <v>6</v>
      </c>
      <c r="T488" s="70" t="s">
        <v>4</v>
      </c>
      <c r="U488" s="65" t="s">
        <v>29</v>
      </c>
      <c r="V488" s="65" t="s">
        <v>1917</v>
      </c>
      <c r="W488" s="65" t="s">
        <v>1918</v>
      </c>
      <c r="X488" s="65" t="s">
        <v>306</v>
      </c>
      <c r="Y488" s="65" t="s">
        <v>4</v>
      </c>
      <c r="Z488" s="65" t="s">
        <v>30</v>
      </c>
      <c r="AA488" s="65" t="s">
        <v>3387</v>
      </c>
    </row>
    <row r="489" spans="1:27" ht="17.45" hidden="1" customHeight="1">
      <c r="A489" s="100" t="str">
        <f>IF(priority(Main[[#This Row],[Comments]])&lt;&gt;0, priority(Main[[#This Row],[Comments]]),"")</f>
        <v/>
      </c>
      <c r="B489" s="77" t="s">
        <v>2540</v>
      </c>
      <c r="C489" s="65" t="s">
        <v>2354</v>
      </c>
      <c r="D489" s="66" t="s">
        <v>2355</v>
      </c>
      <c r="E489" s="67"/>
      <c r="F489" s="67">
        <v>41008</v>
      </c>
      <c r="G489" s="64" t="str">
        <f>IF(stdProdLT(Main[[#This Row],[Comments]])=0.1,"N/A",IF(stdProdLT(Main[[#This Row],[Comments]])=0,"",stdProdLT(Main[[#This Row],[Comments]])))</f>
        <v/>
      </c>
      <c r="H489" s="68" t="str">
        <f>IF(AND(Main[[#This Row],[In Stock Date]]&lt;&gt;"",Main[[#This Row],[Revised Due Date]]&lt;&gt;""),Main[[#This Row],[In Stock Date]]-Main[[#This Row],[Revised Due Date]],"")</f>
        <v/>
      </c>
      <c r="I489" s="65" t="s">
        <v>4</v>
      </c>
      <c r="J489" s="65" t="s">
        <v>4</v>
      </c>
      <c r="K489" s="65" t="s">
        <v>4</v>
      </c>
      <c r="L489" s="67"/>
      <c r="M489" s="69" t="str">
        <f>IF(Main[[#This Row],[Tech Start Date]]&lt;1/1/1990,"",IF(Main[[#This Row],[Class]]="C",WORKDAY(Main[[#This Row],[Tech Start Date]],9),IF(Main[[#This Row],[Class]]="B", WORKDAY(Main[[#This Row],[Tech Start Date]],6),IF(Main[[#This Row],[Class]]="A",WORKDAY(Main[[#This Row],[Tech Start Date]],2),""))))</f>
        <v/>
      </c>
      <c r="N489" s="69" t="str">
        <f>IF(Main[[#This Row],[Tech Start Date]]&lt;1/1/1990,"",IF(Main[[#This Row],[Class]]="C",WORKDAY(Main[[#This Row],[Tech Start Date]],19),IF(Main[[#This Row],[Class]]="B", WORKDAY(Main[[#This Row],[Tech Start Date]],12),IF(Main[[#This Row],[Class]]="A",WORKDAY(Main[[#This Row],[Tech Start Date]],4),""))))</f>
        <v/>
      </c>
      <c r="O489" s="69" t="str">
        <f>IF(Main[[#This Row],[Tech Start Date]]&lt;1/1/1990,"",IF(Main[[#This Row],[Class]]="C",WORKDAY(Main[[#This Row],[Tech Start Date]],23),IF(Main[[#This Row],[Class]]="B", WORKDAY(Main[[#This Row],[Tech Start Date]],15),IF(Main[[#This Row],[Class]]="A",WORKDAY(Main[[#This Row],[Tech Start Date]],5),""))))</f>
        <v/>
      </c>
      <c r="P489" s="69" t="str">
        <f>IF(Main[[#This Row],[Tech Start Date]]&lt;1/1/1990,"",IF(Main[[#This Row],[Class]]="C",WORKDAY(Main[[#This Row],[Tech Start Date]],28),IF(Main[[#This Row],[Class]]="B", WORKDAY(Main[[#This Row],[Tech Start Date]],19),IF(Main[[#This Row],[Class]]="A",WORKDAY(Main[[#This Row],[Tech Start Date]],9),""))))</f>
        <v/>
      </c>
      <c r="Q489" s="67">
        <v>40826</v>
      </c>
      <c r="R489" s="67"/>
      <c r="S489" s="65" t="s">
        <v>11</v>
      </c>
      <c r="T489" s="70" t="s">
        <v>4</v>
      </c>
      <c r="U489" s="65" t="s">
        <v>12</v>
      </c>
      <c r="V489" s="65" t="s">
        <v>1917</v>
      </c>
      <c r="W489" s="65" t="s">
        <v>1920</v>
      </c>
      <c r="X489" s="65" t="s">
        <v>2843</v>
      </c>
      <c r="Y489" s="65" t="s">
        <v>4</v>
      </c>
      <c r="Z489" s="65" t="s">
        <v>4</v>
      </c>
      <c r="AA489" s="65" t="s">
        <v>2843</v>
      </c>
    </row>
    <row r="490" spans="1:27" ht="17.45" hidden="1" customHeight="1">
      <c r="A490" s="100" t="str">
        <f>IF(priority(Main[[#This Row],[Comments]])&lt;&gt;0, priority(Main[[#This Row],[Comments]]),"")</f>
        <v/>
      </c>
      <c r="B490" s="77" t="s">
        <v>1456</v>
      </c>
      <c r="C490" s="65" t="s">
        <v>4</v>
      </c>
      <c r="D490" s="66" t="s">
        <v>523</v>
      </c>
      <c r="E490" s="67">
        <v>40371.58488425926</v>
      </c>
      <c r="F490" s="67"/>
      <c r="G490" s="64" t="str">
        <f>IF(stdProdLT(Main[[#This Row],[Comments]])=0.1,"N/A",IF(stdProdLT(Main[[#This Row],[Comments]])=0,"",stdProdLT(Main[[#This Row],[Comments]])))</f>
        <v/>
      </c>
      <c r="H490" s="68" t="str">
        <f>IF(AND(Main[[#This Row],[In Stock Date]]&lt;&gt;"",Main[[#This Row],[Revised Due Date]]&lt;&gt;""),Main[[#This Row],[In Stock Date]]-Main[[#This Row],[Revised Due Date]],"")</f>
        <v/>
      </c>
      <c r="I490" s="65" t="s">
        <v>4</v>
      </c>
      <c r="J490" s="65" t="s">
        <v>4</v>
      </c>
      <c r="K490" s="65" t="s">
        <v>4</v>
      </c>
      <c r="L490" s="67"/>
      <c r="M490" s="69" t="str">
        <f>IF(Main[[#This Row],[Tech Start Date]]&lt;1/1/1990,"",IF(Main[[#This Row],[Class]]="C",WORKDAY(Main[[#This Row],[Tech Start Date]],9),IF(Main[[#This Row],[Class]]="B", WORKDAY(Main[[#This Row],[Tech Start Date]],6),IF(Main[[#This Row],[Class]]="A",WORKDAY(Main[[#This Row],[Tech Start Date]],2),""))))</f>
        <v/>
      </c>
      <c r="N490" s="69" t="str">
        <f>IF(Main[[#This Row],[Tech Start Date]]&lt;1/1/1990,"",IF(Main[[#This Row],[Class]]="C",WORKDAY(Main[[#This Row],[Tech Start Date]],19),IF(Main[[#This Row],[Class]]="B", WORKDAY(Main[[#This Row],[Tech Start Date]],12),IF(Main[[#This Row],[Class]]="A",WORKDAY(Main[[#This Row],[Tech Start Date]],4),""))))</f>
        <v/>
      </c>
      <c r="O490" s="69" t="str">
        <f>IF(Main[[#This Row],[Tech Start Date]]&lt;1/1/1990,"",IF(Main[[#This Row],[Class]]="C",WORKDAY(Main[[#This Row],[Tech Start Date]],23),IF(Main[[#This Row],[Class]]="B", WORKDAY(Main[[#This Row],[Tech Start Date]],15),IF(Main[[#This Row],[Class]]="A",WORKDAY(Main[[#This Row],[Tech Start Date]],5),""))))</f>
        <v/>
      </c>
      <c r="P490" s="69" t="str">
        <f>IF(Main[[#This Row],[Tech Start Date]]&lt;1/1/1990,"",IF(Main[[#This Row],[Class]]="C",WORKDAY(Main[[#This Row],[Tech Start Date]],28),IF(Main[[#This Row],[Class]]="B", WORKDAY(Main[[#This Row],[Tech Start Date]],19),IF(Main[[#This Row],[Class]]="A",WORKDAY(Main[[#This Row],[Tech Start Date]],9),""))))</f>
        <v/>
      </c>
      <c r="Q490" s="67">
        <v>40385</v>
      </c>
      <c r="R490" s="67"/>
      <c r="S490" s="65" t="s">
        <v>6</v>
      </c>
      <c r="T490" s="70" t="s">
        <v>4</v>
      </c>
      <c r="U490" s="65" t="s">
        <v>7</v>
      </c>
      <c r="V490" s="65" t="s">
        <v>1914</v>
      </c>
      <c r="W490" s="65" t="s">
        <v>1919</v>
      </c>
      <c r="X490" s="65" t="s">
        <v>102</v>
      </c>
      <c r="Y490" s="65" t="s">
        <v>3048</v>
      </c>
      <c r="Z490" s="65" t="s">
        <v>4</v>
      </c>
      <c r="AA490" s="65" t="s">
        <v>3416</v>
      </c>
    </row>
    <row r="491" spans="1:27" ht="17.45" hidden="1" customHeight="1">
      <c r="A491" s="100">
        <f>IF(priority(Main[[#This Row],[Comments]])&lt;&gt;0, priority(Main[[#This Row],[Comments]]),"")</f>
        <v>22</v>
      </c>
      <c r="B491" s="77" t="s">
        <v>1680</v>
      </c>
      <c r="C491" s="65" t="s">
        <v>4</v>
      </c>
      <c r="D491" s="66" t="s">
        <v>2308</v>
      </c>
      <c r="E491" s="67">
        <v>40715.570891203701</v>
      </c>
      <c r="F491" s="67"/>
      <c r="G491" s="64" t="str">
        <f>IF(stdProdLT(Main[[#This Row],[Comments]])=0.1,"N/A",IF(stdProdLT(Main[[#This Row],[Comments]])=0,"",stdProdLT(Main[[#This Row],[Comments]])))</f>
        <v>N/A</v>
      </c>
      <c r="H491" s="68" t="str">
        <f>IF(AND(Main[[#This Row],[In Stock Date]]&lt;&gt;"",Main[[#This Row],[Revised Due Date]]&lt;&gt;""),Main[[#This Row],[In Stock Date]]-Main[[#This Row],[Revised Due Date]],"")</f>
        <v/>
      </c>
      <c r="I491" s="65" t="s">
        <v>912</v>
      </c>
      <c r="J491" s="65" t="s">
        <v>52</v>
      </c>
      <c r="K491" s="71" t="s">
        <v>4</v>
      </c>
      <c r="L491" s="67"/>
      <c r="M491" s="69" t="str">
        <f>IF(Main[[#This Row],[Tech Start Date]]&lt;1/1/1990,"",IF(Main[[#This Row],[Class]]="C",WORKDAY(Main[[#This Row],[Tech Start Date]],9),IF(Main[[#This Row],[Class]]="B", WORKDAY(Main[[#This Row],[Tech Start Date]],6),IF(Main[[#This Row],[Class]]="A",WORKDAY(Main[[#This Row],[Tech Start Date]],2),""))))</f>
        <v/>
      </c>
      <c r="N491" s="69" t="str">
        <f>IF(Main[[#This Row],[Tech Start Date]]&lt;1/1/1990,"",IF(Main[[#This Row],[Class]]="C",WORKDAY(Main[[#This Row],[Tech Start Date]],19),IF(Main[[#This Row],[Class]]="B", WORKDAY(Main[[#This Row],[Tech Start Date]],12),IF(Main[[#This Row],[Class]]="A",WORKDAY(Main[[#This Row],[Tech Start Date]],4),""))))</f>
        <v/>
      </c>
      <c r="O491" s="69" t="str">
        <f>IF(Main[[#This Row],[Tech Start Date]]&lt;1/1/1990,"",IF(Main[[#This Row],[Class]]="C",WORKDAY(Main[[#This Row],[Tech Start Date]],23),IF(Main[[#This Row],[Class]]="B", WORKDAY(Main[[#This Row],[Tech Start Date]],15),IF(Main[[#This Row],[Class]]="A",WORKDAY(Main[[#This Row],[Tech Start Date]],5),""))))</f>
        <v/>
      </c>
      <c r="P491" s="69" t="str">
        <f>IF(Main[[#This Row],[Tech Start Date]]&lt;1/1/1990,"",IF(Main[[#This Row],[Class]]="C",WORKDAY(Main[[#This Row],[Tech Start Date]],28),IF(Main[[#This Row],[Class]]="B", WORKDAY(Main[[#This Row],[Tech Start Date]],19),IF(Main[[#This Row],[Class]]="A",WORKDAY(Main[[#This Row],[Tech Start Date]],9),""))))</f>
        <v/>
      </c>
      <c r="Q491" s="67">
        <v>40733</v>
      </c>
      <c r="R491" s="67">
        <v>40756</v>
      </c>
      <c r="S491" s="65" t="s">
        <v>6</v>
      </c>
      <c r="T491" s="70" t="s">
        <v>2562</v>
      </c>
      <c r="U491" s="65" t="s">
        <v>29</v>
      </c>
      <c r="V491" s="65" t="s">
        <v>1914</v>
      </c>
      <c r="W491" s="65" t="s">
        <v>1918</v>
      </c>
      <c r="X491" s="65" t="s">
        <v>2836</v>
      </c>
      <c r="Y491" s="65" t="s">
        <v>2965</v>
      </c>
      <c r="Z491" s="65" t="s">
        <v>4</v>
      </c>
      <c r="AA491" s="65" t="s">
        <v>2836</v>
      </c>
    </row>
    <row r="492" spans="1:27" ht="17.45" hidden="1" customHeight="1">
      <c r="A492" s="100">
        <f>IF(priority(Main[[#This Row],[Comments]])&lt;&gt;0, priority(Main[[#This Row],[Comments]]),"")</f>
        <v>41</v>
      </c>
      <c r="B492" s="77" t="s">
        <v>1998</v>
      </c>
      <c r="C492" s="65" t="s">
        <v>4</v>
      </c>
      <c r="D492" s="66" t="s">
        <v>1999</v>
      </c>
      <c r="E492" s="67">
        <v>40738.567210648151</v>
      </c>
      <c r="F492" s="67"/>
      <c r="G492" s="64" t="str">
        <f>IF(stdProdLT(Main[[#This Row],[Comments]])=0.1,"N/A",IF(stdProdLT(Main[[#This Row],[Comments]])=0,"",stdProdLT(Main[[#This Row],[Comments]])))</f>
        <v/>
      </c>
      <c r="H492" s="68" t="str">
        <f>IF(AND(Main[[#This Row],[In Stock Date]]&lt;&gt;"",Main[[#This Row],[Revised Due Date]]&lt;&gt;""),Main[[#This Row],[In Stock Date]]-Main[[#This Row],[Revised Due Date]],"")</f>
        <v/>
      </c>
      <c r="I492" s="65" t="s">
        <v>912</v>
      </c>
      <c r="J492" s="65" t="s">
        <v>52</v>
      </c>
      <c r="K492" s="65" t="s">
        <v>4</v>
      </c>
      <c r="L492" s="67"/>
      <c r="M492" s="69" t="str">
        <f>IF(Main[[#This Row],[Tech Start Date]]&lt;1/1/1990,"",IF(Main[[#This Row],[Class]]="C",WORKDAY(Main[[#This Row],[Tech Start Date]],9),IF(Main[[#This Row],[Class]]="B", WORKDAY(Main[[#This Row],[Tech Start Date]],6),IF(Main[[#This Row],[Class]]="A",WORKDAY(Main[[#This Row],[Tech Start Date]],2),""))))</f>
        <v/>
      </c>
      <c r="N492" s="69" t="str">
        <f>IF(Main[[#This Row],[Tech Start Date]]&lt;1/1/1990,"",IF(Main[[#This Row],[Class]]="C",WORKDAY(Main[[#This Row],[Tech Start Date]],19),IF(Main[[#This Row],[Class]]="B", WORKDAY(Main[[#This Row],[Tech Start Date]],12),IF(Main[[#This Row],[Class]]="A",WORKDAY(Main[[#This Row],[Tech Start Date]],4),""))))</f>
        <v/>
      </c>
      <c r="O492" s="69" t="str">
        <f>IF(Main[[#This Row],[Tech Start Date]]&lt;1/1/1990,"",IF(Main[[#This Row],[Class]]="C",WORKDAY(Main[[#This Row],[Tech Start Date]],23),IF(Main[[#This Row],[Class]]="B", WORKDAY(Main[[#This Row],[Tech Start Date]],15),IF(Main[[#This Row],[Class]]="A",WORKDAY(Main[[#This Row],[Tech Start Date]],5),""))))</f>
        <v/>
      </c>
      <c r="P492" s="69" t="str">
        <f>IF(Main[[#This Row],[Tech Start Date]]&lt;1/1/1990,"",IF(Main[[#This Row],[Class]]="C",WORKDAY(Main[[#This Row],[Tech Start Date]],28),IF(Main[[#This Row],[Class]]="B", WORKDAY(Main[[#This Row],[Tech Start Date]],19),IF(Main[[#This Row],[Class]]="A",WORKDAY(Main[[#This Row],[Tech Start Date]],9),""))))</f>
        <v/>
      </c>
      <c r="Q492" s="67">
        <v>40749</v>
      </c>
      <c r="R492" s="67"/>
      <c r="S492" s="65" t="s">
        <v>6</v>
      </c>
      <c r="T492" s="70" t="s">
        <v>2035</v>
      </c>
      <c r="U492" s="65" t="s">
        <v>29</v>
      </c>
      <c r="V492" s="65" t="s">
        <v>1914</v>
      </c>
      <c r="W492" s="65" t="s">
        <v>1920</v>
      </c>
      <c r="X492" s="65" t="s">
        <v>912</v>
      </c>
      <c r="Y492" s="65" t="s">
        <v>3049</v>
      </c>
      <c r="Z492" s="65" t="s">
        <v>129</v>
      </c>
      <c r="AA492" s="65" t="s">
        <v>2852</v>
      </c>
    </row>
    <row r="493" spans="1:27" ht="17.45" hidden="1" customHeight="1">
      <c r="A493" s="100">
        <f>IF(priority(Main[[#This Row],[Comments]])&lt;&gt;0, priority(Main[[#This Row],[Comments]]),"")</f>
        <v>24</v>
      </c>
      <c r="B493" s="77" t="s">
        <v>1556</v>
      </c>
      <c r="C493" s="65" t="s">
        <v>4</v>
      </c>
      <c r="D493" s="66" t="s">
        <v>2299</v>
      </c>
      <c r="E493" s="67">
        <v>40710.712175925924</v>
      </c>
      <c r="F493" s="67"/>
      <c r="G493" s="64" t="str">
        <f>IF(stdProdLT(Main[[#This Row],[Comments]])=0.1,"N/A",IF(stdProdLT(Main[[#This Row],[Comments]])=0,"",stdProdLT(Main[[#This Row],[Comments]])))</f>
        <v>N/A</v>
      </c>
      <c r="H493" s="68" t="str">
        <f>IF(AND(Main[[#This Row],[In Stock Date]]&lt;&gt;"",Main[[#This Row],[Revised Due Date]]&lt;&gt;""),Main[[#This Row],[In Stock Date]]-Main[[#This Row],[Revised Due Date]],"")</f>
        <v/>
      </c>
      <c r="I493" s="65" t="s">
        <v>912</v>
      </c>
      <c r="J493" s="65" t="s">
        <v>4</v>
      </c>
      <c r="K493" s="65" t="s">
        <v>4</v>
      </c>
      <c r="L493" s="67"/>
      <c r="M493" s="69" t="str">
        <f>IF(Main[[#This Row],[Tech Start Date]]&lt;1/1/1990,"",IF(Main[[#This Row],[Class]]="C",WORKDAY(Main[[#This Row],[Tech Start Date]],9),IF(Main[[#This Row],[Class]]="B", WORKDAY(Main[[#This Row],[Tech Start Date]],6),IF(Main[[#This Row],[Class]]="A",WORKDAY(Main[[#This Row],[Tech Start Date]],2),""))))</f>
        <v/>
      </c>
      <c r="N493" s="69" t="str">
        <f>IF(Main[[#This Row],[Tech Start Date]]&lt;1/1/1990,"",IF(Main[[#This Row],[Class]]="C",WORKDAY(Main[[#This Row],[Tech Start Date]],19),IF(Main[[#This Row],[Class]]="B", WORKDAY(Main[[#This Row],[Tech Start Date]],12),IF(Main[[#This Row],[Class]]="A",WORKDAY(Main[[#This Row],[Tech Start Date]],4),""))))</f>
        <v/>
      </c>
      <c r="O493" s="69" t="str">
        <f>IF(Main[[#This Row],[Tech Start Date]]&lt;1/1/1990,"",IF(Main[[#This Row],[Class]]="C",WORKDAY(Main[[#This Row],[Tech Start Date]],23),IF(Main[[#This Row],[Class]]="B", WORKDAY(Main[[#This Row],[Tech Start Date]],15),IF(Main[[#This Row],[Class]]="A",WORKDAY(Main[[#This Row],[Tech Start Date]],5),""))))</f>
        <v/>
      </c>
      <c r="P493" s="69" t="str">
        <f>IF(Main[[#This Row],[Tech Start Date]]&lt;1/1/1990,"",IF(Main[[#This Row],[Class]]="C",WORKDAY(Main[[#This Row],[Tech Start Date]],28),IF(Main[[#This Row],[Class]]="B", WORKDAY(Main[[#This Row],[Tech Start Date]],19),IF(Main[[#This Row],[Class]]="A",WORKDAY(Main[[#This Row],[Tech Start Date]],9),""))))</f>
        <v/>
      </c>
      <c r="Q493" s="67"/>
      <c r="R493" s="67">
        <v>40756</v>
      </c>
      <c r="S493" s="65" t="s">
        <v>6</v>
      </c>
      <c r="T493" s="70" t="s">
        <v>2261</v>
      </c>
      <c r="U493" s="65" t="s">
        <v>29</v>
      </c>
      <c r="V493" s="65" t="s">
        <v>1914</v>
      </c>
      <c r="W493" s="65" t="s">
        <v>1918</v>
      </c>
      <c r="X493" s="65" t="s">
        <v>2866</v>
      </c>
      <c r="Y493" s="65" t="s">
        <v>3000</v>
      </c>
      <c r="Z493" s="65" t="s">
        <v>4</v>
      </c>
      <c r="AA493" s="65" t="s">
        <v>2866</v>
      </c>
    </row>
    <row r="494" spans="1:27" ht="17.45" hidden="1" customHeight="1">
      <c r="A494" s="100" t="str">
        <f>IF(priority(Main[[#This Row],[Comments]])&lt;&gt;0, priority(Main[[#This Row],[Comments]]),"")</f>
        <v/>
      </c>
      <c r="B494" s="77" t="s">
        <v>1459</v>
      </c>
      <c r="C494" s="65" t="s">
        <v>525</v>
      </c>
      <c r="D494" s="66" t="s">
        <v>526</v>
      </c>
      <c r="E494" s="67"/>
      <c r="F494" s="67">
        <v>40276</v>
      </c>
      <c r="G494" s="64" t="str">
        <f>IF(stdProdLT(Main[[#This Row],[Comments]])=0.1,"N/A",IF(stdProdLT(Main[[#This Row],[Comments]])=0,"",stdProdLT(Main[[#This Row],[Comments]])))</f>
        <v/>
      </c>
      <c r="H494" s="68" t="str">
        <f>IF(AND(Main[[#This Row],[In Stock Date]]&lt;&gt;"",Main[[#This Row],[Revised Due Date]]&lt;&gt;""),Main[[#This Row],[In Stock Date]]-Main[[#This Row],[Revised Due Date]],"")</f>
        <v/>
      </c>
      <c r="I494" s="65" t="s">
        <v>4</v>
      </c>
      <c r="J494" s="65" t="s">
        <v>4</v>
      </c>
      <c r="K494" s="65" t="s">
        <v>4</v>
      </c>
      <c r="L494" s="67"/>
      <c r="M494" s="69" t="str">
        <f>IF(Main[[#This Row],[Tech Start Date]]&lt;1/1/1990,"",IF(Main[[#This Row],[Class]]="C",WORKDAY(Main[[#This Row],[Tech Start Date]],9),IF(Main[[#This Row],[Class]]="B", WORKDAY(Main[[#This Row],[Tech Start Date]],6),IF(Main[[#This Row],[Class]]="A",WORKDAY(Main[[#This Row],[Tech Start Date]],2),""))))</f>
        <v/>
      </c>
      <c r="N494" s="69" t="str">
        <f>IF(Main[[#This Row],[Tech Start Date]]&lt;1/1/1990,"",IF(Main[[#This Row],[Class]]="C",WORKDAY(Main[[#This Row],[Tech Start Date]],19),IF(Main[[#This Row],[Class]]="B", WORKDAY(Main[[#This Row],[Tech Start Date]],12),IF(Main[[#This Row],[Class]]="A",WORKDAY(Main[[#This Row],[Tech Start Date]],4),""))))</f>
        <v/>
      </c>
      <c r="O494" s="69" t="str">
        <f>IF(Main[[#This Row],[Tech Start Date]]&lt;1/1/1990,"",IF(Main[[#This Row],[Class]]="C",WORKDAY(Main[[#This Row],[Tech Start Date]],23),IF(Main[[#This Row],[Class]]="B", WORKDAY(Main[[#This Row],[Tech Start Date]],15),IF(Main[[#This Row],[Class]]="A",WORKDAY(Main[[#This Row],[Tech Start Date]],5),""))))</f>
        <v/>
      </c>
      <c r="P494" s="69" t="str">
        <f>IF(Main[[#This Row],[Tech Start Date]]&lt;1/1/1990,"",IF(Main[[#This Row],[Class]]="C",WORKDAY(Main[[#This Row],[Tech Start Date]],28),IF(Main[[#This Row],[Class]]="B", WORKDAY(Main[[#This Row],[Tech Start Date]],19),IF(Main[[#This Row],[Class]]="A",WORKDAY(Main[[#This Row],[Tech Start Date]],9),""))))</f>
        <v/>
      </c>
      <c r="Q494" s="67">
        <v>40164</v>
      </c>
      <c r="R494" s="67"/>
      <c r="S494" s="65" t="s">
        <v>11</v>
      </c>
      <c r="T494" s="70" t="s">
        <v>4</v>
      </c>
      <c r="U494" s="65" t="s">
        <v>14</v>
      </c>
      <c r="V494" s="65" t="s">
        <v>1917</v>
      </c>
      <c r="W494" s="65" t="s">
        <v>1920</v>
      </c>
      <c r="X494" s="65" t="s">
        <v>2892</v>
      </c>
      <c r="Y494" s="65" t="s">
        <v>4</v>
      </c>
      <c r="Z494" s="65" t="s">
        <v>4</v>
      </c>
      <c r="AA494" s="65" t="s">
        <v>2892</v>
      </c>
    </row>
    <row r="495" spans="1:27" ht="17.45" hidden="1" customHeight="1">
      <c r="A495" s="100" t="str">
        <f>IF(priority(Main[[#This Row],[Comments]])&lt;&gt;0, priority(Main[[#This Row],[Comments]]),"")</f>
        <v/>
      </c>
      <c r="B495" s="77" t="s">
        <v>1696</v>
      </c>
      <c r="C495" s="65" t="s">
        <v>4</v>
      </c>
      <c r="D495" s="66" t="s">
        <v>752</v>
      </c>
      <c r="E495" s="67">
        <v>40700.558032407411</v>
      </c>
      <c r="F495" s="67"/>
      <c r="G495" s="64" t="str">
        <f>IF(stdProdLT(Main[[#This Row],[Comments]])=0.1,"N/A",IF(stdProdLT(Main[[#This Row],[Comments]])=0,"",stdProdLT(Main[[#This Row],[Comments]])))</f>
        <v/>
      </c>
      <c r="H495" s="68" t="str">
        <f>IF(AND(Main[[#This Row],[In Stock Date]]&lt;&gt;"",Main[[#This Row],[Revised Due Date]]&lt;&gt;""),Main[[#This Row],[In Stock Date]]-Main[[#This Row],[Revised Due Date]],"")</f>
        <v/>
      </c>
      <c r="I495" s="65" t="s">
        <v>4</v>
      </c>
      <c r="J495" s="65" t="s">
        <v>4</v>
      </c>
      <c r="K495" s="65" t="s">
        <v>4</v>
      </c>
      <c r="L495" s="67"/>
      <c r="M495" s="69" t="str">
        <f>IF(Main[[#This Row],[Tech Start Date]]&lt;1/1/1990,"",IF(Main[[#This Row],[Class]]="C",WORKDAY(Main[[#This Row],[Tech Start Date]],9),IF(Main[[#This Row],[Class]]="B", WORKDAY(Main[[#This Row],[Tech Start Date]],6),IF(Main[[#This Row],[Class]]="A",WORKDAY(Main[[#This Row],[Tech Start Date]],2),""))))</f>
        <v/>
      </c>
      <c r="N495" s="69" t="str">
        <f>IF(Main[[#This Row],[Tech Start Date]]&lt;1/1/1990,"",IF(Main[[#This Row],[Class]]="C",WORKDAY(Main[[#This Row],[Tech Start Date]],19),IF(Main[[#This Row],[Class]]="B", WORKDAY(Main[[#This Row],[Tech Start Date]],12),IF(Main[[#This Row],[Class]]="A",WORKDAY(Main[[#This Row],[Tech Start Date]],4),""))))</f>
        <v/>
      </c>
      <c r="O495" s="69" t="str">
        <f>IF(Main[[#This Row],[Tech Start Date]]&lt;1/1/1990,"",IF(Main[[#This Row],[Class]]="C",WORKDAY(Main[[#This Row],[Tech Start Date]],23),IF(Main[[#This Row],[Class]]="B", WORKDAY(Main[[#This Row],[Tech Start Date]],15),IF(Main[[#This Row],[Class]]="A",WORKDAY(Main[[#This Row],[Tech Start Date]],5),""))))</f>
        <v/>
      </c>
      <c r="P495" s="69" t="str">
        <f>IF(Main[[#This Row],[Tech Start Date]]&lt;1/1/1990,"",IF(Main[[#This Row],[Class]]="C",WORKDAY(Main[[#This Row],[Tech Start Date]],28),IF(Main[[#This Row],[Class]]="B", WORKDAY(Main[[#This Row],[Tech Start Date]],19),IF(Main[[#This Row],[Class]]="A",WORKDAY(Main[[#This Row],[Tech Start Date]],9),""))))</f>
        <v/>
      </c>
      <c r="Q495" s="67">
        <v>40714</v>
      </c>
      <c r="R495" s="67"/>
      <c r="S495" s="65" t="s">
        <v>6</v>
      </c>
      <c r="T495" s="70" t="s">
        <v>4</v>
      </c>
      <c r="U495" s="65" t="s">
        <v>694</v>
      </c>
      <c r="V495" s="65" t="s">
        <v>1914</v>
      </c>
      <c r="W495" s="65" t="s">
        <v>4</v>
      </c>
      <c r="X495" s="65" t="s">
        <v>2836</v>
      </c>
      <c r="Y495" s="65" t="s">
        <v>2965</v>
      </c>
      <c r="Z495" s="65" t="s">
        <v>4</v>
      </c>
      <c r="AA495" s="65" t="s">
        <v>2836</v>
      </c>
    </row>
    <row r="496" spans="1:27" ht="17.45" hidden="1" customHeight="1">
      <c r="A496" s="100" t="str">
        <f>IF(priority(Main[[#This Row],[Comments]])&lt;&gt;0, priority(Main[[#This Row],[Comments]]),"")</f>
        <v/>
      </c>
      <c r="B496" s="77" t="s">
        <v>1461</v>
      </c>
      <c r="C496" s="65" t="s">
        <v>4</v>
      </c>
      <c r="D496" s="66" t="s">
        <v>527</v>
      </c>
      <c r="E496" s="67"/>
      <c r="F496" s="67">
        <v>40431</v>
      </c>
      <c r="G496" s="64" t="str">
        <f>IF(stdProdLT(Main[[#This Row],[Comments]])=0.1,"N/A",IF(stdProdLT(Main[[#This Row],[Comments]])=0,"",stdProdLT(Main[[#This Row],[Comments]])))</f>
        <v/>
      </c>
      <c r="H496" s="68" t="str">
        <f>IF(AND(Main[[#This Row],[In Stock Date]]&lt;&gt;"",Main[[#This Row],[Revised Due Date]]&lt;&gt;""),Main[[#This Row],[In Stock Date]]-Main[[#This Row],[Revised Due Date]],"")</f>
        <v/>
      </c>
      <c r="I496" s="65" t="s">
        <v>4</v>
      </c>
      <c r="J496" s="65" t="s">
        <v>28</v>
      </c>
      <c r="K496" s="65" t="s">
        <v>4</v>
      </c>
      <c r="L496" s="67"/>
      <c r="M496" s="69" t="str">
        <f>IF(Main[[#This Row],[Tech Start Date]]&lt;1/1/1990,"",IF(Main[[#This Row],[Class]]="C",WORKDAY(Main[[#This Row],[Tech Start Date]],9),IF(Main[[#This Row],[Class]]="B", WORKDAY(Main[[#This Row],[Tech Start Date]],6),IF(Main[[#This Row],[Class]]="A",WORKDAY(Main[[#This Row],[Tech Start Date]],2),""))))</f>
        <v/>
      </c>
      <c r="N496" s="69" t="str">
        <f>IF(Main[[#This Row],[Tech Start Date]]&lt;1/1/1990,"",IF(Main[[#This Row],[Class]]="C",WORKDAY(Main[[#This Row],[Tech Start Date]],19),IF(Main[[#This Row],[Class]]="B", WORKDAY(Main[[#This Row],[Tech Start Date]],12),IF(Main[[#This Row],[Class]]="A",WORKDAY(Main[[#This Row],[Tech Start Date]],4),""))))</f>
        <v/>
      </c>
      <c r="O496" s="69" t="str">
        <f>IF(Main[[#This Row],[Tech Start Date]]&lt;1/1/1990,"",IF(Main[[#This Row],[Class]]="C",WORKDAY(Main[[#This Row],[Tech Start Date]],23),IF(Main[[#This Row],[Class]]="B", WORKDAY(Main[[#This Row],[Tech Start Date]],15),IF(Main[[#This Row],[Class]]="A",WORKDAY(Main[[#This Row],[Tech Start Date]],5),""))))</f>
        <v/>
      </c>
      <c r="P496" s="69" t="str">
        <f>IF(Main[[#This Row],[Tech Start Date]]&lt;1/1/1990,"",IF(Main[[#This Row],[Class]]="C",WORKDAY(Main[[#This Row],[Tech Start Date]],28),IF(Main[[#This Row],[Class]]="B", WORKDAY(Main[[#This Row],[Tech Start Date]],19),IF(Main[[#This Row],[Class]]="A",WORKDAY(Main[[#This Row],[Tech Start Date]],9),""))))</f>
        <v/>
      </c>
      <c r="Q496" s="67">
        <v>40410</v>
      </c>
      <c r="R496" s="67"/>
      <c r="S496" s="65" t="s">
        <v>11</v>
      </c>
      <c r="T496" s="70" t="s">
        <v>4</v>
      </c>
      <c r="U496" s="65" t="s">
        <v>14</v>
      </c>
      <c r="V496" s="65" t="s">
        <v>1915</v>
      </c>
      <c r="W496" s="65" t="s">
        <v>1922</v>
      </c>
      <c r="X496" s="65" t="s">
        <v>2824</v>
      </c>
      <c r="Y496" s="65" t="s">
        <v>2943</v>
      </c>
      <c r="Z496" s="65" t="s">
        <v>108</v>
      </c>
      <c r="AA496" s="65" t="s">
        <v>2824</v>
      </c>
    </row>
    <row r="497" spans="1:27" ht="17.45" hidden="1" customHeight="1">
      <c r="A497" s="100" t="str">
        <f>IF(priority(Main[[#This Row],[Comments]])&lt;&gt;0, priority(Main[[#This Row],[Comments]]),"")</f>
        <v/>
      </c>
      <c r="B497" s="77" t="s">
        <v>1462</v>
      </c>
      <c r="C497" s="65" t="s">
        <v>4</v>
      </c>
      <c r="D497" s="66" t="s">
        <v>528</v>
      </c>
      <c r="E497" s="67"/>
      <c r="F497" s="67">
        <v>40786</v>
      </c>
      <c r="G497" s="64" t="str">
        <f>IF(stdProdLT(Main[[#This Row],[Comments]])=0.1,"N/A",IF(stdProdLT(Main[[#This Row],[Comments]])=0,"",stdProdLT(Main[[#This Row],[Comments]])))</f>
        <v/>
      </c>
      <c r="H497" s="68" t="str">
        <f>IF(AND(Main[[#This Row],[In Stock Date]]&lt;&gt;"",Main[[#This Row],[Revised Due Date]]&lt;&gt;""),Main[[#This Row],[In Stock Date]]-Main[[#This Row],[Revised Due Date]],"")</f>
        <v/>
      </c>
      <c r="I497" s="65" t="s">
        <v>4</v>
      </c>
      <c r="J497" s="65" t="s">
        <v>4</v>
      </c>
      <c r="K497" s="65" t="s">
        <v>4</v>
      </c>
      <c r="L497" s="67"/>
      <c r="M497" s="69" t="str">
        <f>IF(Main[[#This Row],[Tech Start Date]]&lt;1/1/1990,"",IF(Main[[#This Row],[Class]]="C",WORKDAY(Main[[#This Row],[Tech Start Date]],9),IF(Main[[#This Row],[Class]]="B", WORKDAY(Main[[#This Row],[Tech Start Date]],6),IF(Main[[#This Row],[Class]]="A",WORKDAY(Main[[#This Row],[Tech Start Date]],2),""))))</f>
        <v/>
      </c>
      <c r="N497" s="69" t="str">
        <f>IF(Main[[#This Row],[Tech Start Date]]&lt;1/1/1990,"",IF(Main[[#This Row],[Class]]="C",WORKDAY(Main[[#This Row],[Tech Start Date]],19),IF(Main[[#This Row],[Class]]="B", WORKDAY(Main[[#This Row],[Tech Start Date]],12),IF(Main[[#This Row],[Class]]="A",WORKDAY(Main[[#This Row],[Tech Start Date]],4),""))))</f>
        <v/>
      </c>
      <c r="O497" s="69" t="str">
        <f>IF(Main[[#This Row],[Tech Start Date]]&lt;1/1/1990,"",IF(Main[[#This Row],[Class]]="C",WORKDAY(Main[[#This Row],[Tech Start Date]],23),IF(Main[[#This Row],[Class]]="B", WORKDAY(Main[[#This Row],[Tech Start Date]],15),IF(Main[[#This Row],[Class]]="A",WORKDAY(Main[[#This Row],[Tech Start Date]],5),""))))</f>
        <v/>
      </c>
      <c r="P497" s="69" t="str">
        <f>IF(Main[[#This Row],[Tech Start Date]]&lt;1/1/1990,"",IF(Main[[#This Row],[Class]]="C",WORKDAY(Main[[#This Row],[Tech Start Date]],28),IF(Main[[#This Row],[Class]]="B", WORKDAY(Main[[#This Row],[Tech Start Date]],19),IF(Main[[#This Row],[Class]]="A",WORKDAY(Main[[#This Row],[Tech Start Date]],9),""))))</f>
        <v/>
      </c>
      <c r="Q497" s="67">
        <v>40749</v>
      </c>
      <c r="R497" s="67"/>
      <c r="S497" s="65" t="s">
        <v>11</v>
      </c>
      <c r="T497" s="70" t="s">
        <v>4</v>
      </c>
      <c r="U497" s="65" t="s">
        <v>14</v>
      </c>
      <c r="V497" s="65" t="s">
        <v>1917</v>
      </c>
      <c r="W497" s="65" t="s">
        <v>1922</v>
      </c>
      <c r="X497" s="65" t="s">
        <v>553</v>
      </c>
      <c r="Y497" s="65" t="s">
        <v>3050</v>
      </c>
      <c r="Z497" s="65" t="s">
        <v>4</v>
      </c>
      <c r="AA497" s="65" t="s">
        <v>2860</v>
      </c>
    </row>
    <row r="498" spans="1:27" ht="17.45" hidden="1" customHeight="1">
      <c r="A498" s="100" t="str">
        <f>IF(priority(Main[[#This Row],[Comments]])&lt;&gt;0, priority(Main[[#This Row],[Comments]]),"")</f>
        <v/>
      </c>
      <c r="B498" s="77" t="s">
        <v>1440</v>
      </c>
      <c r="C498" s="65" t="s">
        <v>95</v>
      </c>
      <c r="D498" s="66" t="s">
        <v>529</v>
      </c>
      <c r="E498" s="67"/>
      <c r="F498" s="67"/>
      <c r="G498" s="64" t="str">
        <f>IF(stdProdLT(Main[[#This Row],[Comments]])=0.1,"N/A",IF(stdProdLT(Main[[#This Row],[Comments]])=0,"",stdProdLT(Main[[#This Row],[Comments]])))</f>
        <v/>
      </c>
      <c r="H498" s="68" t="str">
        <f>IF(AND(Main[[#This Row],[In Stock Date]]&lt;&gt;"",Main[[#This Row],[Revised Due Date]]&lt;&gt;""),Main[[#This Row],[In Stock Date]]-Main[[#This Row],[Revised Due Date]],"")</f>
        <v/>
      </c>
      <c r="I498" s="65" t="s">
        <v>530</v>
      </c>
      <c r="J498" s="65" t="s">
        <v>4</v>
      </c>
      <c r="K498" s="71" t="s">
        <v>4</v>
      </c>
      <c r="L498" s="67"/>
      <c r="M498" s="69" t="str">
        <f>IF(Main[[#This Row],[Tech Start Date]]&lt;1/1/1990,"",IF(Main[[#This Row],[Class]]="C",WORKDAY(Main[[#This Row],[Tech Start Date]],9),IF(Main[[#This Row],[Class]]="B", WORKDAY(Main[[#This Row],[Tech Start Date]],6),IF(Main[[#This Row],[Class]]="A",WORKDAY(Main[[#This Row],[Tech Start Date]],2),""))))</f>
        <v/>
      </c>
      <c r="N498" s="69" t="str">
        <f>IF(Main[[#This Row],[Tech Start Date]]&lt;1/1/1990,"",IF(Main[[#This Row],[Class]]="C",WORKDAY(Main[[#This Row],[Tech Start Date]],19),IF(Main[[#This Row],[Class]]="B", WORKDAY(Main[[#This Row],[Tech Start Date]],12),IF(Main[[#This Row],[Class]]="A",WORKDAY(Main[[#This Row],[Tech Start Date]],4),""))))</f>
        <v/>
      </c>
      <c r="O498" s="69" t="str">
        <f>IF(Main[[#This Row],[Tech Start Date]]&lt;1/1/1990,"",IF(Main[[#This Row],[Class]]="C",WORKDAY(Main[[#This Row],[Tech Start Date]],23),IF(Main[[#This Row],[Class]]="B", WORKDAY(Main[[#This Row],[Tech Start Date]],15),IF(Main[[#This Row],[Class]]="A",WORKDAY(Main[[#This Row],[Tech Start Date]],5),""))))</f>
        <v/>
      </c>
      <c r="P498" s="69" t="str">
        <f>IF(Main[[#This Row],[Tech Start Date]]&lt;1/1/1990,"",IF(Main[[#This Row],[Class]]="C",WORKDAY(Main[[#This Row],[Tech Start Date]],28),IF(Main[[#This Row],[Class]]="B", WORKDAY(Main[[#This Row],[Tech Start Date]],19),IF(Main[[#This Row],[Class]]="A",WORKDAY(Main[[#This Row],[Tech Start Date]],9),""))))</f>
        <v/>
      </c>
      <c r="Q498" s="67">
        <v>40352</v>
      </c>
      <c r="R498" s="67"/>
      <c r="S498" s="65" t="s">
        <v>11</v>
      </c>
      <c r="T498" s="70" t="s">
        <v>4</v>
      </c>
      <c r="U498" s="65" t="s">
        <v>14</v>
      </c>
      <c r="V498" s="65" t="s">
        <v>1917</v>
      </c>
      <c r="W498" s="65" t="s">
        <v>1916</v>
      </c>
      <c r="X498" s="65" t="s">
        <v>2837</v>
      </c>
      <c r="Y498" s="65" t="s">
        <v>3051</v>
      </c>
      <c r="Z498" s="65" t="s">
        <v>4</v>
      </c>
      <c r="AA498" s="65" t="s">
        <v>3407</v>
      </c>
    </row>
    <row r="499" spans="1:27" ht="17.45" hidden="1" customHeight="1">
      <c r="A499" s="100" t="str">
        <f>IF(priority(Main[[#This Row],[Comments]])&lt;&gt;0, priority(Main[[#This Row],[Comments]]),"")</f>
        <v/>
      </c>
      <c r="B499" s="77" t="s">
        <v>1442</v>
      </c>
      <c r="C499" s="65" t="s">
        <v>169</v>
      </c>
      <c r="D499" s="66" t="s">
        <v>532</v>
      </c>
      <c r="E499" s="67"/>
      <c r="F499" s="67">
        <v>40237</v>
      </c>
      <c r="G499" s="64" t="str">
        <f>IF(stdProdLT(Main[[#This Row],[Comments]])=0.1,"N/A",IF(stdProdLT(Main[[#This Row],[Comments]])=0,"",stdProdLT(Main[[#This Row],[Comments]])))</f>
        <v/>
      </c>
      <c r="H499" s="68" t="str">
        <f>IF(AND(Main[[#This Row],[In Stock Date]]&lt;&gt;"",Main[[#This Row],[Revised Due Date]]&lt;&gt;""),Main[[#This Row],[In Stock Date]]-Main[[#This Row],[Revised Due Date]],"")</f>
        <v/>
      </c>
      <c r="I499" s="65" t="s">
        <v>4</v>
      </c>
      <c r="J499" s="65" t="s">
        <v>4</v>
      </c>
      <c r="K499" s="65" t="s">
        <v>4</v>
      </c>
      <c r="L499" s="67"/>
      <c r="M499" s="69" t="str">
        <f>IF(Main[[#This Row],[Tech Start Date]]&lt;1/1/1990,"",IF(Main[[#This Row],[Class]]="C",WORKDAY(Main[[#This Row],[Tech Start Date]],9),IF(Main[[#This Row],[Class]]="B", WORKDAY(Main[[#This Row],[Tech Start Date]],6),IF(Main[[#This Row],[Class]]="A",WORKDAY(Main[[#This Row],[Tech Start Date]],2),""))))</f>
        <v/>
      </c>
      <c r="N499" s="69" t="str">
        <f>IF(Main[[#This Row],[Tech Start Date]]&lt;1/1/1990,"",IF(Main[[#This Row],[Class]]="C",WORKDAY(Main[[#This Row],[Tech Start Date]],19),IF(Main[[#This Row],[Class]]="B", WORKDAY(Main[[#This Row],[Tech Start Date]],12),IF(Main[[#This Row],[Class]]="A",WORKDAY(Main[[#This Row],[Tech Start Date]],4),""))))</f>
        <v/>
      </c>
      <c r="O499" s="69" t="str">
        <f>IF(Main[[#This Row],[Tech Start Date]]&lt;1/1/1990,"",IF(Main[[#This Row],[Class]]="C",WORKDAY(Main[[#This Row],[Tech Start Date]],23),IF(Main[[#This Row],[Class]]="B", WORKDAY(Main[[#This Row],[Tech Start Date]],15),IF(Main[[#This Row],[Class]]="A",WORKDAY(Main[[#This Row],[Tech Start Date]],5),""))))</f>
        <v/>
      </c>
      <c r="P499" s="69" t="str">
        <f>IF(Main[[#This Row],[Tech Start Date]]&lt;1/1/1990,"",IF(Main[[#This Row],[Class]]="C",WORKDAY(Main[[#This Row],[Tech Start Date]],28),IF(Main[[#This Row],[Class]]="B", WORKDAY(Main[[#This Row],[Tech Start Date]],19),IF(Main[[#This Row],[Class]]="A",WORKDAY(Main[[#This Row],[Tech Start Date]],9),""))))</f>
        <v/>
      </c>
      <c r="Q499" s="67">
        <v>40132</v>
      </c>
      <c r="R499" s="67"/>
      <c r="S499" s="65" t="s">
        <v>11</v>
      </c>
      <c r="T499" s="70" t="s">
        <v>4</v>
      </c>
      <c r="U499" s="65" t="s">
        <v>14</v>
      </c>
      <c r="V499" s="65" t="s">
        <v>1914</v>
      </c>
      <c r="W499" s="65" t="s">
        <v>1919</v>
      </c>
      <c r="X499" s="65" t="s">
        <v>2858</v>
      </c>
      <c r="Y499" s="65" t="s">
        <v>4</v>
      </c>
      <c r="Z499" s="65" t="s">
        <v>4</v>
      </c>
      <c r="AA499" s="65" t="s">
        <v>2858</v>
      </c>
    </row>
    <row r="500" spans="1:27" ht="17.45" hidden="1" customHeight="1">
      <c r="A500" s="100" t="str">
        <f>IF(priority(Main[[#This Row],[Comments]])&lt;&gt;0, priority(Main[[#This Row],[Comments]]),"")</f>
        <v/>
      </c>
      <c r="B500" s="77" t="s">
        <v>3262</v>
      </c>
      <c r="C500" s="65" t="s">
        <v>3263</v>
      </c>
      <c r="D500" s="66" t="s">
        <v>3361</v>
      </c>
      <c r="E500" s="67"/>
      <c r="F500" s="67">
        <v>41090</v>
      </c>
      <c r="G500" s="64" t="str">
        <f>IF(stdProdLT(Main[[#This Row],[Comments]])=0.1,"N/A",IF(stdProdLT(Main[[#This Row],[Comments]])=0,"",stdProdLT(Main[[#This Row],[Comments]])))</f>
        <v/>
      </c>
      <c r="H500" s="68" t="str">
        <f>IF(AND(Main[[#This Row],[In Stock Date]]&lt;&gt;"",Main[[#This Row],[Revised Due Date]]&lt;&gt;""),Main[[#This Row],[In Stock Date]]-Main[[#This Row],[Revised Due Date]],"")</f>
        <v/>
      </c>
      <c r="I500" s="65" t="s">
        <v>4</v>
      </c>
      <c r="J500" s="65" t="s">
        <v>4</v>
      </c>
      <c r="K500" s="71" t="s">
        <v>4</v>
      </c>
      <c r="L500" s="67"/>
      <c r="M500" s="69" t="str">
        <f>IF(Main[[#This Row],[Tech Start Date]]&lt;1/1/1990,"",IF(Main[[#This Row],[Class]]="C",WORKDAY(Main[[#This Row],[Tech Start Date]],9),IF(Main[[#This Row],[Class]]="B", WORKDAY(Main[[#This Row],[Tech Start Date]],6),IF(Main[[#This Row],[Class]]="A",WORKDAY(Main[[#This Row],[Tech Start Date]],2),""))))</f>
        <v/>
      </c>
      <c r="N500" s="69" t="str">
        <f>IF(Main[[#This Row],[Tech Start Date]]&lt;1/1/1990,"",IF(Main[[#This Row],[Class]]="C",WORKDAY(Main[[#This Row],[Tech Start Date]],19),IF(Main[[#This Row],[Class]]="B", WORKDAY(Main[[#This Row],[Tech Start Date]],12),IF(Main[[#This Row],[Class]]="A",WORKDAY(Main[[#This Row],[Tech Start Date]],4),""))))</f>
        <v/>
      </c>
      <c r="O500" s="69" t="str">
        <f>IF(Main[[#This Row],[Tech Start Date]]&lt;1/1/1990,"",IF(Main[[#This Row],[Class]]="C",WORKDAY(Main[[#This Row],[Tech Start Date]],23),IF(Main[[#This Row],[Class]]="B", WORKDAY(Main[[#This Row],[Tech Start Date]],15),IF(Main[[#This Row],[Class]]="A",WORKDAY(Main[[#This Row],[Tech Start Date]],5),""))))</f>
        <v/>
      </c>
      <c r="P500" s="69" t="str">
        <f>IF(Main[[#This Row],[Tech Start Date]]&lt;1/1/1990,"",IF(Main[[#This Row],[Class]]="C",WORKDAY(Main[[#This Row],[Tech Start Date]],28),IF(Main[[#This Row],[Class]]="B", WORKDAY(Main[[#This Row],[Tech Start Date]],19),IF(Main[[#This Row],[Class]]="A",WORKDAY(Main[[#This Row],[Tech Start Date]],9),""))))</f>
        <v/>
      </c>
      <c r="Q500" s="67"/>
      <c r="R500" s="67"/>
      <c r="S500" s="65" t="s">
        <v>11</v>
      </c>
      <c r="T500" s="70" t="s">
        <v>3264</v>
      </c>
      <c r="U500" s="65" t="s">
        <v>14</v>
      </c>
      <c r="V500" s="65" t="s">
        <v>1915</v>
      </c>
      <c r="W500" s="65" t="s">
        <v>1922</v>
      </c>
      <c r="X500" s="65" t="s">
        <v>2852</v>
      </c>
      <c r="Y500" s="65" t="s">
        <v>2990</v>
      </c>
      <c r="Z500" s="65" t="s">
        <v>4</v>
      </c>
      <c r="AA500" s="65" t="s">
        <v>2852</v>
      </c>
    </row>
    <row r="501" spans="1:27" ht="17.45" hidden="1" customHeight="1">
      <c r="A501" s="100" t="str">
        <f>IF(priority(Main[[#This Row],[Comments]])&lt;&gt;0, priority(Main[[#This Row],[Comments]]),"")</f>
        <v/>
      </c>
      <c r="B501" s="77" t="s">
        <v>1443</v>
      </c>
      <c r="C501" s="65" t="s">
        <v>4</v>
      </c>
      <c r="D501" s="66" t="s">
        <v>533</v>
      </c>
      <c r="E501" s="67">
        <v>40108.684525462966</v>
      </c>
      <c r="F501" s="67"/>
      <c r="G501" s="64" t="str">
        <f>IF(stdProdLT(Main[[#This Row],[Comments]])=0.1,"N/A",IF(stdProdLT(Main[[#This Row],[Comments]])=0,"",stdProdLT(Main[[#This Row],[Comments]])))</f>
        <v/>
      </c>
      <c r="H501" s="68" t="str">
        <f>IF(AND(Main[[#This Row],[In Stock Date]]&lt;&gt;"",Main[[#This Row],[Revised Due Date]]&lt;&gt;""),Main[[#This Row],[In Stock Date]]-Main[[#This Row],[Revised Due Date]],"")</f>
        <v/>
      </c>
      <c r="I501" s="65" t="s">
        <v>4</v>
      </c>
      <c r="J501" s="65" t="s">
        <v>4</v>
      </c>
      <c r="K501" s="71" t="s">
        <v>4</v>
      </c>
      <c r="L501" s="67"/>
      <c r="M501" s="69" t="str">
        <f>IF(Main[[#This Row],[Tech Start Date]]&lt;1/1/1990,"",IF(Main[[#This Row],[Class]]="C",WORKDAY(Main[[#This Row],[Tech Start Date]],9),IF(Main[[#This Row],[Class]]="B", WORKDAY(Main[[#This Row],[Tech Start Date]],6),IF(Main[[#This Row],[Class]]="A",WORKDAY(Main[[#This Row],[Tech Start Date]],2),""))))</f>
        <v/>
      </c>
      <c r="N501" s="69" t="str">
        <f>IF(Main[[#This Row],[Tech Start Date]]&lt;1/1/1990,"",IF(Main[[#This Row],[Class]]="C",WORKDAY(Main[[#This Row],[Tech Start Date]],19),IF(Main[[#This Row],[Class]]="B", WORKDAY(Main[[#This Row],[Tech Start Date]],12),IF(Main[[#This Row],[Class]]="A",WORKDAY(Main[[#This Row],[Tech Start Date]],4),""))))</f>
        <v/>
      </c>
      <c r="O501" s="69" t="str">
        <f>IF(Main[[#This Row],[Tech Start Date]]&lt;1/1/1990,"",IF(Main[[#This Row],[Class]]="C",WORKDAY(Main[[#This Row],[Tech Start Date]],23),IF(Main[[#This Row],[Class]]="B", WORKDAY(Main[[#This Row],[Tech Start Date]],15),IF(Main[[#This Row],[Class]]="A",WORKDAY(Main[[#This Row],[Tech Start Date]],5),""))))</f>
        <v/>
      </c>
      <c r="P501" s="69" t="str">
        <f>IF(Main[[#This Row],[Tech Start Date]]&lt;1/1/1990,"",IF(Main[[#This Row],[Class]]="C",WORKDAY(Main[[#This Row],[Tech Start Date]],28),IF(Main[[#This Row],[Class]]="B", WORKDAY(Main[[#This Row],[Tech Start Date]],19),IF(Main[[#This Row],[Class]]="A",WORKDAY(Main[[#This Row],[Tech Start Date]],9),""))))</f>
        <v/>
      </c>
      <c r="Q501" s="67">
        <v>40208</v>
      </c>
      <c r="R501" s="67"/>
      <c r="S501" s="65" t="s">
        <v>17</v>
      </c>
      <c r="T501" s="70" t="s">
        <v>4</v>
      </c>
      <c r="U501" s="65" t="s">
        <v>534</v>
      </c>
      <c r="V501" s="65" t="s">
        <v>1915</v>
      </c>
      <c r="W501" s="65" t="s">
        <v>4</v>
      </c>
      <c r="X501" s="65" t="s">
        <v>2862</v>
      </c>
      <c r="Y501" s="65" t="s">
        <v>3006</v>
      </c>
      <c r="Z501" s="65" t="s">
        <v>4</v>
      </c>
      <c r="AA501" s="65" t="s">
        <v>2862</v>
      </c>
    </row>
    <row r="502" spans="1:27" ht="17.45" hidden="1" customHeight="1">
      <c r="A502" s="100">
        <f>IF(priority(Main[[#This Row],[Comments]])&lt;&gt;0, priority(Main[[#This Row],[Comments]]),"")</f>
        <v>37</v>
      </c>
      <c r="B502" s="77" t="s">
        <v>1172</v>
      </c>
      <c r="C502" s="65" t="s">
        <v>4</v>
      </c>
      <c r="D502" s="66" t="s">
        <v>227</v>
      </c>
      <c r="E502" s="67">
        <v>40567.332951388889</v>
      </c>
      <c r="F502" s="67">
        <v>40602</v>
      </c>
      <c r="G502" s="64" t="str">
        <f>IF(stdProdLT(Main[[#This Row],[Comments]])=0.1,"N/A",IF(stdProdLT(Main[[#This Row],[Comments]])=0,"",stdProdLT(Main[[#This Row],[Comments]])))</f>
        <v/>
      </c>
      <c r="H502" s="68" t="str">
        <f>IF(AND(Main[[#This Row],[In Stock Date]]&lt;&gt;"",Main[[#This Row],[Revised Due Date]]&lt;&gt;""),Main[[#This Row],[In Stock Date]]-Main[[#This Row],[Revised Due Date]],"")</f>
        <v/>
      </c>
      <c r="I502" s="65" t="s">
        <v>912</v>
      </c>
      <c r="J502" s="65" t="s">
        <v>52</v>
      </c>
      <c r="K502" s="65" t="s">
        <v>1923</v>
      </c>
      <c r="L502" s="67"/>
      <c r="M502" s="69" t="str">
        <f>IF(Main[[#This Row],[Tech Start Date]]&lt;1/1/1990,"",IF(Main[[#This Row],[Class]]="C",WORKDAY(Main[[#This Row],[Tech Start Date]],9),IF(Main[[#This Row],[Class]]="B", WORKDAY(Main[[#This Row],[Tech Start Date]],6),IF(Main[[#This Row],[Class]]="A",WORKDAY(Main[[#This Row],[Tech Start Date]],2),""))))</f>
        <v/>
      </c>
      <c r="N502" s="69" t="str">
        <f>IF(Main[[#This Row],[Tech Start Date]]&lt;1/1/1990,"",IF(Main[[#This Row],[Class]]="C",WORKDAY(Main[[#This Row],[Tech Start Date]],19),IF(Main[[#This Row],[Class]]="B", WORKDAY(Main[[#This Row],[Tech Start Date]],12),IF(Main[[#This Row],[Class]]="A",WORKDAY(Main[[#This Row],[Tech Start Date]],4),""))))</f>
        <v/>
      </c>
      <c r="O502" s="69" t="str">
        <f>IF(Main[[#This Row],[Tech Start Date]]&lt;1/1/1990,"",IF(Main[[#This Row],[Class]]="C",WORKDAY(Main[[#This Row],[Tech Start Date]],23),IF(Main[[#This Row],[Class]]="B", WORKDAY(Main[[#This Row],[Tech Start Date]],15),IF(Main[[#This Row],[Class]]="A",WORKDAY(Main[[#This Row],[Tech Start Date]],5),""))))</f>
        <v/>
      </c>
      <c r="P502" s="69" t="str">
        <f>IF(Main[[#This Row],[Tech Start Date]]&lt;1/1/1990,"",IF(Main[[#This Row],[Class]]="C",WORKDAY(Main[[#This Row],[Tech Start Date]],28),IF(Main[[#This Row],[Class]]="B", WORKDAY(Main[[#This Row],[Tech Start Date]],19),IF(Main[[#This Row],[Class]]="A",WORKDAY(Main[[#This Row],[Tech Start Date]],9),""))))</f>
        <v/>
      </c>
      <c r="Q502" s="67">
        <v>40602</v>
      </c>
      <c r="R502" s="67"/>
      <c r="S502" s="65" t="s">
        <v>6</v>
      </c>
      <c r="T502" s="70" t="s">
        <v>2030</v>
      </c>
      <c r="U502" s="65" t="s">
        <v>29</v>
      </c>
      <c r="V502" s="65" t="s">
        <v>1914</v>
      </c>
      <c r="W502" s="65" t="s">
        <v>1916</v>
      </c>
      <c r="X502" s="65" t="s">
        <v>126</v>
      </c>
      <c r="Y502" s="65" t="s">
        <v>3052</v>
      </c>
      <c r="Z502" s="65" t="s">
        <v>129</v>
      </c>
      <c r="AA502" s="65" t="s">
        <v>126</v>
      </c>
    </row>
    <row r="503" spans="1:27" ht="17.45" hidden="1" customHeight="1">
      <c r="A503" s="100" t="str">
        <f>IF(priority(Main[[#This Row],[Comments]])&lt;&gt;0, priority(Main[[#This Row],[Comments]]),"")</f>
        <v/>
      </c>
      <c r="B503" s="77" t="s">
        <v>1444</v>
      </c>
      <c r="C503" s="65" t="s">
        <v>79</v>
      </c>
      <c r="D503" s="66" t="s">
        <v>535</v>
      </c>
      <c r="E503" s="67"/>
      <c r="F503" s="67"/>
      <c r="G503" s="64" t="str">
        <f>IF(stdProdLT(Main[[#This Row],[Comments]])=0.1,"N/A",IF(stdProdLT(Main[[#This Row],[Comments]])=0,"",stdProdLT(Main[[#This Row],[Comments]])))</f>
        <v/>
      </c>
      <c r="H503" s="68" t="str">
        <f>IF(AND(Main[[#This Row],[In Stock Date]]&lt;&gt;"",Main[[#This Row],[Revised Due Date]]&lt;&gt;""),Main[[#This Row],[In Stock Date]]-Main[[#This Row],[Revised Due Date]],"")</f>
        <v/>
      </c>
      <c r="I503" s="65" t="s">
        <v>4</v>
      </c>
      <c r="J503" s="65" t="s">
        <v>4</v>
      </c>
      <c r="K503" s="65" t="s">
        <v>4</v>
      </c>
      <c r="L503" s="67"/>
      <c r="M503" s="69" t="str">
        <f>IF(Main[[#This Row],[Tech Start Date]]&lt;1/1/1990,"",IF(Main[[#This Row],[Class]]="C",WORKDAY(Main[[#This Row],[Tech Start Date]],9),IF(Main[[#This Row],[Class]]="B", WORKDAY(Main[[#This Row],[Tech Start Date]],6),IF(Main[[#This Row],[Class]]="A",WORKDAY(Main[[#This Row],[Tech Start Date]],2),""))))</f>
        <v/>
      </c>
      <c r="N503" s="69" t="str">
        <f>IF(Main[[#This Row],[Tech Start Date]]&lt;1/1/1990,"",IF(Main[[#This Row],[Class]]="C",WORKDAY(Main[[#This Row],[Tech Start Date]],19),IF(Main[[#This Row],[Class]]="B", WORKDAY(Main[[#This Row],[Tech Start Date]],12),IF(Main[[#This Row],[Class]]="A",WORKDAY(Main[[#This Row],[Tech Start Date]],4),""))))</f>
        <v/>
      </c>
      <c r="O503" s="69" t="str">
        <f>IF(Main[[#This Row],[Tech Start Date]]&lt;1/1/1990,"",IF(Main[[#This Row],[Class]]="C",WORKDAY(Main[[#This Row],[Tech Start Date]],23),IF(Main[[#This Row],[Class]]="B", WORKDAY(Main[[#This Row],[Tech Start Date]],15),IF(Main[[#This Row],[Class]]="A",WORKDAY(Main[[#This Row],[Tech Start Date]],5),""))))</f>
        <v/>
      </c>
      <c r="P503" s="69" t="str">
        <f>IF(Main[[#This Row],[Tech Start Date]]&lt;1/1/1990,"",IF(Main[[#This Row],[Class]]="C",WORKDAY(Main[[#This Row],[Tech Start Date]],28),IF(Main[[#This Row],[Class]]="B", WORKDAY(Main[[#This Row],[Tech Start Date]],19),IF(Main[[#This Row],[Class]]="A",WORKDAY(Main[[#This Row],[Tech Start Date]],9),""))))</f>
        <v/>
      </c>
      <c r="Q503" s="67">
        <v>40044</v>
      </c>
      <c r="R503" s="67"/>
      <c r="S503" s="65" t="s">
        <v>11</v>
      </c>
      <c r="T503" s="70" t="s">
        <v>4</v>
      </c>
      <c r="U503" s="65" t="s">
        <v>12</v>
      </c>
      <c r="V503" s="65" t="s">
        <v>1924</v>
      </c>
      <c r="W503" s="65" t="s">
        <v>1925</v>
      </c>
      <c r="X503" s="65" t="s">
        <v>2820</v>
      </c>
      <c r="Y503" s="65" t="s">
        <v>2956</v>
      </c>
      <c r="Z503" s="65" t="s">
        <v>81</v>
      </c>
      <c r="AA503" s="65" t="s">
        <v>2861</v>
      </c>
    </row>
    <row r="504" spans="1:27" ht="17.45" hidden="1" customHeight="1">
      <c r="A504" s="100" t="str">
        <f>IF(priority(Main[[#This Row],[Comments]])&lt;&gt;0, priority(Main[[#This Row],[Comments]]),"")</f>
        <v/>
      </c>
      <c r="B504" s="77" t="s">
        <v>1445</v>
      </c>
      <c r="C504" s="65" t="s">
        <v>4</v>
      </c>
      <c r="D504" s="66" t="s">
        <v>536</v>
      </c>
      <c r="E504" s="67"/>
      <c r="F504" s="67"/>
      <c r="G504" s="64" t="str">
        <f>IF(stdProdLT(Main[[#This Row],[Comments]])=0.1,"N/A",IF(stdProdLT(Main[[#This Row],[Comments]])=0,"",stdProdLT(Main[[#This Row],[Comments]])))</f>
        <v/>
      </c>
      <c r="H504" s="68" t="str">
        <f>IF(AND(Main[[#This Row],[In Stock Date]]&lt;&gt;"",Main[[#This Row],[Revised Due Date]]&lt;&gt;""),Main[[#This Row],[In Stock Date]]-Main[[#This Row],[Revised Due Date]],"")</f>
        <v/>
      </c>
      <c r="I504" s="65" t="s">
        <v>4</v>
      </c>
      <c r="J504" s="65" t="s">
        <v>4</v>
      </c>
      <c r="K504" s="65" t="s">
        <v>4</v>
      </c>
      <c r="L504" s="67"/>
      <c r="M504" s="69" t="str">
        <f>IF(Main[[#This Row],[Tech Start Date]]&lt;1/1/1990,"",IF(Main[[#This Row],[Class]]="C",WORKDAY(Main[[#This Row],[Tech Start Date]],9),IF(Main[[#This Row],[Class]]="B", WORKDAY(Main[[#This Row],[Tech Start Date]],6),IF(Main[[#This Row],[Class]]="A",WORKDAY(Main[[#This Row],[Tech Start Date]],2),""))))</f>
        <v/>
      </c>
      <c r="N504" s="69" t="str">
        <f>IF(Main[[#This Row],[Tech Start Date]]&lt;1/1/1990,"",IF(Main[[#This Row],[Class]]="C",WORKDAY(Main[[#This Row],[Tech Start Date]],19),IF(Main[[#This Row],[Class]]="B", WORKDAY(Main[[#This Row],[Tech Start Date]],12),IF(Main[[#This Row],[Class]]="A",WORKDAY(Main[[#This Row],[Tech Start Date]],4),""))))</f>
        <v/>
      </c>
      <c r="O504" s="69" t="str">
        <f>IF(Main[[#This Row],[Tech Start Date]]&lt;1/1/1990,"",IF(Main[[#This Row],[Class]]="C",WORKDAY(Main[[#This Row],[Tech Start Date]],23),IF(Main[[#This Row],[Class]]="B", WORKDAY(Main[[#This Row],[Tech Start Date]],15),IF(Main[[#This Row],[Class]]="A",WORKDAY(Main[[#This Row],[Tech Start Date]],5),""))))</f>
        <v/>
      </c>
      <c r="P504" s="69" t="str">
        <f>IF(Main[[#This Row],[Tech Start Date]]&lt;1/1/1990,"",IF(Main[[#This Row],[Class]]="C",WORKDAY(Main[[#This Row],[Tech Start Date]],28),IF(Main[[#This Row],[Class]]="B", WORKDAY(Main[[#This Row],[Tech Start Date]],19),IF(Main[[#This Row],[Class]]="A",WORKDAY(Main[[#This Row],[Tech Start Date]],9),""))))</f>
        <v/>
      </c>
      <c r="Q504" s="67"/>
      <c r="R504" s="67"/>
      <c r="S504" s="65" t="s">
        <v>6</v>
      </c>
      <c r="T504" s="70" t="s">
        <v>4</v>
      </c>
      <c r="U504" s="65" t="s">
        <v>14</v>
      </c>
      <c r="V504" s="65" t="s">
        <v>1917</v>
      </c>
      <c r="W504" s="65" t="s">
        <v>4</v>
      </c>
      <c r="X504" s="65" t="s">
        <v>2887</v>
      </c>
      <c r="Y504" s="65" t="s">
        <v>3043</v>
      </c>
      <c r="Z504" s="65" t="s">
        <v>4</v>
      </c>
      <c r="AA504" s="65" t="s">
        <v>2887</v>
      </c>
    </row>
    <row r="505" spans="1:27" ht="17.45" customHeight="1">
      <c r="A505" s="100">
        <f>IF(priority(Main[[#This Row],[Comments]])&lt;&gt;0, priority(Main[[#This Row],[Comments]]),"")</f>
        <v>7</v>
      </c>
      <c r="B505" s="77" t="s">
        <v>3172</v>
      </c>
      <c r="C505" s="65" t="s">
        <v>3174</v>
      </c>
      <c r="D505" s="66" t="s">
        <v>3822</v>
      </c>
      <c r="E505" s="67">
        <v>40919.073576388888</v>
      </c>
      <c r="F505" s="67">
        <v>41153</v>
      </c>
      <c r="G505" s="64">
        <f>IF(stdProdLT(Main[[#This Row],[Comments]])=0.1,"N/A",IF(stdProdLT(Main[[#This Row],[Comments]])=0,"",stdProdLT(Main[[#This Row],[Comments]])))</f>
        <v>126</v>
      </c>
      <c r="H505" s="68">
        <f>IF(AND(Main[[#This Row],[In Stock Date]]&lt;&gt;"",Main[[#This Row],[Revised Due Date]]&lt;&gt;""),Main[[#This Row],[In Stock Date]]-Main[[#This Row],[Revised Due Date]],"")</f>
        <v>180</v>
      </c>
      <c r="I505" s="65" t="s">
        <v>912</v>
      </c>
      <c r="J505" s="65" t="s">
        <v>52</v>
      </c>
      <c r="K505" s="65" t="s">
        <v>1921</v>
      </c>
      <c r="L505" s="67">
        <v>40920</v>
      </c>
      <c r="M505" s="69">
        <f>IF(Main[[#This Row],[Tech Start Date]]&lt;1/1/1990,"",IF(Main[[#This Row],[Class]]="C",WORKDAY(Main[[#This Row],[Tech Start Date]],9),IF(Main[[#This Row],[Class]]="B", WORKDAY(Main[[#This Row],[Tech Start Date]],6),IF(Main[[#This Row],[Class]]="A",WORKDAY(Main[[#This Row],[Tech Start Date]],2),""))))</f>
        <v>40928</v>
      </c>
      <c r="N505" s="69">
        <f>IF(Main[[#This Row],[Tech Start Date]]&lt;1/1/1990,"",IF(Main[[#This Row],[Class]]="C",WORKDAY(Main[[#This Row],[Tech Start Date]],19),IF(Main[[#This Row],[Class]]="B", WORKDAY(Main[[#This Row],[Tech Start Date]],12),IF(Main[[#This Row],[Class]]="A",WORKDAY(Main[[#This Row],[Tech Start Date]],4),""))))</f>
        <v>40938</v>
      </c>
      <c r="O505" s="69">
        <f>IF(Main[[#This Row],[Tech Start Date]]&lt;1/1/1990,"",IF(Main[[#This Row],[Class]]="C",WORKDAY(Main[[#This Row],[Tech Start Date]],23),IF(Main[[#This Row],[Class]]="B", WORKDAY(Main[[#This Row],[Tech Start Date]],15),IF(Main[[#This Row],[Class]]="A",WORKDAY(Main[[#This Row],[Tech Start Date]],5),""))))</f>
        <v>40941</v>
      </c>
      <c r="P505" s="69">
        <f>IF(Main[[#This Row],[Tech Start Date]]&lt;1/1/1990,"",IF(Main[[#This Row],[Class]]="C",WORKDAY(Main[[#This Row],[Tech Start Date]],28),IF(Main[[#This Row],[Class]]="B", WORKDAY(Main[[#This Row],[Tech Start Date]],19),IF(Main[[#This Row],[Class]]="A",WORKDAY(Main[[#This Row],[Tech Start Date]],9),""))))</f>
        <v>40947</v>
      </c>
      <c r="Q505" s="67">
        <v>40926</v>
      </c>
      <c r="R505" s="67">
        <v>40973</v>
      </c>
      <c r="S505" s="65" t="s">
        <v>11</v>
      </c>
      <c r="T505" s="70" t="s">
        <v>3823</v>
      </c>
      <c r="U505" s="65" t="s">
        <v>29</v>
      </c>
      <c r="V505" s="65" t="s">
        <v>1914</v>
      </c>
      <c r="W505" s="65" t="s">
        <v>1925</v>
      </c>
      <c r="X505" s="65" t="s">
        <v>2846</v>
      </c>
      <c r="Y505" s="65" t="s">
        <v>4</v>
      </c>
      <c r="Z505" s="65" t="s">
        <v>129</v>
      </c>
      <c r="AA505" s="65" t="s">
        <v>2846</v>
      </c>
    </row>
    <row r="506" spans="1:27" ht="17.45" hidden="1" customHeight="1">
      <c r="A506" s="100" t="str">
        <f>IF(priority(Main[[#This Row],[Comments]])&lt;&gt;0, priority(Main[[#This Row],[Comments]]),"")</f>
        <v/>
      </c>
      <c r="B506" s="77" t="s">
        <v>1448</v>
      </c>
      <c r="C506" s="65" t="s">
        <v>4</v>
      </c>
      <c r="D506" s="66" t="s">
        <v>538</v>
      </c>
      <c r="E506" s="67"/>
      <c r="F506" s="67">
        <v>40390</v>
      </c>
      <c r="G506" s="64" t="str">
        <f>IF(stdProdLT(Main[[#This Row],[Comments]])=0.1,"N/A",IF(stdProdLT(Main[[#This Row],[Comments]])=0,"",stdProdLT(Main[[#This Row],[Comments]])))</f>
        <v/>
      </c>
      <c r="H506" s="68" t="str">
        <f>IF(AND(Main[[#This Row],[In Stock Date]]&lt;&gt;"",Main[[#This Row],[Revised Due Date]]&lt;&gt;""),Main[[#This Row],[In Stock Date]]-Main[[#This Row],[Revised Due Date]],"")</f>
        <v/>
      </c>
      <c r="I506" s="65" t="s">
        <v>4</v>
      </c>
      <c r="J506" s="65" t="s">
        <v>4</v>
      </c>
      <c r="K506" s="65" t="s">
        <v>4</v>
      </c>
      <c r="L506" s="67"/>
      <c r="M506" s="69" t="str">
        <f>IF(Main[[#This Row],[Tech Start Date]]&lt;1/1/1990,"",IF(Main[[#This Row],[Class]]="C",WORKDAY(Main[[#This Row],[Tech Start Date]],9),IF(Main[[#This Row],[Class]]="B", WORKDAY(Main[[#This Row],[Tech Start Date]],6),IF(Main[[#This Row],[Class]]="A",WORKDAY(Main[[#This Row],[Tech Start Date]],2),""))))</f>
        <v/>
      </c>
      <c r="N506" s="69" t="str">
        <f>IF(Main[[#This Row],[Tech Start Date]]&lt;1/1/1990,"",IF(Main[[#This Row],[Class]]="C",WORKDAY(Main[[#This Row],[Tech Start Date]],19),IF(Main[[#This Row],[Class]]="B", WORKDAY(Main[[#This Row],[Tech Start Date]],12),IF(Main[[#This Row],[Class]]="A",WORKDAY(Main[[#This Row],[Tech Start Date]],4),""))))</f>
        <v/>
      </c>
      <c r="O506" s="69" t="str">
        <f>IF(Main[[#This Row],[Tech Start Date]]&lt;1/1/1990,"",IF(Main[[#This Row],[Class]]="C",WORKDAY(Main[[#This Row],[Tech Start Date]],23),IF(Main[[#This Row],[Class]]="B", WORKDAY(Main[[#This Row],[Tech Start Date]],15),IF(Main[[#This Row],[Class]]="A",WORKDAY(Main[[#This Row],[Tech Start Date]],5),""))))</f>
        <v/>
      </c>
      <c r="P506" s="69" t="str">
        <f>IF(Main[[#This Row],[Tech Start Date]]&lt;1/1/1990,"",IF(Main[[#This Row],[Class]]="C",WORKDAY(Main[[#This Row],[Tech Start Date]],28),IF(Main[[#This Row],[Class]]="B", WORKDAY(Main[[#This Row],[Tech Start Date]],19),IF(Main[[#This Row],[Class]]="A",WORKDAY(Main[[#This Row],[Tech Start Date]],9),""))))</f>
        <v/>
      </c>
      <c r="Q506" s="67">
        <v>40329</v>
      </c>
      <c r="R506" s="67"/>
      <c r="S506" s="65" t="s">
        <v>11</v>
      </c>
      <c r="T506" s="70" t="s">
        <v>4</v>
      </c>
      <c r="U506" s="65" t="s">
        <v>12</v>
      </c>
      <c r="V506" s="65" t="s">
        <v>1924</v>
      </c>
      <c r="W506" s="65" t="s">
        <v>1920</v>
      </c>
      <c r="X506" s="65" t="s">
        <v>2872</v>
      </c>
      <c r="Y506" s="65" t="s">
        <v>2996</v>
      </c>
      <c r="Z506" s="65" t="s">
        <v>4</v>
      </c>
      <c r="AA506" s="65" t="s">
        <v>2872</v>
      </c>
    </row>
    <row r="507" spans="1:27" ht="17.45" hidden="1" customHeight="1">
      <c r="A507" s="100" t="str">
        <f>IF(priority(Main[[#This Row],[Comments]])&lt;&gt;0, priority(Main[[#This Row],[Comments]]),"")</f>
        <v/>
      </c>
      <c r="B507" s="77" t="s">
        <v>2717</v>
      </c>
      <c r="C507" s="65" t="s">
        <v>4</v>
      </c>
      <c r="D507" s="66" t="s">
        <v>2718</v>
      </c>
      <c r="E507" s="67">
        <v>40884.602025462962</v>
      </c>
      <c r="F507" s="67"/>
      <c r="G507" s="64" t="str">
        <f>IF(stdProdLT(Main[[#This Row],[Comments]])=0.1,"N/A",IF(stdProdLT(Main[[#This Row],[Comments]])=0,"",stdProdLT(Main[[#This Row],[Comments]])))</f>
        <v/>
      </c>
      <c r="H507" s="68" t="str">
        <f>IF(AND(Main[[#This Row],[In Stock Date]]&lt;&gt;"",Main[[#This Row],[Revised Due Date]]&lt;&gt;""),Main[[#This Row],[In Stock Date]]-Main[[#This Row],[Revised Due Date]],"")</f>
        <v/>
      </c>
      <c r="I507" s="65" t="s">
        <v>4</v>
      </c>
      <c r="J507" s="65" t="s">
        <v>4</v>
      </c>
      <c r="K507" s="71" t="s">
        <v>4</v>
      </c>
      <c r="L507" s="67"/>
      <c r="M507" s="69" t="str">
        <f>IF(Main[[#This Row],[Tech Start Date]]&lt;1/1/1990,"",IF(Main[[#This Row],[Class]]="C",WORKDAY(Main[[#This Row],[Tech Start Date]],9),IF(Main[[#This Row],[Class]]="B", WORKDAY(Main[[#This Row],[Tech Start Date]],6),IF(Main[[#This Row],[Class]]="A",WORKDAY(Main[[#This Row],[Tech Start Date]],2),""))))</f>
        <v/>
      </c>
      <c r="N507" s="69" t="str">
        <f>IF(Main[[#This Row],[Tech Start Date]]&lt;1/1/1990,"",IF(Main[[#This Row],[Class]]="C",WORKDAY(Main[[#This Row],[Tech Start Date]],19),IF(Main[[#This Row],[Class]]="B", WORKDAY(Main[[#This Row],[Tech Start Date]],12),IF(Main[[#This Row],[Class]]="A",WORKDAY(Main[[#This Row],[Tech Start Date]],4),""))))</f>
        <v/>
      </c>
      <c r="O507" s="69" t="str">
        <f>IF(Main[[#This Row],[Tech Start Date]]&lt;1/1/1990,"",IF(Main[[#This Row],[Class]]="C",WORKDAY(Main[[#This Row],[Tech Start Date]],23),IF(Main[[#This Row],[Class]]="B", WORKDAY(Main[[#This Row],[Tech Start Date]],15),IF(Main[[#This Row],[Class]]="A",WORKDAY(Main[[#This Row],[Tech Start Date]],5),""))))</f>
        <v/>
      </c>
      <c r="P507" s="69" t="str">
        <f>IF(Main[[#This Row],[Tech Start Date]]&lt;1/1/1990,"",IF(Main[[#This Row],[Class]]="C",WORKDAY(Main[[#This Row],[Tech Start Date]],28),IF(Main[[#This Row],[Class]]="B", WORKDAY(Main[[#This Row],[Tech Start Date]],19),IF(Main[[#This Row],[Class]]="A",WORKDAY(Main[[#This Row],[Tech Start Date]],9),""))))</f>
        <v/>
      </c>
      <c r="Q507" s="67"/>
      <c r="R507" s="67"/>
      <c r="S507" s="65" t="s">
        <v>17</v>
      </c>
      <c r="T507" s="70" t="s">
        <v>4</v>
      </c>
      <c r="U507" s="65" t="s">
        <v>7</v>
      </c>
      <c r="V507" s="65" t="s">
        <v>1929</v>
      </c>
      <c r="W507" s="65" t="s">
        <v>1919</v>
      </c>
      <c r="X507" s="65" t="s">
        <v>922</v>
      </c>
      <c r="Y507" s="65" t="s">
        <v>3017</v>
      </c>
      <c r="Z507" s="65" t="s">
        <v>4</v>
      </c>
      <c r="AA507" s="65" t="s">
        <v>907</v>
      </c>
    </row>
    <row r="508" spans="1:27" ht="17.45" hidden="1" customHeight="1">
      <c r="A508" s="100" t="str">
        <f>IF(priority(Main[[#This Row],[Comments]])&lt;&gt;0, priority(Main[[#This Row],[Comments]]),"")</f>
        <v/>
      </c>
      <c r="B508" s="77" t="s">
        <v>1449</v>
      </c>
      <c r="C508" s="65" t="s">
        <v>4</v>
      </c>
      <c r="D508" s="66" t="s">
        <v>539</v>
      </c>
      <c r="E508" s="67"/>
      <c r="F508" s="67"/>
      <c r="G508" s="64" t="str">
        <f>IF(stdProdLT(Main[[#This Row],[Comments]])=0.1,"N/A",IF(stdProdLT(Main[[#This Row],[Comments]])=0,"",stdProdLT(Main[[#This Row],[Comments]])))</f>
        <v/>
      </c>
      <c r="H508" s="68" t="str">
        <f>IF(AND(Main[[#This Row],[In Stock Date]]&lt;&gt;"",Main[[#This Row],[Revised Due Date]]&lt;&gt;""),Main[[#This Row],[In Stock Date]]-Main[[#This Row],[Revised Due Date]],"")</f>
        <v/>
      </c>
      <c r="I508" s="65" t="s">
        <v>4</v>
      </c>
      <c r="J508" s="65" t="s">
        <v>4</v>
      </c>
      <c r="K508" s="65" t="s">
        <v>4</v>
      </c>
      <c r="L508" s="67"/>
      <c r="M508" s="69" t="str">
        <f>IF(Main[[#This Row],[Tech Start Date]]&lt;1/1/1990,"",IF(Main[[#This Row],[Class]]="C",WORKDAY(Main[[#This Row],[Tech Start Date]],9),IF(Main[[#This Row],[Class]]="B", WORKDAY(Main[[#This Row],[Tech Start Date]],6),IF(Main[[#This Row],[Class]]="A",WORKDAY(Main[[#This Row],[Tech Start Date]],2),""))))</f>
        <v/>
      </c>
      <c r="N508" s="69" t="str">
        <f>IF(Main[[#This Row],[Tech Start Date]]&lt;1/1/1990,"",IF(Main[[#This Row],[Class]]="C",WORKDAY(Main[[#This Row],[Tech Start Date]],19),IF(Main[[#This Row],[Class]]="B", WORKDAY(Main[[#This Row],[Tech Start Date]],12),IF(Main[[#This Row],[Class]]="A",WORKDAY(Main[[#This Row],[Tech Start Date]],4),""))))</f>
        <v/>
      </c>
      <c r="O508" s="69" t="str">
        <f>IF(Main[[#This Row],[Tech Start Date]]&lt;1/1/1990,"",IF(Main[[#This Row],[Class]]="C",WORKDAY(Main[[#This Row],[Tech Start Date]],23),IF(Main[[#This Row],[Class]]="B", WORKDAY(Main[[#This Row],[Tech Start Date]],15),IF(Main[[#This Row],[Class]]="A",WORKDAY(Main[[#This Row],[Tech Start Date]],5),""))))</f>
        <v/>
      </c>
      <c r="P508" s="69" t="str">
        <f>IF(Main[[#This Row],[Tech Start Date]]&lt;1/1/1990,"",IF(Main[[#This Row],[Class]]="C",WORKDAY(Main[[#This Row],[Tech Start Date]],28),IF(Main[[#This Row],[Class]]="B", WORKDAY(Main[[#This Row],[Tech Start Date]],19),IF(Main[[#This Row],[Class]]="A",WORKDAY(Main[[#This Row],[Tech Start Date]],9),""))))</f>
        <v/>
      </c>
      <c r="Q508" s="67"/>
      <c r="R508" s="67"/>
      <c r="S508" s="65" t="s">
        <v>11</v>
      </c>
      <c r="T508" s="70" t="s">
        <v>4</v>
      </c>
      <c r="U508" s="65" t="s">
        <v>12</v>
      </c>
      <c r="V508" s="65" t="s">
        <v>1914</v>
      </c>
      <c r="W508" s="65" t="s">
        <v>1922</v>
      </c>
      <c r="X508" s="65" t="s">
        <v>907</v>
      </c>
      <c r="Y508" s="65" t="s">
        <v>4</v>
      </c>
      <c r="Z508" s="65" t="s">
        <v>4</v>
      </c>
      <c r="AA508" s="65" t="s">
        <v>4</v>
      </c>
    </row>
    <row r="509" spans="1:27" ht="17.45" hidden="1" customHeight="1">
      <c r="A509" s="100" t="str">
        <f>IF(priority(Main[[#This Row],[Comments]])&lt;&gt;0, priority(Main[[#This Row],[Comments]]),"")</f>
        <v/>
      </c>
      <c r="B509" s="77" t="s">
        <v>1450</v>
      </c>
      <c r="C509" s="65" t="s">
        <v>284</v>
      </c>
      <c r="D509" s="66" t="s">
        <v>540</v>
      </c>
      <c r="E509" s="67"/>
      <c r="F509" s="67"/>
      <c r="G509" s="64" t="str">
        <f>IF(stdProdLT(Main[[#This Row],[Comments]])=0.1,"N/A",IF(stdProdLT(Main[[#This Row],[Comments]])=0,"",stdProdLT(Main[[#This Row],[Comments]])))</f>
        <v/>
      </c>
      <c r="H509" s="68" t="str">
        <f>IF(AND(Main[[#This Row],[In Stock Date]]&lt;&gt;"",Main[[#This Row],[Revised Due Date]]&lt;&gt;""),Main[[#This Row],[In Stock Date]]-Main[[#This Row],[Revised Due Date]],"")</f>
        <v/>
      </c>
      <c r="I509" s="65" t="s">
        <v>4</v>
      </c>
      <c r="J509" s="65" t="s">
        <v>4</v>
      </c>
      <c r="K509" s="65" t="s">
        <v>4</v>
      </c>
      <c r="L509" s="67"/>
      <c r="M509" s="69" t="str">
        <f>IF(Main[[#This Row],[Tech Start Date]]&lt;1/1/1990,"",IF(Main[[#This Row],[Class]]="C",WORKDAY(Main[[#This Row],[Tech Start Date]],9),IF(Main[[#This Row],[Class]]="B", WORKDAY(Main[[#This Row],[Tech Start Date]],6),IF(Main[[#This Row],[Class]]="A",WORKDAY(Main[[#This Row],[Tech Start Date]],2),""))))</f>
        <v/>
      </c>
      <c r="N509" s="69" t="str">
        <f>IF(Main[[#This Row],[Tech Start Date]]&lt;1/1/1990,"",IF(Main[[#This Row],[Class]]="C",WORKDAY(Main[[#This Row],[Tech Start Date]],19),IF(Main[[#This Row],[Class]]="B", WORKDAY(Main[[#This Row],[Tech Start Date]],12),IF(Main[[#This Row],[Class]]="A",WORKDAY(Main[[#This Row],[Tech Start Date]],4),""))))</f>
        <v/>
      </c>
      <c r="O509" s="69" t="str">
        <f>IF(Main[[#This Row],[Tech Start Date]]&lt;1/1/1990,"",IF(Main[[#This Row],[Class]]="C",WORKDAY(Main[[#This Row],[Tech Start Date]],23),IF(Main[[#This Row],[Class]]="B", WORKDAY(Main[[#This Row],[Tech Start Date]],15),IF(Main[[#This Row],[Class]]="A",WORKDAY(Main[[#This Row],[Tech Start Date]],5),""))))</f>
        <v/>
      </c>
      <c r="P509" s="69" t="str">
        <f>IF(Main[[#This Row],[Tech Start Date]]&lt;1/1/1990,"",IF(Main[[#This Row],[Class]]="C",WORKDAY(Main[[#This Row],[Tech Start Date]],28),IF(Main[[#This Row],[Class]]="B", WORKDAY(Main[[#This Row],[Tech Start Date]],19),IF(Main[[#This Row],[Class]]="A",WORKDAY(Main[[#This Row],[Tech Start Date]],9),""))))</f>
        <v/>
      </c>
      <c r="Q509" s="67">
        <v>40147</v>
      </c>
      <c r="R509" s="67"/>
      <c r="S509" s="65" t="s">
        <v>11</v>
      </c>
      <c r="T509" s="70" t="s">
        <v>4</v>
      </c>
      <c r="U509" s="65" t="s">
        <v>14</v>
      </c>
      <c r="V509" s="65" t="s">
        <v>1924</v>
      </c>
      <c r="W509" s="65" t="s">
        <v>1922</v>
      </c>
      <c r="X509" s="65" t="s">
        <v>2817</v>
      </c>
      <c r="Y509" s="65" t="s">
        <v>4</v>
      </c>
      <c r="Z509" s="65" t="s">
        <v>4</v>
      </c>
      <c r="AA509" s="65" t="s">
        <v>2817</v>
      </c>
    </row>
    <row r="510" spans="1:27" ht="17.45" hidden="1" customHeight="1">
      <c r="A510" s="100" t="str">
        <f>IF(priority(Main[[#This Row],[Comments]])&lt;&gt;0, priority(Main[[#This Row],[Comments]]),"")</f>
        <v/>
      </c>
      <c r="B510" s="77" t="s">
        <v>1451</v>
      </c>
      <c r="C510" s="65" t="s">
        <v>31</v>
      </c>
      <c r="D510" s="66" t="s">
        <v>541</v>
      </c>
      <c r="E510" s="67"/>
      <c r="F510" s="67">
        <v>40512</v>
      </c>
      <c r="G510" s="64" t="str">
        <f>IF(stdProdLT(Main[[#This Row],[Comments]])=0.1,"N/A",IF(stdProdLT(Main[[#This Row],[Comments]])=0,"",stdProdLT(Main[[#This Row],[Comments]])))</f>
        <v/>
      </c>
      <c r="H510" s="68" t="str">
        <f>IF(AND(Main[[#This Row],[In Stock Date]]&lt;&gt;"",Main[[#This Row],[Revised Due Date]]&lt;&gt;""),Main[[#This Row],[In Stock Date]]-Main[[#This Row],[Revised Due Date]],"")</f>
        <v/>
      </c>
      <c r="I510" s="65" t="s">
        <v>4</v>
      </c>
      <c r="J510" s="65" t="s">
        <v>4</v>
      </c>
      <c r="K510" s="65" t="s">
        <v>4</v>
      </c>
      <c r="L510" s="67"/>
      <c r="M510" s="69" t="str">
        <f>IF(Main[[#This Row],[Tech Start Date]]&lt;1/1/1990,"",IF(Main[[#This Row],[Class]]="C",WORKDAY(Main[[#This Row],[Tech Start Date]],9),IF(Main[[#This Row],[Class]]="B", WORKDAY(Main[[#This Row],[Tech Start Date]],6),IF(Main[[#This Row],[Class]]="A",WORKDAY(Main[[#This Row],[Tech Start Date]],2),""))))</f>
        <v/>
      </c>
      <c r="N510" s="69" t="str">
        <f>IF(Main[[#This Row],[Tech Start Date]]&lt;1/1/1990,"",IF(Main[[#This Row],[Class]]="C",WORKDAY(Main[[#This Row],[Tech Start Date]],19),IF(Main[[#This Row],[Class]]="B", WORKDAY(Main[[#This Row],[Tech Start Date]],12),IF(Main[[#This Row],[Class]]="A",WORKDAY(Main[[#This Row],[Tech Start Date]],4),""))))</f>
        <v/>
      </c>
      <c r="O510" s="69" t="str">
        <f>IF(Main[[#This Row],[Tech Start Date]]&lt;1/1/1990,"",IF(Main[[#This Row],[Class]]="C",WORKDAY(Main[[#This Row],[Tech Start Date]],23),IF(Main[[#This Row],[Class]]="B", WORKDAY(Main[[#This Row],[Tech Start Date]],15),IF(Main[[#This Row],[Class]]="A",WORKDAY(Main[[#This Row],[Tech Start Date]],5),""))))</f>
        <v/>
      </c>
      <c r="P510" s="69" t="str">
        <f>IF(Main[[#This Row],[Tech Start Date]]&lt;1/1/1990,"",IF(Main[[#This Row],[Class]]="C",WORKDAY(Main[[#This Row],[Tech Start Date]],28),IF(Main[[#This Row],[Class]]="B", WORKDAY(Main[[#This Row],[Tech Start Date]],19),IF(Main[[#This Row],[Class]]="A",WORKDAY(Main[[#This Row],[Tech Start Date]],9),""))))</f>
        <v/>
      </c>
      <c r="Q510" s="67">
        <v>40415</v>
      </c>
      <c r="R510" s="67"/>
      <c r="S510" s="65" t="s">
        <v>11</v>
      </c>
      <c r="T510" s="70" t="s">
        <v>4</v>
      </c>
      <c r="U510" s="65" t="s">
        <v>14</v>
      </c>
      <c r="V510" s="65" t="s">
        <v>1917</v>
      </c>
      <c r="W510" s="65" t="s">
        <v>1920</v>
      </c>
      <c r="X510" s="65" t="s">
        <v>2830</v>
      </c>
      <c r="Y510" s="65" t="s">
        <v>2953</v>
      </c>
      <c r="Z510" s="65" t="s">
        <v>4</v>
      </c>
      <c r="AA510" s="65" t="s">
        <v>2830</v>
      </c>
    </row>
    <row r="511" spans="1:27" ht="17.45" hidden="1" customHeight="1">
      <c r="A511" s="100" t="str">
        <f>IF(priority(Main[[#This Row],[Comments]])&lt;&gt;0, priority(Main[[#This Row],[Comments]]),"")</f>
        <v/>
      </c>
      <c r="B511" s="77" t="s">
        <v>1452</v>
      </c>
      <c r="C511" s="65" t="s">
        <v>542</v>
      </c>
      <c r="D511" s="66" t="s">
        <v>543</v>
      </c>
      <c r="E511" s="67"/>
      <c r="F511" s="67">
        <v>40179</v>
      </c>
      <c r="G511" s="64" t="str">
        <f>IF(stdProdLT(Main[[#This Row],[Comments]])=0.1,"N/A",IF(stdProdLT(Main[[#This Row],[Comments]])=0,"",stdProdLT(Main[[#This Row],[Comments]])))</f>
        <v/>
      </c>
      <c r="H511" s="68" t="str">
        <f>IF(AND(Main[[#This Row],[In Stock Date]]&lt;&gt;"",Main[[#This Row],[Revised Due Date]]&lt;&gt;""),Main[[#This Row],[In Stock Date]]-Main[[#This Row],[Revised Due Date]],"")</f>
        <v/>
      </c>
      <c r="I511" s="65" t="s">
        <v>4</v>
      </c>
      <c r="J511" s="65" t="s">
        <v>4</v>
      </c>
      <c r="K511" s="65" t="s">
        <v>4</v>
      </c>
      <c r="L511" s="67"/>
      <c r="M511" s="69" t="str">
        <f>IF(Main[[#This Row],[Tech Start Date]]&lt;1/1/1990,"",IF(Main[[#This Row],[Class]]="C",WORKDAY(Main[[#This Row],[Tech Start Date]],9),IF(Main[[#This Row],[Class]]="B", WORKDAY(Main[[#This Row],[Tech Start Date]],6),IF(Main[[#This Row],[Class]]="A",WORKDAY(Main[[#This Row],[Tech Start Date]],2),""))))</f>
        <v/>
      </c>
      <c r="N511" s="69" t="str">
        <f>IF(Main[[#This Row],[Tech Start Date]]&lt;1/1/1990,"",IF(Main[[#This Row],[Class]]="C",WORKDAY(Main[[#This Row],[Tech Start Date]],19),IF(Main[[#This Row],[Class]]="B", WORKDAY(Main[[#This Row],[Tech Start Date]],12),IF(Main[[#This Row],[Class]]="A",WORKDAY(Main[[#This Row],[Tech Start Date]],4),""))))</f>
        <v/>
      </c>
      <c r="O511" s="69" t="str">
        <f>IF(Main[[#This Row],[Tech Start Date]]&lt;1/1/1990,"",IF(Main[[#This Row],[Class]]="C",WORKDAY(Main[[#This Row],[Tech Start Date]],23),IF(Main[[#This Row],[Class]]="B", WORKDAY(Main[[#This Row],[Tech Start Date]],15),IF(Main[[#This Row],[Class]]="A",WORKDAY(Main[[#This Row],[Tech Start Date]],5),""))))</f>
        <v/>
      </c>
      <c r="P511" s="69" t="str">
        <f>IF(Main[[#This Row],[Tech Start Date]]&lt;1/1/1990,"",IF(Main[[#This Row],[Class]]="C",WORKDAY(Main[[#This Row],[Tech Start Date]],28),IF(Main[[#This Row],[Class]]="B", WORKDAY(Main[[#This Row],[Tech Start Date]],19),IF(Main[[#This Row],[Class]]="A",WORKDAY(Main[[#This Row],[Tech Start Date]],9),""))))</f>
        <v/>
      </c>
      <c r="Q511" s="67">
        <v>40179</v>
      </c>
      <c r="R511" s="67"/>
      <c r="S511" s="65" t="s">
        <v>11</v>
      </c>
      <c r="T511" s="70" t="s">
        <v>4</v>
      </c>
      <c r="U511" s="65" t="s">
        <v>14</v>
      </c>
      <c r="V511" s="65" t="s">
        <v>1914</v>
      </c>
      <c r="W511" s="65" t="s">
        <v>1922</v>
      </c>
      <c r="X511" s="65" t="s">
        <v>2850</v>
      </c>
      <c r="Y511" s="65" t="s">
        <v>4</v>
      </c>
      <c r="Z511" s="65" t="s">
        <v>4</v>
      </c>
      <c r="AA511" s="65" t="s">
        <v>2850</v>
      </c>
    </row>
    <row r="512" spans="1:27" ht="17.45" hidden="1" customHeight="1">
      <c r="A512" s="100" t="str">
        <f>IF(priority(Main[[#This Row],[Comments]])&lt;&gt;0, priority(Main[[#This Row],[Comments]]),"")</f>
        <v/>
      </c>
      <c r="B512" s="77" t="s">
        <v>1453</v>
      </c>
      <c r="C512" s="65" t="s">
        <v>4</v>
      </c>
      <c r="D512" s="66" t="s">
        <v>544</v>
      </c>
      <c r="E512" s="67">
        <v>40675.613807870373</v>
      </c>
      <c r="F512" s="67"/>
      <c r="G512" s="64" t="str">
        <f>IF(stdProdLT(Main[[#This Row],[Comments]])=0.1,"N/A",IF(stdProdLT(Main[[#This Row],[Comments]])=0,"",stdProdLT(Main[[#This Row],[Comments]])))</f>
        <v/>
      </c>
      <c r="H512" s="68" t="str">
        <f>IF(AND(Main[[#This Row],[In Stock Date]]&lt;&gt;"",Main[[#This Row],[Revised Due Date]]&lt;&gt;""),Main[[#This Row],[In Stock Date]]-Main[[#This Row],[Revised Due Date]],"")</f>
        <v/>
      </c>
      <c r="I512" s="65" t="s">
        <v>4</v>
      </c>
      <c r="J512" s="65" t="s">
        <v>4</v>
      </c>
      <c r="K512" s="65" t="s">
        <v>4</v>
      </c>
      <c r="L512" s="67"/>
      <c r="M512" s="69" t="str">
        <f>IF(Main[[#This Row],[Tech Start Date]]&lt;1/1/1990,"",IF(Main[[#This Row],[Class]]="C",WORKDAY(Main[[#This Row],[Tech Start Date]],9),IF(Main[[#This Row],[Class]]="B", WORKDAY(Main[[#This Row],[Tech Start Date]],6),IF(Main[[#This Row],[Class]]="A",WORKDAY(Main[[#This Row],[Tech Start Date]],2),""))))</f>
        <v/>
      </c>
      <c r="N512" s="69" t="str">
        <f>IF(Main[[#This Row],[Tech Start Date]]&lt;1/1/1990,"",IF(Main[[#This Row],[Class]]="C",WORKDAY(Main[[#This Row],[Tech Start Date]],19),IF(Main[[#This Row],[Class]]="B", WORKDAY(Main[[#This Row],[Tech Start Date]],12),IF(Main[[#This Row],[Class]]="A",WORKDAY(Main[[#This Row],[Tech Start Date]],4),""))))</f>
        <v/>
      </c>
      <c r="O512" s="69" t="str">
        <f>IF(Main[[#This Row],[Tech Start Date]]&lt;1/1/1990,"",IF(Main[[#This Row],[Class]]="C",WORKDAY(Main[[#This Row],[Tech Start Date]],23),IF(Main[[#This Row],[Class]]="B", WORKDAY(Main[[#This Row],[Tech Start Date]],15),IF(Main[[#This Row],[Class]]="A",WORKDAY(Main[[#This Row],[Tech Start Date]],5),""))))</f>
        <v/>
      </c>
      <c r="P512" s="69" t="str">
        <f>IF(Main[[#This Row],[Tech Start Date]]&lt;1/1/1990,"",IF(Main[[#This Row],[Class]]="C",WORKDAY(Main[[#This Row],[Tech Start Date]],28),IF(Main[[#This Row],[Class]]="B", WORKDAY(Main[[#This Row],[Tech Start Date]],19),IF(Main[[#This Row],[Class]]="A",WORKDAY(Main[[#This Row],[Tech Start Date]],9),""))))</f>
        <v/>
      </c>
      <c r="Q512" s="67">
        <v>40676</v>
      </c>
      <c r="R512" s="67"/>
      <c r="S512" s="65" t="s">
        <v>6</v>
      </c>
      <c r="T512" s="70" t="s">
        <v>4</v>
      </c>
      <c r="U512" s="65" t="s">
        <v>7</v>
      </c>
      <c r="V512" s="65" t="s">
        <v>1914</v>
      </c>
      <c r="W512" s="65" t="s">
        <v>1918</v>
      </c>
      <c r="X512" s="65" t="s">
        <v>126</v>
      </c>
      <c r="Y512" s="65" t="s">
        <v>3033</v>
      </c>
      <c r="Z512" s="65" t="s">
        <v>4</v>
      </c>
      <c r="AA512" s="65" t="s">
        <v>126</v>
      </c>
    </row>
    <row r="513" spans="1:27" ht="17.45" hidden="1" customHeight="1">
      <c r="A513" s="100" t="str">
        <f>IF(priority(Main[[#This Row],[Comments]])&lt;&gt;0, priority(Main[[#This Row],[Comments]]),"")</f>
        <v/>
      </c>
      <c r="B513" s="77" t="s">
        <v>1454</v>
      </c>
      <c r="C513" s="65" t="s">
        <v>4</v>
      </c>
      <c r="D513" s="66" t="s">
        <v>545</v>
      </c>
      <c r="E513" s="67">
        <v>40519.5781712963</v>
      </c>
      <c r="F513" s="67"/>
      <c r="G513" s="64" t="str">
        <f>IF(stdProdLT(Main[[#This Row],[Comments]])=0.1,"N/A",IF(stdProdLT(Main[[#This Row],[Comments]])=0,"",stdProdLT(Main[[#This Row],[Comments]])))</f>
        <v/>
      </c>
      <c r="H513" s="68" t="str">
        <f>IF(AND(Main[[#This Row],[In Stock Date]]&lt;&gt;"",Main[[#This Row],[Revised Due Date]]&lt;&gt;""),Main[[#This Row],[In Stock Date]]-Main[[#This Row],[Revised Due Date]],"")</f>
        <v/>
      </c>
      <c r="I513" s="65" t="s">
        <v>4</v>
      </c>
      <c r="J513" s="65" t="s">
        <v>28</v>
      </c>
      <c r="K513" s="65" t="s">
        <v>4</v>
      </c>
      <c r="L513" s="67"/>
      <c r="M513" s="69" t="str">
        <f>IF(Main[[#This Row],[Tech Start Date]]&lt;1/1/1990,"",IF(Main[[#This Row],[Class]]="C",WORKDAY(Main[[#This Row],[Tech Start Date]],9),IF(Main[[#This Row],[Class]]="B", WORKDAY(Main[[#This Row],[Tech Start Date]],6),IF(Main[[#This Row],[Class]]="A",WORKDAY(Main[[#This Row],[Tech Start Date]],2),""))))</f>
        <v/>
      </c>
      <c r="N513" s="69" t="str">
        <f>IF(Main[[#This Row],[Tech Start Date]]&lt;1/1/1990,"",IF(Main[[#This Row],[Class]]="C",WORKDAY(Main[[#This Row],[Tech Start Date]],19),IF(Main[[#This Row],[Class]]="B", WORKDAY(Main[[#This Row],[Tech Start Date]],12),IF(Main[[#This Row],[Class]]="A",WORKDAY(Main[[#This Row],[Tech Start Date]],4),""))))</f>
        <v/>
      </c>
      <c r="O513" s="69" t="str">
        <f>IF(Main[[#This Row],[Tech Start Date]]&lt;1/1/1990,"",IF(Main[[#This Row],[Class]]="C",WORKDAY(Main[[#This Row],[Tech Start Date]],23),IF(Main[[#This Row],[Class]]="B", WORKDAY(Main[[#This Row],[Tech Start Date]],15),IF(Main[[#This Row],[Class]]="A",WORKDAY(Main[[#This Row],[Tech Start Date]],5),""))))</f>
        <v/>
      </c>
      <c r="P513" s="69" t="str">
        <f>IF(Main[[#This Row],[Tech Start Date]]&lt;1/1/1990,"",IF(Main[[#This Row],[Class]]="C",WORKDAY(Main[[#This Row],[Tech Start Date]],28),IF(Main[[#This Row],[Class]]="B", WORKDAY(Main[[#This Row],[Tech Start Date]],19),IF(Main[[#This Row],[Class]]="A",WORKDAY(Main[[#This Row],[Tech Start Date]],9),""))))</f>
        <v/>
      </c>
      <c r="Q513" s="67"/>
      <c r="R513" s="67"/>
      <c r="S513" s="65" t="s">
        <v>6</v>
      </c>
      <c r="T513" s="70" t="s">
        <v>4</v>
      </c>
      <c r="U513" s="65" t="s">
        <v>7</v>
      </c>
      <c r="V513" s="65" t="s">
        <v>1914</v>
      </c>
      <c r="W513" s="65" t="s">
        <v>1916</v>
      </c>
      <c r="X513" s="65" t="s">
        <v>2819</v>
      </c>
      <c r="Y513" s="65" t="s">
        <v>2932</v>
      </c>
      <c r="Z513" s="65" t="s">
        <v>129</v>
      </c>
      <c r="AA513" s="65" t="s">
        <v>2819</v>
      </c>
    </row>
    <row r="514" spans="1:27" ht="17.45" hidden="1" customHeight="1">
      <c r="A514" s="100" t="str">
        <f>IF(priority(Main[[#This Row],[Comments]])&lt;&gt;0, priority(Main[[#This Row],[Comments]]),"")</f>
        <v/>
      </c>
      <c r="B514" s="77" t="s">
        <v>1455</v>
      </c>
      <c r="C514" s="65" t="s">
        <v>546</v>
      </c>
      <c r="D514" s="66" t="s">
        <v>547</v>
      </c>
      <c r="E514" s="67"/>
      <c r="F514" s="67">
        <v>40549</v>
      </c>
      <c r="G514" s="64" t="str">
        <f>IF(stdProdLT(Main[[#This Row],[Comments]])=0.1,"N/A",IF(stdProdLT(Main[[#This Row],[Comments]])=0,"",stdProdLT(Main[[#This Row],[Comments]])))</f>
        <v/>
      </c>
      <c r="H514" s="68" t="str">
        <f>IF(AND(Main[[#This Row],[In Stock Date]]&lt;&gt;"",Main[[#This Row],[Revised Due Date]]&lt;&gt;""),Main[[#This Row],[In Stock Date]]-Main[[#This Row],[Revised Due Date]],"")</f>
        <v/>
      </c>
      <c r="I514" s="65" t="s">
        <v>4</v>
      </c>
      <c r="J514" s="65" t="s">
        <v>4</v>
      </c>
      <c r="K514" s="65" t="s">
        <v>4</v>
      </c>
      <c r="L514" s="67"/>
      <c r="M514" s="69" t="str">
        <f>IF(Main[[#This Row],[Tech Start Date]]&lt;1/1/1990,"",IF(Main[[#This Row],[Class]]="C",WORKDAY(Main[[#This Row],[Tech Start Date]],9),IF(Main[[#This Row],[Class]]="B", WORKDAY(Main[[#This Row],[Tech Start Date]],6),IF(Main[[#This Row],[Class]]="A",WORKDAY(Main[[#This Row],[Tech Start Date]],2),""))))</f>
        <v/>
      </c>
      <c r="N514" s="69" t="str">
        <f>IF(Main[[#This Row],[Tech Start Date]]&lt;1/1/1990,"",IF(Main[[#This Row],[Class]]="C",WORKDAY(Main[[#This Row],[Tech Start Date]],19),IF(Main[[#This Row],[Class]]="B", WORKDAY(Main[[#This Row],[Tech Start Date]],12),IF(Main[[#This Row],[Class]]="A",WORKDAY(Main[[#This Row],[Tech Start Date]],4),""))))</f>
        <v/>
      </c>
      <c r="O514" s="69" t="str">
        <f>IF(Main[[#This Row],[Tech Start Date]]&lt;1/1/1990,"",IF(Main[[#This Row],[Class]]="C",WORKDAY(Main[[#This Row],[Tech Start Date]],23),IF(Main[[#This Row],[Class]]="B", WORKDAY(Main[[#This Row],[Tech Start Date]],15),IF(Main[[#This Row],[Class]]="A",WORKDAY(Main[[#This Row],[Tech Start Date]],5),""))))</f>
        <v/>
      </c>
      <c r="P514" s="69" t="str">
        <f>IF(Main[[#This Row],[Tech Start Date]]&lt;1/1/1990,"",IF(Main[[#This Row],[Class]]="C",WORKDAY(Main[[#This Row],[Tech Start Date]],28),IF(Main[[#This Row],[Class]]="B", WORKDAY(Main[[#This Row],[Tech Start Date]],19),IF(Main[[#This Row],[Class]]="A",WORKDAY(Main[[#This Row],[Tech Start Date]],9),""))))</f>
        <v/>
      </c>
      <c r="Q514" s="67">
        <v>40464</v>
      </c>
      <c r="R514" s="67"/>
      <c r="S514" s="65" t="s">
        <v>11</v>
      </c>
      <c r="T514" s="70" t="s">
        <v>4</v>
      </c>
      <c r="U514" s="65" t="s">
        <v>14</v>
      </c>
      <c r="V514" s="65" t="s">
        <v>1917</v>
      </c>
      <c r="W514" s="65" t="s">
        <v>1920</v>
      </c>
      <c r="X514" s="65" t="s">
        <v>2830</v>
      </c>
      <c r="Y514" s="65" t="s">
        <v>2953</v>
      </c>
      <c r="Z514" s="65" t="s">
        <v>4</v>
      </c>
      <c r="AA514" s="65" t="s">
        <v>2830</v>
      </c>
    </row>
    <row r="515" spans="1:27" ht="17.45" hidden="1" customHeight="1">
      <c r="A515" s="100" t="str">
        <f>IF(priority(Main[[#This Row],[Comments]])&lt;&gt;0, priority(Main[[#This Row],[Comments]]),"")</f>
        <v/>
      </c>
      <c r="B515" s="77" t="s">
        <v>1467</v>
      </c>
      <c r="C515" s="65" t="s">
        <v>72</v>
      </c>
      <c r="D515" s="66" t="s">
        <v>548</v>
      </c>
      <c r="E515" s="67"/>
      <c r="F515" s="67">
        <v>40030</v>
      </c>
      <c r="G515" s="64" t="str">
        <f>IF(stdProdLT(Main[[#This Row],[Comments]])=0.1,"N/A",IF(stdProdLT(Main[[#This Row],[Comments]])=0,"",stdProdLT(Main[[#This Row],[Comments]])))</f>
        <v/>
      </c>
      <c r="H515" s="68" t="str">
        <f>IF(AND(Main[[#This Row],[In Stock Date]]&lt;&gt;"",Main[[#This Row],[Revised Due Date]]&lt;&gt;""),Main[[#This Row],[In Stock Date]]-Main[[#This Row],[Revised Due Date]],"")</f>
        <v/>
      </c>
      <c r="I515" s="65" t="s">
        <v>4</v>
      </c>
      <c r="J515" s="65" t="s">
        <v>4</v>
      </c>
      <c r="K515" s="65" t="s">
        <v>4</v>
      </c>
      <c r="L515" s="67"/>
      <c r="M515" s="69" t="str">
        <f>IF(Main[[#This Row],[Tech Start Date]]&lt;1/1/1990,"",IF(Main[[#This Row],[Class]]="C",WORKDAY(Main[[#This Row],[Tech Start Date]],9),IF(Main[[#This Row],[Class]]="B", WORKDAY(Main[[#This Row],[Tech Start Date]],6),IF(Main[[#This Row],[Class]]="A",WORKDAY(Main[[#This Row],[Tech Start Date]],2),""))))</f>
        <v/>
      </c>
      <c r="N515" s="69" t="str">
        <f>IF(Main[[#This Row],[Tech Start Date]]&lt;1/1/1990,"",IF(Main[[#This Row],[Class]]="C",WORKDAY(Main[[#This Row],[Tech Start Date]],19),IF(Main[[#This Row],[Class]]="B", WORKDAY(Main[[#This Row],[Tech Start Date]],12),IF(Main[[#This Row],[Class]]="A",WORKDAY(Main[[#This Row],[Tech Start Date]],4),""))))</f>
        <v/>
      </c>
      <c r="O515" s="69" t="str">
        <f>IF(Main[[#This Row],[Tech Start Date]]&lt;1/1/1990,"",IF(Main[[#This Row],[Class]]="C",WORKDAY(Main[[#This Row],[Tech Start Date]],23),IF(Main[[#This Row],[Class]]="B", WORKDAY(Main[[#This Row],[Tech Start Date]],15),IF(Main[[#This Row],[Class]]="A",WORKDAY(Main[[#This Row],[Tech Start Date]],5),""))))</f>
        <v/>
      </c>
      <c r="P515" s="69" t="str">
        <f>IF(Main[[#This Row],[Tech Start Date]]&lt;1/1/1990,"",IF(Main[[#This Row],[Class]]="C",WORKDAY(Main[[#This Row],[Tech Start Date]],28),IF(Main[[#This Row],[Class]]="B", WORKDAY(Main[[#This Row],[Tech Start Date]],19),IF(Main[[#This Row],[Class]]="A",WORKDAY(Main[[#This Row],[Tech Start Date]],9),""))))</f>
        <v/>
      </c>
      <c r="Q515" s="67">
        <v>39959</v>
      </c>
      <c r="R515" s="67"/>
      <c r="S515" s="65" t="s">
        <v>11</v>
      </c>
      <c r="T515" s="70" t="s">
        <v>4</v>
      </c>
      <c r="U515" s="65" t="s">
        <v>14</v>
      </c>
      <c r="V515" s="65" t="s">
        <v>1924</v>
      </c>
      <c r="W515" s="65" t="s">
        <v>4</v>
      </c>
      <c r="X515" s="65" t="s">
        <v>2824</v>
      </c>
      <c r="Y515" s="65" t="s">
        <v>2943</v>
      </c>
      <c r="Z515" s="65" t="s">
        <v>4</v>
      </c>
      <c r="AA515" s="65" t="s">
        <v>2824</v>
      </c>
    </row>
    <row r="516" spans="1:27" ht="17.45" hidden="1" customHeight="1">
      <c r="A516" s="100" t="str">
        <f>IF(priority(Main[[#This Row],[Comments]])&lt;&gt;0, priority(Main[[#This Row],[Comments]]),"")</f>
        <v/>
      </c>
      <c r="B516" s="77" t="s">
        <v>1469</v>
      </c>
      <c r="C516" s="65" t="s">
        <v>4</v>
      </c>
      <c r="D516" s="66" t="s">
        <v>549</v>
      </c>
      <c r="E516" s="67"/>
      <c r="F516" s="67"/>
      <c r="G516" s="64" t="str">
        <f>IF(stdProdLT(Main[[#This Row],[Comments]])=0.1,"N/A",IF(stdProdLT(Main[[#This Row],[Comments]])=0,"",stdProdLT(Main[[#This Row],[Comments]])))</f>
        <v/>
      </c>
      <c r="H516" s="68" t="str">
        <f>IF(AND(Main[[#This Row],[In Stock Date]]&lt;&gt;"",Main[[#This Row],[Revised Due Date]]&lt;&gt;""),Main[[#This Row],[In Stock Date]]-Main[[#This Row],[Revised Due Date]],"")</f>
        <v/>
      </c>
      <c r="I516" s="65" t="s">
        <v>4</v>
      </c>
      <c r="J516" s="65" t="s">
        <v>4</v>
      </c>
      <c r="K516" s="65" t="s">
        <v>4</v>
      </c>
      <c r="L516" s="67"/>
      <c r="M516" s="69" t="str">
        <f>IF(Main[[#This Row],[Tech Start Date]]&lt;1/1/1990,"",IF(Main[[#This Row],[Class]]="C",WORKDAY(Main[[#This Row],[Tech Start Date]],9),IF(Main[[#This Row],[Class]]="B", WORKDAY(Main[[#This Row],[Tech Start Date]],6),IF(Main[[#This Row],[Class]]="A",WORKDAY(Main[[#This Row],[Tech Start Date]],2),""))))</f>
        <v/>
      </c>
      <c r="N516" s="69" t="str">
        <f>IF(Main[[#This Row],[Tech Start Date]]&lt;1/1/1990,"",IF(Main[[#This Row],[Class]]="C",WORKDAY(Main[[#This Row],[Tech Start Date]],19),IF(Main[[#This Row],[Class]]="B", WORKDAY(Main[[#This Row],[Tech Start Date]],12),IF(Main[[#This Row],[Class]]="A",WORKDAY(Main[[#This Row],[Tech Start Date]],4),""))))</f>
        <v/>
      </c>
      <c r="O516" s="69" t="str">
        <f>IF(Main[[#This Row],[Tech Start Date]]&lt;1/1/1990,"",IF(Main[[#This Row],[Class]]="C",WORKDAY(Main[[#This Row],[Tech Start Date]],23),IF(Main[[#This Row],[Class]]="B", WORKDAY(Main[[#This Row],[Tech Start Date]],15),IF(Main[[#This Row],[Class]]="A",WORKDAY(Main[[#This Row],[Tech Start Date]],5),""))))</f>
        <v/>
      </c>
      <c r="P516" s="69" t="str">
        <f>IF(Main[[#This Row],[Tech Start Date]]&lt;1/1/1990,"",IF(Main[[#This Row],[Class]]="C",WORKDAY(Main[[#This Row],[Tech Start Date]],28),IF(Main[[#This Row],[Class]]="B", WORKDAY(Main[[#This Row],[Tech Start Date]],19),IF(Main[[#This Row],[Class]]="A",WORKDAY(Main[[#This Row],[Tech Start Date]],9),""))))</f>
        <v/>
      </c>
      <c r="Q516" s="67"/>
      <c r="R516" s="67"/>
      <c r="S516" s="65" t="s">
        <v>6</v>
      </c>
      <c r="T516" s="70" t="s">
        <v>4</v>
      </c>
      <c r="U516" s="65" t="s">
        <v>14</v>
      </c>
      <c r="V516" s="65" t="s">
        <v>1917</v>
      </c>
      <c r="W516" s="65" t="s">
        <v>4</v>
      </c>
      <c r="X516" s="65" t="s">
        <v>2887</v>
      </c>
      <c r="Y516" s="65" t="s">
        <v>3043</v>
      </c>
      <c r="Z516" s="65" t="s">
        <v>4</v>
      </c>
      <c r="AA516" s="65" t="s">
        <v>2887</v>
      </c>
    </row>
    <row r="517" spans="1:27" ht="17.45" hidden="1" customHeight="1">
      <c r="A517" s="100" t="str">
        <f>IF(priority(Main[[#This Row],[Comments]])&lt;&gt;0, priority(Main[[#This Row],[Comments]]),"")</f>
        <v/>
      </c>
      <c r="B517" s="77" t="s">
        <v>1470</v>
      </c>
      <c r="C517" s="65" t="s">
        <v>33</v>
      </c>
      <c r="D517" s="66" t="s">
        <v>550</v>
      </c>
      <c r="E517" s="67"/>
      <c r="F517" s="67"/>
      <c r="G517" s="64" t="str">
        <f>IF(stdProdLT(Main[[#This Row],[Comments]])=0.1,"N/A",IF(stdProdLT(Main[[#This Row],[Comments]])=0,"",stdProdLT(Main[[#This Row],[Comments]])))</f>
        <v/>
      </c>
      <c r="H517" s="68" t="str">
        <f>IF(AND(Main[[#This Row],[In Stock Date]]&lt;&gt;"",Main[[#This Row],[Revised Due Date]]&lt;&gt;""),Main[[#This Row],[In Stock Date]]-Main[[#This Row],[Revised Due Date]],"")</f>
        <v/>
      </c>
      <c r="I517" s="65" t="s">
        <v>4</v>
      </c>
      <c r="J517" s="65" t="s">
        <v>4</v>
      </c>
      <c r="K517" s="65" t="s">
        <v>4</v>
      </c>
      <c r="L517" s="67"/>
      <c r="M517" s="69" t="str">
        <f>IF(Main[[#This Row],[Tech Start Date]]&lt;1/1/1990,"",IF(Main[[#This Row],[Class]]="C",WORKDAY(Main[[#This Row],[Tech Start Date]],9),IF(Main[[#This Row],[Class]]="B", WORKDAY(Main[[#This Row],[Tech Start Date]],6),IF(Main[[#This Row],[Class]]="A",WORKDAY(Main[[#This Row],[Tech Start Date]],2),""))))</f>
        <v/>
      </c>
      <c r="N517" s="69" t="str">
        <f>IF(Main[[#This Row],[Tech Start Date]]&lt;1/1/1990,"",IF(Main[[#This Row],[Class]]="C",WORKDAY(Main[[#This Row],[Tech Start Date]],19),IF(Main[[#This Row],[Class]]="B", WORKDAY(Main[[#This Row],[Tech Start Date]],12),IF(Main[[#This Row],[Class]]="A",WORKDAY(Main[[#This Row],[Tech Start Date]],4),""))))</f>
        <v/>
      </c>
      <c r="O517" s="69" t="str">
        <f>IF(Main[[#This Row],[Tech Start Date]]&lt;1/1/1990,"",IF(Main[[#This Row],[Class]]="C",WORKDAY(Main[[#This Row],[Tech Start Date]],23),IF(Main[[#This Row],[Class]]="B", WORKDAY(Main[[#This Row],[Tech Start Date]],15),IF(Main[[#This Row],[Class]]="A",WORKDAY(Main[[#This Row],[Tech Start Date]],5),""))))</f>
        <v/>
      </c>
      <c r="P517" s="69" t="str">
        <f>IF(Main[[#This Row],[Tech Start Date]]&lt;1/1/1990,"",IF(Main[[#This Row],[Class]]="C",WORKDAY(Main[[#This Row],[Tech Start Date]],28),IF(Main[[#This Row],[Class]]="B", WORKDAY(Main[[#This Row],[Tech Start Date]],19),IF(Main[[#This Row],[Class]]="A",WORKDAY(Main[[#This Row],[Tech Start Date]],9),""))))</f>
        <v/>
      </c>
      <c r="Q517" s="67">
        <v>40004</v>
      </c>
      <c r="R517" s="67"/>
      <c r="S517" s="65" t="s">
        <v>11</v>
      </c>
      <c r="T517" s="70" t="s">
        <v>4</v>
      </c>
      <c r="U517" s="65" t="s">
        <v>14</v>
      </c>
      <c r="V517" s="65" t="s">
        <v>1914</v>
      </c>
      <c r="W517" s="65" t="s">
        <v>1922</v>
      </c>
      <c r="X517" s="65" t="s">
        <v>2853</v>
      </c>
      <c r="Y517" s="65" t="s">
        <v>2991</v>
      </c>
      <c r="Z517" s="65" t="s">
        <v>4</v>
      </c>
      <c r="AA517" s="65" t="s">
        <v>2853</v>
      </c>
    </row>
    <row r="518" spans="1:27" ht="17.45" hidden="1" customHeight="1">
      <c r="A518" s="100" t="str">
        <f>IF(priority(Main[[#This Row],[Comments]])&lt;&gt;0, priority(Main[[#This Row],[Comments]]),"")</f>
        <v/>
      </c>
      <c r="B518" s="77" t="s">
        <v>1471</v>
      </c>
      <c r="C518" s="65" t="s">
        <v>551</v>
      </c>
      <c r="D518" s="66" t="s">
        <v>552</v>
      </c>
      <c r="E518" s="67"/>
      <c r="F518" s="67"/>
      <c r="G518" s="64" t="str">
        <f>IF(stdProdLT(Main[[#This Row],[Comments]])=0.1,"N/A",IF(stdProdLT(Main[[#This Row],[Comments]])=0,"",stdProdLT(Main[[#This Row],[Comments]])))</f>
        <v/>
      </c>
      <c r="H518" s="68" t="str">
        <f>IF(AND(Main[[#This Row],[In Stock Date]]&lt;&gt;"",Main[[#This Row],[Revised Due Date]]&lt;&gt;""),Main[[#This Row],[In Stock Date]]-Main[[#This Row],[Revised Due Date]],"")</f>
        <v/>
      </c>
      <c r="I518" s="65" t="s">
        <v>553</v>
      </c>
      <c r="J518" s="65" t="s">
        <v>28</v>
      </c>
      <c r="K518" s="65" t="s">
        <v>4</v>
      </c>
      <c r="L518" s="67"/>
      <c r="M518" s="69" t="str">
        <f>IF(Main[[#This Row],[Tech Start Date]]&lt;1/1/1990,"",IF(Main[[#This Row],[Class]]="C",WORKDAY(Main[[#This Row],[Tech Start Date]],9),IF(Main[[#This Row],[Class]]="B", WORKDAY(Main[[#This Row],[Tech Start Date]],6),IF(Main[[#This Row],[Class]]="A",WORKDAY(Main[[#This Row],[Tech Start Date]],2),""))))</f>
        <v/>
      </c>
      <c r="N518" s="69" t="str">
        <f>IF(Main[[#This Row],[Tech Start Date]]&lt;1/1/1990,"",IF(Main[[#This Row],[Class]]="C",WORKDAY(Main[[#This Row],[Tech Start Date]],19),IF(Main[[#This Row],[Class]]="B", WORKDAY(Main[[#This Row],[Tech Start Date]],12),IF(Main[[#This Row],[Class]]="A",WORKDAY(Main[[#This Row],[Tech Start Date]],4),""))))</f>
        <v/>
      </c>
      <c r="O518" s="69" t="str">
        <f>IF(Main[[#This Row],[Tech Start Date]]&lt;1/1/1990,"",IF(Main[[#This Row],[Class]]="C",WORKDAY(Main[[#This Row],[Tech Start Date]],23),IF(Main[[#This Row],[Class]]="B", WORKDAY(Main[[#This Row],[Tech Start Date]],15),IF(Main[[#This Row],[Class]]="A",WORKDAY(Main[[#This Row],[Tech Start Date]],5),""))))</f>
        <v/>
      </c>
      <c r="P518" s="69" t="str">
        <f>IF(Main[[#This Row],[Tech Start Date]]&lt;1/1/1990,"",IF(Main[[#This Row],[Class]]="C",WORKDAY(Main[[#This Row],[Tech Start Date]],28),IF(Main[[#This Row],[Class]]="B", WORKDAY(Main[[#This Row],[Tech Start Date]],19),IF(Main[[#This Row],[Class]]="A",WORKDAY(Main[[#This Row],[Tech Start Date]],9),""))))</f>
        <v/>
      </c>
      <c r="Q518" s="67">
        <v>40401</v>
      </c>
      <c r="R518" s="67"/>
      <c r="S518" s="65" t="s">
        <v>11</v>
      </c>
      <c r="T518" s="70" t="s">
        <v>4</v>
      </c>
      <c r="U518" s="65" t="s">
        <v>14</v>
      </c>
      <c r="V518" s="65" t="s">
        <v>1924</v>
      </c>
      <c r="W518" s="65" t="s">
        <v>1916</v>
      </c>
      <c r="X518" s="65" t="s">
        <v>2854</v>
      </c>
      <c r="Y518" s="65" t="s">
        <v>3054</v>
      </c>
      <c r="Z518" s="65" t="s">
        <v>530</v>
      </c>
      <c r="AA518" s="65" t="s">
        <v>2854</v>
      </c>
    </row>
    <row r="519" spans="1:27" ht="17.45" hidden="1" customHeight="1">
      <c r="A519" s="100" t="str">
        <f>IF(priority(Main[[#This Row],[Comments]])&lt;&gt;0, priority(Main[[#This Row],[Comments]]),"")</f>
        <v/>
      </c>
      <c r="B519" s="77" t="s">
        <v>1472</v>
      </c>
      <c r="C519" s="65" t="s">
        <v>4</v>
      </c>
      <c r="D519" s="66" t="s">
        <v>554</v>
      </c>
      <c r="E519" s="67"/>
      <c r="F519" s="67"/>
      <c r="G519" s="64" t="str">
        <f>IF(stdProdLT(Main[[#This Row],[Comments]])=0.1,"N/A",IF(stdProdLT(Main[[#This Row],[Comments]])=0,"",stdProdLT(Main[[#This Row],[Comments]])))</f>
        <v/>
      </c>
      <c r="H519" s="68" t="str">
        <f>IF(AND(Main[[#This Row],[In Stock Date]]&lt;&gt;"",Main[[#This Row],[Revised Due Date]]&lt;&gt;""),Main[[#This Row],[In Stock Date]]-Main[[#This Row],[Revised Due Date]],"")</f>
        <v/>
      </c>
      <c r="I519" s="65" t="s">
        <v>4</v>
      </c>
      <c r="J519" s="65" t="s">
        <v>4</v>
      </c>
      <c r="K519" s="65" t="s">
        <v>4</v>
      </c>
      <c r="L519" s="67"/>
      <c r="M519" s="69" t="str">
        <f>IF(Main[[#This Row],[Tech Start Date]]&lt;1/1/1990,"",IF(Main[[#This Row],[Class]]="C",WORKDAY(Main[[#This Row],[Tech Start Date]],9),IF(Main[[#This Row],[Class]]="B", WORKDAY(Main[[#This Row],[Tech Start Date]],6),IF(Main[[#This Row],[Class]]="A",WORKDAY(Main[[#This Row],[Tech Start Date]],2),""))))</f>
        <v/>
      </c>
      <c r="N519" s="69" t="str">
        <f>IF(Main[[#This Row],[Tech Start Date]]&lt;1/1/1990,"",IF(Main[[#This Row],[Class]]="C",WORKDAY(Main[[#This Row],[Tech Start Date]],19),IF(Main[[#This Row],[Class]]="B", WORKDAY(Main[[#This Row],[Tech Start Date]],12),IF(Main[[#This Row],[Class]]="A",WORKDAY(Main[[#This Row],[Tech Start Date]],4),""))))</f>
        <v/>
      </c>
      <c r="O519" s="69" t="str">
        <f>IF(Main[[#This Row],[Tech Start Date]]&lt;1/1/1990,"",IF(Main[[#This Row],[Class]]="C",WORKDAY(Main[[#This Row],[Tech Start Date]],23),IF(Main[[#This Row],[Class]]="B", WORKDAY(Main[[#This Row],[Tech Start Date]],15),IF(Main[[#This Row],[Class]]="A",WORKDAY(Main[[#This Row],[Tech Start Date]],5),""))))</f>
        <v/>
      </c>
      <c r="P519" s="69" t="str">
        <f>IF(Main[[#This Row],[Tech Start Date]]&lt;1/1/1990,"",IF(Main[[#This Row],[Class]]="C",WORKDAY(Main[[#This Row],[Tech Start Date]],28),IF(Main[[#This Row],[Class]]="B", WORKDAY(Main[[#This Row],[Tech Start Date]],19),IF(Main[[#This Row],[Class]]="A",WORKDAY(Main[[#This Row],[Tech Start Date]],9),""))))</f>
        <v/>
      </c>
      <c r="Q519" s="67">
        <v>40385</v>
      </c>
      <c r="R519" s="67"/>
      <c r="S519" s="65" t="s">
        <v>6</v>
      </c>
      <c r="T519" s="70" t="s">
        <v>4</v>
      </c>
      <c r="U519" s="65" t="s">
        <v>14</v>
      </c>
      <c r="V519" s="65" t="s">
        <v>1914</v>
      </c>
      <c r="W519" s="65" t="s">
        <v>1916</v>
      </c>
      <c r="X519" s="65" t="s">
        <v>102</v>
      </c>
      <c r="Y519" s="65" t="s">
        <v>3032</v>
      </c>
      <c r="Z519" s="65" t="s">
        <v>4</v>
      </c>
      <c r="AA519" s="65" t="s">
        <v>3397</v>
      </c>
    </row>
    <row r="520" spans="1:27" ht="17.45" hidden="1" customHeight="1">
      <c r="A520" s="100" t="str">
        <f>IF(priority(Main[[#This Row],[Comments]])&lt;&gt;0, priority(Main[[#This Row],[Comments]]),"")</f>
        <v/>
      </c>
      <c r="B520" s="77" t="s">
        <v>1474</v>
      </c>
      <c r="C520" s="65" t="s">
        <v>4</v>
      </c>
      <c r="D520" s="66" t="s">
        <v>97</v>
      </c>
      <c r="E520" s="67"/>
      <c r="F520" s="67"/>
      <c r="G520" s="64" t="str">
        <f>IF(stdProdLT(Main[[#This Row],[Comments]])=0.1,"N/A",IF(stdProdLT(Main[[#This Row],[Comments]])=0,"",stdProdLT(Main[[#This Row],[Comments]])))</f>
        <v/>
      </c>
      <c r="H520" s="68" t="str">
        <f>IF(AND(Main[[#This Row],[In Stock Date]]&lt;&gt;"",Main[[#This Row],[Revised Due Date]]&lt;&gt;""),Main[[#This Row],[In Stock Date]]-Main[[#This Row],[Revised Due Date]],"")</f>
        <v/>
      </c>
      <c r="I520" s="65" t="s">
        <v>4</v>
      </c>
      <c r="J520" s="65" t="s">
        <v>4</v>
      </c>
      <c r="K520" s="65" t="s">
        <v>4</v>
      </c>
      <c r="L520" s="67"/>
      <c r="M520" s="69" t="str">
        <f>IF(Main[[#This Row],[Tech Start Date]]&lt;1/1/1990,"",IF(Main[[#This Row],[Class]]="C",WORKDAY(Main[[#This Row],[Tech Start Date]],9),IF(Main[[#This Row],[Class]]="B", WORKDAY(Main[[#This Row],[Tech Start Date]],6),IF(Main[[#This Row],[Class]]="A",WORKDAY(Main[[#This Row],[Tech Start Date]],2),""))))</f>
        <v/>
      </c>
      <c r="N520" s="69" t="str">
        <f>IF(Main[[#This Row],[Tech Start Date]]&lt;1/1/1990,"",IF(Main[[#This Row],[Class]]="C",WORKDAY(Main[[#This Row],[Tech Start Date]],19),IF(Main[[#This Row],[Class]]="B", WORKDAY(Main[[#This Row],[Tech Start Date]],12),IF(Main[[#This Row],[Class]]="A",WORKDAY(Main[[#This Row],[Tech Start Date]],4),""))))</f>
        <v/>
      </c>
      <c r="O520" s="69" t="str">
        <f>IF(Main[[#This Row],[Tech Start Date]]&lt;1/1/1990,"",IF(Main[[#This Row],[Class]]="C",WORKDAY(Main[[#This Row],[Tech Start Date]],23),IF(Main[[#This Row],[Class]]="B", WORKDAY(Main[[#This Row],[Tech Start Date]],15),IF(Main[[#This Row],[Class]]="A",WORKDAY(Main[[#This Row],[Tech Start Date]],5),""))))</f>
        <v/>
      </c>
      <c r="P520" s="69" t="str">
        <f>IF(Main[[#This Row],[Tech Start Date]]&lt;1/1/1990,"",IF(Main[[#This Row],[Class]]="C",WORKDAY(Main[[#This Row],[Tech Start Date]],28),IF(Main[[#This Row],[Class]]="B", WORKDAY(Main[[#This Row],[Tech Start Date]],19),IF(Main[[#This Row],[Class]]="A",WORKDAY(Main[[#This Row],[Tech Start Date]],9),""))))</f>
        <v/>
      </c>
      <c r="Q520" s="67">
        <v>40858</v>
      </c>
      <c r="R520" s="67"/>
      <c r="S520" s="65" t="s">
        <v>17</v>
      </c>
      <c r="T520" s="70" t="s">
        <v>4</v>
      </c>
      <c r="U520" s="65" t="s">
        <v>14</v>
      </c>
      <c r="V520" s="65" t="s">
        <v>1914</v>
      </c>
      <c r="W520" s="65" t="s">
        <v>1919</v>
      </c>
      <c r="X520" s="65" t="s">
        <v>50</v>
      </c>
      <c r="Y520" s="65" t="s">
        <v>2959</v>
      </c>
      <c r="Z520" s="65" t="s">
        <v>4</v>
      </c>
      <c r="AA520" s="65" t="s">
        <v>2828</v>
      </c>
    </row>
    <row r="521" spans="1:27" ht="17.45" hidden="1" customHeight="1">
      <c r="A521" s="100" t="str">
        <f>IF(priority(Main[[#This Row],[Comments]])&lt;&gt;0, priority(Main[[#This Row],[Comments]]),"")</f>
        <v/>
      </c>
      <c r="B521" s="77" t="s">
        <v>1475</v>
      </c>
      <c r="C521" s="65" t="s">
        <v>4</v>
      </c>
      <c r="D521" s="66" t="s">
        <v>555</v>
      </c>
      <c r="E521" s="67">
        <v>40382.376319444447</v>
      </c>
      <c r="F521" s="67"/>
      <c r="G521" s="64" t="str">
        <f>IF(stdProdLT(Main[[#This Row],[Comments]])=0.1,"N/A",IF(stdProdLT(Main[[#This Row],[Comments]])=0,"",stdProdLT(Main[[#This Row],[Comments]])))</f>
        <v/>
      </c>
      <c r="H521" s="68" t="str">
        <f>IF(AND(Main[[#This Row],[In Stock Date]]&lt;&gt;"",Main[[#This Row],[Revised Due Date]]&lt;&gt;""),Main[[#This Row],[In Stock Date]]-Main[[#This Row],[Revised Due Date]],"")</f>
        <v/>
      </c>
      <c r="I521" s="65" t="s">
        <v>4</v>
      </c>
      <c r="J521" s="65" t="s">
        <v>4</v>
      </c>
      <c r="K521" s="65" t="s">
        <v>4</v>
      </c>
      <c r="L521" s="67"/>
      <c r="M521" s="69" t="str">
        <f>IF(Main[[#This Row],[Tech Start Date]]&lt;1/1/1990,"",IF(Main[[#This Row],[Class]]="C",WORKDAY(Main[[#This Row],[Tech Start Date]],9),IF(Main[[#This Row],[Class]]="B", WORKDAY(Main[[#This Row],[Tech Start Date]],6),IF(Main[[#This Row],[Class]]="A",WORKDAY(Main[[#This Row],[Tech Start Date]],2),""))))</f>
        <v/>
      </c>
      <c r="N521" s="69" t="str">
        <f>IF(Main[[#This Row],[Tech Start Date]]&lt;1/1/1990,"",IF(Main[[#This Row],[Class]]="C",WORKDAY(Main[[#This Row],[Tech Start Date]],19),IF(Main[[#This Row],[Class]]="B", WORKDAY(Main[[#This Row],[Tech Start Date]],12),IF(Main[[#This Row],[Class]]="A",WORKDAY(Main[[#This Row],[Tech Start Date]],4),""))))</f>
        <v/>
      </c>
      <c r="O521" s="69" t="str">
        <f>IF(Main[[#This Row],[Tech Start Date]]&lt;1/1/1990,"",IF(Main[[#This Row],[Class]]="C",WORKDAY(Main[[#This Row],[Tech Start Date]],23),IF(Main[[#This Row],[Class]]="B", WORKDAY(Main[[#This Row],[Tech Start Date]],15),IF(Main[[#This Row],[Class]]="A",WORKDAY(Main[[#This Row],[Tech Start Date]],5),""))))</f>
        <v/>
      </c>
      <c r="P521" s="69" t="str">
        <f>IF(Main[[#This Row],[Tech Start Date]]&lt;1/1/1990,"",IF(Main[[#This Row],[Class]]="C",WORKDAY(Main[[#This Row],[Tech Start Date]],28),IF(Main[[#This Row],[Class]]="B", WORKDAY(Main[[#This Row],[Tech Start Date]],19),IF(Main[[#This Row],[Class]]="A",WORKDAY(Main[[#This Row],[Tech Start Date]],9),""))))</f>
        <v/>
      </c>
      <c r="Q521" s="67">
        <v>40451</v>
      </c>
      <c r="R521" s="67"/>
      <c r="S521" s="65" t="s">
        <v>6</v>
      </c>
      <c r="T521" s="70" t="s">
        <v>4</v>
      </c>
      <c r="U521" s="65" t="s">
        <v>7</v>
      </c>
      <c r="V521" s="65" t="s">
        <v>1914</v>
      </c>
      <c r="W521" s="65" t="s">
        <v>4</v>
      </c>
      <c r="X521" s="65" t="s">
        <v>2887</v>
      </c>
      <c r="Y521" s="65" t="s">
        <v>3043</v>
      </c>
      <c r="Z521" s="65" t="s">
        <v>4</v>
      </c>
      <c r="AA521" s="65" t="s">
        <v>2887</v>
      </c>
    </row>
    <row r="522" spans="1:27" ht="17.45" hidden="1" customHeight="1">
      <c r="A522" s="100" t="str">
        <f>IF(priority(Main[[#This Row],[Comments]])&lt;&gt;0, priority(Main[[#This Row],[Comments]]),"")</f>
        <v/>
      </c>
      <c r="B522" s="77" t="s">
        <v>1476</v>
      </c>
      <c r="C522" s="65" t="s">
        <v>180</v>
      </c>
      <c r="D522" s="66" t="s">
        <v>556</v>
      </c>
      <c r="E522" s="67"/>
      <c r="F522" s="67">
        <v>40389</v>
      </c>
      <c r="G522" s="64" t="str">
        <f>IF(stdProdLT(Main[[#This Row],[Comments]])=0.1,"N/A",IF(stdProdLT(Main[[#This Row],[Comments]])=0,"",stdProdLT(Main[[#This Row],[Comments]])))</f>
        <v/>
      </c>
      <c r="H522" s="68" t="str">
        <f>IF(AND(Main[[#This Row],[In Stock Date]]&lt;&gt;"",Main[[#This Row],[Revised Due Date]]&lt;&gt;""),Main[[#This Row],[In Stock Date]]-Main[[#This Row],[Revised Due Date]],"")</f>
        <v/>
      </c>
      <c r="I522" s="65" t="s">
        <v>4</v>
      </c>
      <c r="J522" s="65" t="s">
        <v>4</v>
      </c>
      <c r="K522" s="65" t="s">
        <v>4</v>
      </c>
      <c r="L522" s="67"/>
      <c r="M522" s="69" t="str">
        <f>IF(Main[[#This Row],[Tech Start Date]]&lt;1/1/1990,"",IF(Main[[#This Row],[Class]]="C",WORKDAY(Main[[#This Row],[Tech Start Date]],9),IF(Main[[#This Row],[Class]]="B", WORKDAY(Main[[#This Row],[Tech Start Date]],6),IF(Main[[#This Row],[Class]]="A",WORKDAY(Main[[#This Row],[Tech Start Date]],2),""))))</f>
        <v/>
      </c>
      <c r="N522" s="69" t="str">
        <f>IF(Main[[#This Row],[Tech Start Date]]&lt;1/1/1990,"",IF(Main[[#This Row],[Class]]="C",WORKDAY(Main[[#This Row],[Tech Start Date]],19),IF(Main[[#This Row],[Class]]="B", WORKDAY(Main[[#This Row],[Tech Start Date]],12),IF(Main[[#This Row],[Class]]="A",WORKDAY(Main[[#This Row],[Tech Start Date]],4),""))))</f>
        <v/>
      </c>
      <c r="O522" s="69" t="str">
        <f>IF(Main[[#This Row],[Tech Start Date]]&lt;1/1/1990,"",IF(Main[[#This Row],[Class]]="C",WORKDAY(Main[[#This Row],[Tech Start Date]],23),IF(Main[[#This Row],[Class]]="B", WORKDAY(Main[[#This Row],[Tech Start Date]],15),IF(Main[[#This Row],[Class]]="A",WORKDAY(Main[[#This Row],[Tech Start Date]],5),""))))</f>
        <v/>
      </c>
      <c r="P522" s="69" t="str">
        <f>IF(Main[[#This Row],[Tech Start Date]]&lt;1/1/1990,"",IF(Main[[#This Row],[Class]]="C",WORKDAY(Main[[#This Row],[Tech Start Date]],28),IF(Main[[#This Row],[Class]]="B", WORKDAY(Main[[#This Row],[Tech Start Date]],19),IF(Main[[#This Row],[Class]]="A",WORKDAY(Main[[#This Row],[Tech Start Date]],9),""))))</f>
        <v/>
      </c>
      <c r="Q522" s="67">
        <v>40298</v>
      </c>
      <c r="R522" s="67"/>
      <c r="S522" s="65" t="s">
        <v>11</v>
      </c>
      <c r="T522" s="70" t="s">
        <v>4</v>
      </c>
      <c r="U522" s="65" t="s">
        <v>14</v>
      </c>
      <c r="V522" s="65" t="s">
        <v>1914</v>
      </c>
      <c r="W522" s="65" t="s">
        <v>1920</v>
      </c>
      <c r="X522" s="65" t="s">
        <v>2824</v>
      </c>
      <c r="Y522" s="65" t="s">
        <v>2943</v>
      </c>
      <c r="Z522" s="65" t="s">
        <v>4</v>
      </c>
      <c r="AA522" s="65" t="s">
        <v>2824</v>
      </c>
    </row>
    <row r="523" spans="1:27" ht="17.45" hidden="1" customHeight="1">
      <c r="A523" s="100" t="str">
        <f>IF(priority(Main[[#This Row],[Comments]])&lt;&gt;0, priority(Main[[#This Row],[Comments]]),"")</f>
        <v/>
      </c>
      <c r="B523" s="77" t="s">
        <v>1478</v>
      </c>
      <c r="C523" s="65" t="s">
        <v>572</v>
      </c>
      <c r="D523" s="66" t="s">
        <v>573</v>
      </c>
      <c r="E523" s="67"/>
      <c r="F523" s="67"/>
      <c r="G523" s="64" t="str">
        <f>IF(stdProdLT(Main[[#This Row],[Comments]])=0.1,"N/A",IF(stdProdLT(Main[[#This Row],[Comments]])=0,"",stdProdLT(Main[[#This Row],[Comments]])))</f>
        <v/>
      </c>
      <c r="H523" s="68" t="str">
        <f>IF(AND(Main[[#This Row],[In Stock Date]]&lt;&gt;"",Main[[#This Row],[Revised Due Date]]&lt;&gt;""),Main[[#This Row],[In Stock Date]]-Main[[#This Row],[Revised Due Date]],"")</f>
        <v/>
      </c>
      <c r="I523" s="65" t="s">
        <v>4</v>
      </c>
      <c r="J523" s="65" t="s">
        <v>4</v>
      </c>
      <c r="K523" s="71" t="s">
        <v>4</v>
      </c>
      <c r="L523" s="67"/>
      <c r="M523" s="69" t="str">
        <f>IF(Main[[#This Row],[Tech Start Date]]&lt;1/1/1990,"",IF(Main[[#This Row],[Class]]="C",WORKDAY(Main[[#This Row],[Tech Start Date]],9),IF(Main[[#This Row],[Class]]="B", WORKDAY(Main[[#This Row],[Tech Start Date]],6),IF(Main[[#This Row],[Class]]="A",WORKDAY(Main[[#This Row],[Tech Start Date]],2),""))))</f>
        <v/>
      </c>
      <c r="N523" s="69" t="str">
        <f>IF(Main[[#This Row],[Tech Start Date]]&lt;1/1/1990,"",IF(Main[[#This Row],[Class]]="C",WORKDAY(Main[[#This Row],[Tech Start Date]],19),IF(Main[[#This Row],[Class]]="B", WORKDAY(Main[[#This Row],[Tech Start Date]],12),IF(Main[[#This Row],[Class]]="A",WORKDAY(Main[[#This Row],[Tech Start Date]],4),""))))</f>
        <v/>
      </c>
      <c r="O523" s="69" t="str">
        <f>IF(Main[[#This Row],[Tech Start Date]]&lt;1/1/1990,"",IF(Main[[#This Row],[Class]]="C",WORKDAY(Main[[#This Row],[Tech Start Date]],23),IF(Main[[#This Row],[Class]]="B", WORKDAY(Main[[#This Row],[Tech Start Date]],15),IF(Main[[#This Row],[Class]]="A",WORKDAY(Main[[#This Row],[Tech Start Date]],5),""))))</f>
        <v/>
      </c>
      <c r="P523" s="69" t="str">
        <f>IF(Main[[#This Row],[Tech Start Date]]&lt;1/1/1990,"",IF(Main[[#This Row],[Class]]="C",WORKDAY(Main[[#This Row],[Tech Start Date]],28),IF(Main[[#This Row],[Class]]="B", WORKDAY(Main[[#This Row],[Tech Start Date]],19),IF(Main[[#This Row],[Class]]="A",WORKDAY(Main[[#This Row],[Tech Start Date]],9),""))))</f>
        <v/>
      </c>
      <c r="Q523" s="67">
        <v>40473</v>
      </c>
      <c r="R523" s="67"/>
      <c r="S523" s="65" t="s">
        <v>11</v>
      </c>
      <c r="T523" s="70" t="s">
        <v>4</v>
      </c>
      <c r="U523" s="65" t="s">
        <v>14</v>
      </c>
      <c r="V523" s="65" t="s">
        <v>1917</v>
      </c>
      <c r="W523" s="65" t="s">
        <v>1916</v>
      </c>
      <c r="X523" s="65" t="s">
        <v>553</v>
      </c>
      <c r="Y523" s="65" t="s">
        <v>4</v>
      </c>
      <c r="Z523" s="65" t="s">
        <v>4</v>
      </c>
      <c r="AA523" s="65" t="s">
        <v>553</v>
      </c>
    </row>
    <row r="524" spans="1:27" ht="17.45" hidden="1" customHeight="1">
      <c r="A524" s="100" t="str">
        <f>IF(priority(Main[[#This Row],[Comments]])&lt;&gt;0, priority(Main[[#This Row],[Comments]]),"")</f>
        <v/>
      </c>
      <c r="B524" s="77" t="s">
        <v>1479</v>
      </c>
      <c r="C524" s="65" t="s">
        <v>4</v>
      </c>
      <c r="D524" s="66" t="s">
        <v>574</v>
      </c>
      <c r="E524" s="67">
        <v>40463.687627314815</v>
      </c>
      <c r="F524" s="67"/>
      <c r="G524" s="64" t="str">
        <f>IF(stdProdLT(Main[[#This Row],[Comments]])=0.1,"N/A",IF(stdProdLT(Main[[#This Row],[Comments]])=0,"",stdProdLT(Main[[#This Row],[Comments]])))</f>
        <v/>
      </c>
      <c r="H524" s="68" t="str">
        <f>IF(AND(Main[[#This Row],[In Stock Date]]&lt;&gt;"",Main[[#This Row],[Revised Due Date]]&lt;&gt;""),Main[[#This Row],[In Stock Date]]-Main[[#This Row],[Revised Due Date]],"")</f>
        <v/>
      </c>
      <c r="I524" s="65" t="s">
        <v>4</v>
      </c>
      <c r="J524" s="65" t="s">
        <v>28</v>
      </c>
      <c r="K524" s="65" t="s">
        <v>4</v>
      </c>
      <c r="L524" s="67"/>
      <c r="M524" s="69" t="str">
        <f>IF(Main[[#This Row],[Tech Start Date]]&lt;1/1/1990,"",IF(Main[[#This Row],[Class]]="C",WORKDAY(Main[[#This Row],[Tech Start Date]],9),IF(Main[[#This Row],[Class]]="B", WORKDAY(Main[[#This Row],[Tech Start Date]],6),IF(Main[[#This Row],[Class]]="A",WORKDAY(Main[[#This Row],[Tech Start Date]],2),""))))</f>
        <v/>
      </c>
      <c r="N524" s="69" t="str">
        <f>IF(Main[[#This Row],[Tech Start Date]]&lt;1/1/1990,"",IF(Main[[#This Row],[Class]]="C",WORKDAY(Main[[#This Row],[Tech Start Date]],19),IF(Main[[#This Row],[Class]]="B", WORKDAY(Main[[#This Row],[Tech Start Date]],12),IF(Main[[#This Row],[Class]]="A",WORKDAY(Main[[#This Row],[Tech Start Date]],4),""))))</f>
        <v/>
      </c>
      <c r="O524" s="69" t="str">
        <f>IF(Main[[#This Row],[Tech Start Date]]&lt;1/1/1990,"",IF(Main[[#This Row],[Class]]="C",WORKDAY(Main[[#This Row],[Tech Start Date]],23),IF(Main[[#This Row],[Class]]="B", WORKDAY(Main[[#This Row],[Tech Start Date]],15),IF(Main[[#This Row],[Class]]="A",WORKDAY(Main[[#This Row],[Tech Start Date]],5),""))))</f>
        <v/>
      </c>
      <c r="P524" s="69" t="str">
        <f>IF(Main[[#This Row],[Tech Start Date]]&lt;1/1/1990,"",IF(Main[[#This Row],[Class]]="C",WORKDAY(Main[[#This Row],[Tech Start Date]],28),IF(Main[[#This Row],[Class]]="B", WORKDAY(Main[[#This Row],[Tech Start Date]],19),IF(Main[[#This Row],[Class]]="A",WORKDAY(Main[[#This Row],[Tech Start Date]],9),""))))</f>
        <v/>
      </c>
      <c r="Q524" s="67"/>
      <c r="R524" s="67"/>
      <c r="S524" s="65" t="s">
        <v>6</v>
      </c>
      <c r="T524" s="70" t="s">
        <v>4</v>
      </c>
      <c r="U524" s="65" t="s">
        <v>7</v>
      </c>
      <c r="V524" s="65" t="s">
        <v>1914</v>
      </c>
      <c r="W524" s="65" t="s">
        <v>1922</v>
      </c>
      <c r="X524" s="65" t="s">
        <v>883</v>
      </c>
      <c r="Y524" s="65" t="s">
        <v>2963</v>
      </c>
      <c r="Z524" s="65" t="s">
        <v>129</v>
      </c>
      <c r="AA524" s="65" t="s">
        <v>883</v>
      </c>
    </row>
    <row r="525" spans="1:27" ht="17.45" hidden="1" customHeight="1">
      <c r="A525" s="100" t="str">
        <f>IF(priority(Main[[#This Row],[Comments]])&lt;&gt;0, priority(Main[[#This Row],[Comments]]),"")</f>
        <v/>
      </c>
      <c r="B525" s="77" t="s">
        <v>2722</v>
      </c>
      <c r="C525" s="65" t="s">
        <v>122</v>
      </c>
      <c r="D525" s="66" t="s">
        <v>2723</v>
      </c>
      <c r="E525" s="67">
        <v>40889.572662037041</v>
      </c>
      <c r="F525" s="67"/>
      <c r="G525" s="64" t="str">
        <f>IF(stdProdLT(Main[[#This Row],[Comments]])=0.1,"N/A",IF(stdProdLT(Main[[#This Row],[Comments]])=0,"",stdProdLT(Main[[#This Row],[Comments]])))</f>
        <v/>
      </c>
      <c r="H525" s="68" t="str">
        <f>IF(AND(Main[[#This Row],[In Stock Date]]&lt;&gt;"",Main[[#This Row],[Revised Due Date]]&lt;&gt;""),Main[[#This Row],[In Stock Date]]-Main[[#This Row],[Revised Due Date]],"")</f>
        <v/>
      </c>
      <c r="I525" s="65" t="s">
        <v>4</v>
      </c>
      <c r="J525" s="65" t="s">
        <v>4</v>
      </c>
      <c r="K525" s="65" t="s">
        <v>4</v>
      </c>
      <c r="L525" s="67"/>
      <c r="M525" s="69" t="str">
        <f>IF(Main[[#This Row],[Tech Start Date]]&lt;1/1/1990,"",IF(Main[[#This Row],[Class]]="C",WORKDAY(Main[[#This Row],[Tech Start Date]],9),IF(Main[[#This Row],[Class]]="B", WORKDAY(Main[[#This Row],[Tech Start Date]],6),IF(Main[[#This Row],[Class]]="A",WORKDAY(Main[[#This Row],[Tech Start Date]],2),""))))</f>
        <v/>
      </c>
      <c r="N525" s="69" t="str">
        <f>IF(Main[[#This Row],[Tech Start Date]]&lt;1/1/1990,"",IF(Main[[#This Row],[Class]]="C",WORKDAY(Main[[#This Row],[Tech Start Date]],19),IF(Main[[#This Row],[Class]]="B", WORKDAY(Main[[#This Row],[Tech Start Date]],12),IF(Main[[#This Row],[Class]]="A",WORKDAY(Main[[#This Row],[Tech Start Date]],4),""))))</f>
        <v/>
      </c>
      <c r="O525" s="69" t="str">
        <f>IF(Main[[#This Row],[Tech Start Date]]&lt;1/1/1990,"",IF(Main[[#This Row],[Class]]="C",WORKDAY(Main[[#This Row],[Tech Start Date]],23),IF(Main[[#This Row],[Class]]="B", WORKDAY(Main[[#This Row],[Tech Start Date]],15),IF(Main[[#This Row],[Class]]="A",WORKDAY(Main[[#This Row],[Tech Start Date]],5),""))))</f>
        <v/>
      </c>
      <c r="P525" s="69" t="str">
        <f>IF(Main[[#This Row],[Tech Start Date]]&lt;1/1/1990,"",IF(Main[[#This Row],[Class]]="C",WORKDAY(Main[[#This Row],[Tech Start Date]],28),IF(Main[[#This Row],[Class]]="B", WORKDAY(Main[[#This Row],[Tech Start Date]],19),IF(Main[[#This Row],[Class]]="A",WORKDAY(Main[[#This Row],[Tech Start Date]],9),""))))</f>
        <v/>
      </c>
      <c r="Q525" s="67">
        <v>40910</v>
      </c>
      <c r="R525" s="67"/>
      <c r="S525" s="65" t="s">
        <v>6</v>
      </c>
      <c r="T525" s="70" t="s">
        <v>4</v>
      </c>
      <c r="U525" s="65" t="s">
        <v>7</v>
      </c>
      <c r="V525" s="65" t="s">
        <v>1914</v>
      </c>
      <c r="W525" s="65" t="s">
        <v>1920</v>
      </c>
      <c r="X525" s="65" t="s">
        <v>883</v>
      </c>
      <c r="Y525" s="65" t="s">
        <v>2963</v>
      </c>
      <c r="Z525" s="65" t="s">
        <v>4</v>
      </c>
      <c r="AA525" s="65" t="s">
        <v>883</v>
      </c>
    </row>
    <row r="526" spans="1:27" ht="17.45" hidden="1" customHeight="1">
      <c r="A526" s="100" t="str">
        <f>IF(priority(Main[[#This Row],[Comments]])&lt;&gt;0, priority(Main[[#This Row],[Comments]]),"")</f>
        <v/>
      </c>
      <c r="B526" s="77" t="s">
        <v>1123</v>
      </c>
      <c r="C526" s="65" t="s">
        <v>4</v>
      </c>
      <c r="D526" s="66" t="s">
        <v>175</v>
      </c>
      <c r="E526" s="67">
        <v>40421.149710648147</v>
      </c>
      <c r="F526" s="67"/>
      <c r="G526" s="64" t="str">
        <f>IF(stdProdLT(Main[[#This Row],[Comments]])=0.1,"N/A",IF(stdProdLT(Main[[#This Row],[Comments]])=0,"",stdProdLT(Main[[#This Row],[Comments]])))</f>
        <v/>
      </c>
      <c r="H526" s="68" t="str">
        <f>IF(AND(Main[[#This Row],[In Stock Date]]&lt;&gt;"",Main[[#This Row],[Revised Due Date]]&lt;&gt;""),Main[[#This Row],[In Stock Date]]-Main[[#This Row],[Revised Due Date]],"")</f>
        <v/>
      </c>
      <c r="I526" s="65" t="s">
        <v>81</v>
      </c>
      <c r="J526" s="65" t="s">
        <v>52</v>
      </c>
      <c r="K526" s="65" t="s">
        <v>4</v>
      </c>
      <c r="L526" s="67"/>
      <c r="M526" s="69" t="str">
        <f>IF(Main[[#This Row],[Tech Start Date]]&lt;1/1/1990,"",IF(Main[[#This Row],[Class]]="C",WORKDAY(Main[[#This Row],[Tech Start Date]],9),IF(Main[[#This Row],[Class]]="B", WORKDAY(Main[[#This Row],[Tech Start Date]],6),IF(Main[[#This Row],[Class]]="A",WORKDAY(Main[[#This Row],[Tech Start Date]],2),""))))</f>
        <v/>
      </c>
      <c r="N526" s="69" t="str">
        <f>IF(Main[[#This Row],[Tech Start Date]]&lt;1/1/1990,"",IF(Main[[#This Row],[Class]]="C",WORKDAY(Main[[#This Row],[Tech Start Date]],19),IF(Main[[#This Row],[Class]]="B", WORKDAY(Main[[#This Row],[Tech Start Date]],12),IF(Main[[#This Row],[Class]]="A",WORKDAY(Main[[#This Row],[Tech Start Date]],4),""))))</f>
        <v/>
      </c>
      <c r="O526" s="69" t="str">
        <f>IF(Main[[#This Row],[Tech Start Date]]&lt;1/1/1990,"",IF(Main[[#This Row],[Class]]="C",WORKDAY(Main[[#This Row],[Tech Start Date]],23),IF(Main[[#This Row],[Class]]="B", WORKDAY(Main[[#This Row],[Tech Start Date]],15),IF(Main[[#This Row],[Class]]="A",WORKDAY(Main[[#This Row],[Tech Start Date]],5),""))))</f>
        <v/>
      </c>
      <c r="P526" s="69" t="str">
        <f>IF(Main[[#This Row],[Tech Start Date]]&lt;1/1/1990,"",IF(Main[[#This Row],[Class]]="C",WORKDAY(Main[[#This Row],[Tech Start Date]],28),IF(Main[[#This Row],[Class]]="B", WORKDAY(Main[[#This Row],[Tech Start Date]],19),IF(Main[[#This Row],[Class]]="A",WORKDAY(Main[[#This Row],[Tech Start Date]],9),""))))</f>
        <v/>
      </c>
      <c r="Q526" s="67">
        <v>40451</v>
      </c>
      <c r="R526" s="67"/>
      <c r="S526" s="65" t="s">
        <v>6</v>
      </c>
      <c r="T526" s="70" t="s">
        <v>4</v>
      </c>
      <c r="U526" s="65" t="s">
        <v>29</v>
      </c>
      <c r="V526" s="65" t="s">
        <v>1924</v>
      </c>
      <c r="W526" s="65" t="s">
        <v>1916</v>
      </c>
      <c r="X526" s="65" t="s">
        <v>2822</v>
      </c>
      <c r="Y526" s="65" t="s">
        <v>2938</v>
      </c>
      <c r="Z526" s="65" t="s">
        <v>415</v>
      </c>
      <c r="AA526" s="65" t="s">
        <v>2822</v>
      </c>
    </row>
    <row r="527" spans="1:27" ht="17.45" hidden="1" customHeight="1">
      <c r="A527" s="100" t="str">
        <f>IF(priority(Main[[#This Row],[Comments]])&lt;&gt;0, priority(Main[[#This Row],[Comments]]),"")</f>
        <v/>
      </c>
      <c r="B527" s="77" t="s">
        <v>1480</v>
      </c>
      <c r="C527" s="65" t="s">
        <v>230</v>
      </c>
      <c r="D527" s="66" t="s">
        <v>563</v>
      </c>
      <c r="E527" s="67"/>
      <c r="F527" s="67">
        <v>40662</v>
      </c>
      <c r="G527" s="64" t="str">
        <f>IF(stdProdLT(Main[[#This Row],[Comments]])=0.1,"N/A",IF(stdProdLT(Main[[#This Row],[Comments]])=0,"",stdProdLT(Main[[#This Row],[Comments]])))</f>
        <v/>
      </c>
      <c r="H527" s="68" t="str">
        <f>IF(AND(Main[[#This Row],[In Stock Date]]&lt;&gt;"",Main[[#This Row],[Revised Due Date]]&lt;&gt;""),Main[[#This Row],[In Stock Date]]-Main[[#This Row],[Revised Due Date]],"")</f>
        <v/>
      </c>
      <c r="I527" s="65" t="s">
        <v>4</v>
      </c>
      <c r="J527" s="65" t="s">
        <v>4</v>
      </c>
      <c r="K527" s="71" t="s">
        <v>4</v>
      </c>
      <c r="L527" s="67"/>
      <c r="M527" s="69" t="str">
        <f>IF(Main[[#This Row],[Tech Start Date]]&lt;1/1/1990,"",IF(Main[[#This Row],[Class]]="C",WORKDAY(Main[[#This Row],[Tech Start Date]],9),IF(Main[[#This Row],[Class]]="B", WORKDAY(Main[[#This Row],[Tech Start Date]],6),IF(Main[[#This Row],[Class]]="A",WORKDAY(Main[[#This Row],[Tech Start Date]],2),""))))</f>
        <v/>
      </c>
      <c r="N527" s="69" t="str">
        <f>IF(Main[[#This Row],[Tech Start Date]]&lt;1/1/1990,"",IF(Main[[#This Row],[Class]]="C",WORKDAY(Main[[#This Row],[Tech Start Date]],19),IF(Main[[#This Row],[Class]]="B", WORKDAY(Main[[#This Row],[Tech Start Date]],12),IF(Main[[#This Row],[Class]]="A",WORKDAY(Main[[#This Row],[Tech Start Date]],4),""))))</f>
        <v/>
      </c>
      <c r="O527" s="69" t="str">
        <f>IF(Main[[#This Row],[Tech Start Date]]&lt;1/1/1990,"",IF(Main[[#This Row],[Class]]="C",WORKDAY(Main[[#This Row],[Tech Start Date]],23),IF(Main[[#This Row],[Class]]="B", WORKDAY(Main[[#This Row],[Tech Start Date]],15),IF(Main[[#This Row],[Class]]="A",WORKDAY(Main[[#This Row],[Tech Start Date]],5),""))))</f>
        <v/>
      </c>
      <c r="P527" s="69" t="str">
        <f>IF(Main[[#This Row],[Tech Start Date]]&lt;1/1/1990,"",IF(Main[[#This Row],[Class]]="C",WORKDAY(Main[[#This Row],[Tech Start Date]],28),IF(Main[[#This Row],[Class]]="B", WORKDAY(Main[[#This Row],[Tech Start Date]],19),IF(Main[[#This Row],[Class]]="A",WORKDAY(Main[[#This Row],[Tech Start Date]],9),""))))</f>
        <v/>
      </c>
      <c r="Q527" s="67">
        <v>40480</v>
      </c>
      <c r="R527" s="67"/>
      <c r="S527" s="65" t="s">
        <v>11</v>
      </c>
      <c r="T527" s="70" t="s">
        <v>4</v>
      </c>
      <c r="U527" s="65" t="s">
        <v>14</v>
      </c>
      <c r="V527" s="65" t="s">
        <v>1917</v>
      </c>
      <c r="W527" s="65" t="s">
        <v>1922</v>
      </c>
      <c r="X527" s="65" t="s">
        <v>2860</v>
      </c>
      <c r="Y527" s="65" t="s">
        <v>4</v>
      </c>
      <c r="Z527" s="65" t="s">
        <v>4</v>
      </c>
      <c r="AA527" s="65" t="s">
        <v>2860</v>
      </c>
    </row>
    <row r="528" spans="1:27" ht="17.45" hidden="1" customHeight="1">
      <c r="A528" s="100" t="str">
        <f>IF(priority(Main[[#This Row],[Comments]])&lt;&gt;0, priority(Main[[#This Row],[Comments]]),"")</f>
        <v/>
      </c>
      <c r="B528" s="77" t="s">
        <v>1481</v>
      </c>
      <c r="C528" s="65" t="s">
        <v>4</v>
      </c>
      <c r="D528" s="66" t="s">
        <v>39</v>
      </c>
      <c r="E528" s="67"/>
      <c r="F528" s="67"/>
      <c r="G528" s="64" t="str">
        <f>IF(stdProdLT(Main[[#This Row],[Comments]])=0.1,"N/A",IF(stdProdLT(Main[[#This Row],[Comments]])=0,"",stdProdLT(Main[[#This Row],[Comments]])))</f>
        <v/>
      </c>
      <c r="H528" s="68" t="str">
        <f>IF(AND(Main[[#This Row],[In Stock Date]]&lt;&gt;"",Main[[#This Row],[Revised Due Date]]&lt;&gt;""),Main[[#This Row],[In Stock Date]]-Main[[#This Row],[Revised Due Date]],"")</f>
        <v/>
      </c>
      <c r="I528" s="65" t="s">
        <v>4</v>
      </c>
      <c r="J528" s="65" t="s">
        <v>4</v>
      </c>
      <c r="K528" s="65" t="s">
        <v>4</v>
      </c>
      <c r="L528" s="67"/>
      <c r="M528" s="69" t="str">
        <f>IF(Main[[#This Row],[Tech Start Date]]&lt;1/1/1990,"",IF(Main[[#This Row],[Class]]="C",WORKDAY(Main[[#This Row],[Tech Start Date]],9),IF(Main[[#This Row],[Class]]="B", WORKDAY(Main[[#This Row],[Tech Start Date]],6),IF(Main[[#This Row],[Class]]="A",WORKDAY(Main[[#This Row],[Tech Start Date]],2),""))))</f>
        <v/>
      </c>
      <c r="N528" s="69" t="str">
        <f>IF(Main[[#This Row],[Tech Start Date]]&lt;1/1/1990,"",IF(Main[[#This Row],[Class]]="C",WORKDAY(Main[[#This Row],[Tech Start Date]],19),IF(Main[[#This Row],[Class]]="B", WORKDAY(Main[[#This Row],[Tech Start Date]],12),IF(Main[[#This Row],[Class]]="A",WORKDAY(Main[[#This Row],[Tech Start Date]],4),""))))</f>
        <v/>
      </c>
      <c r="O528" s="69" t="str">
        <f>IF(Main[[#This Row],[Tech Start Date]]&lt;1/1/1990,"",IF(Main[[#This Row],[Class]]="C",WORKDAY(Main[[#This Row],[Tech Start Date]],23),IF(Main[[#This Row],[Class]]="B", WORKDAY(Main[[#This Row],[Tech Start Date]],15),IF(Main[[#This Row],[Class]]="A",WORKDAY(Main[[#This Row],[Tech Start Date]],5),""))))</f>
        <v/>
      </c>
      <c r="P528" s="69" t="str">
        <f>IF(Main[[#This Row],[Tech Start Date]]&lt;1/1/1990,"",IF(Main[[#This Row],[Class]]="C",WORKDAY(Main[[#This Row],[Tech Start Date]],28),IF(Main[[#This Row],[Class]]="B", WORKDAY(Main[[#This Row],[Tech Start Date]],19),IF(Main[[#This Row],[Class]]="A",WORKDAY(Main[[#This Row],[Tech Start Date]],9),""))))</f>
        <v/>
      </c>
      <c r="Q528" s="67">
        <v>40669</v>
      </c>
      <c r="R528" s="67"/>
      <c r="S528" s="65" t="s">
        <v>6</v>
      </c>
      <c r="T528" s="70" t="s">
        <v>4</v>
      </c>
      <c r="U528" s="65" t="s">
        <v>14</v>
      </c>
      <c r="V528" s="65" t="s">
        <v>1917</v>
      </c>
      <c r="W528" s="65" t="s">
        <v>4</v>
      </c>
      <c r="X528" s="65" t="s">
        <v>2818</v>
      </c>
      <c r="Y528" s="65" t="s">
        <v>2929</v>
      </c>
      <c r="Z528" s="65" t="s">
        <v>4</v>
      </c>
      <c r="AA528" s="65" t="s">
        <v>2818</v>
      </c>
    </row>
    <row r="529" spans="1:27" ht="17.45" hidden="1" customHeight="1">
      <c r="A529" s="100" t="str">
        <f>IF(priority(Main[[#This Row],[Comments]])&lt;&gt;0, priority(Main[[#This Row],[Comments]]),"")</f>
        <v/>
      </c>
      <c r="B529" s="77" t="s">
        <v>1482</v>
      </c>
      <c r="C529" s="65" t="s">
        <v>564</v>
      </c>
      <c r="D529" s="66" t="s">
        <v>565</v>
      </c>
      <c r="E529" s="67"/>
      <c r="F529" s="67">
        <v>40168</v>
      </c>
      <c r="G529" s="64" t="str">
        <f>IF(stdProdLT(Main[[#This Row],[Comments]])=0.1,"N/A",IF(stdProdLT(Main[[#This Row],[Comments]])=0,"",stdProdLT(Main[[#This Row],[Comments]])))</f>
        <v/>
      </c>
      <c r="H529" s="68" t="str">
        <f>IF(AND(Main[[#This Row],[In Stock Date]]&lt;&gt;"",Main[[#This Row],[Revised Due Date]]&lt;&gt;""),Main[[#This Row],[In Stock Date]]-Main[[#This Row],[Revised Due Date]],"")</f>
        <v/>
      </c>
      <c r="I529" s="65" t="s">
        <v>4</v>
      </c>
      <c r="J529" s="65" t="s">
        <v>4</v>
      </c>
      <c r="K529" s="65" t="s">
        <v>4</v>
      </c>
      <c r="L529" s="67"/>
      <c r="M529" s="69" t="str">
        <f>IF(Main[[#This Row],[Tech Start Date]]&lt;1/1/1990,"",IF(Main[[#This Row],[Class]]="C",WORKDAY(Main[[#This Row],[Tech Start Date]],9),IF(Main[[#This Row],[Class]]="B", WORKDAY(Main[[#This Row],[Tech Start Date]],6),IF(Main[[#This Row],[Class]]="A",WORKDAY(Main[[#This Row],[Tech Start Date]],2),""))))</f>
        <v/>
      </c>
      <c r="N529" s="69" t="str">
        <f>IF(Main[[#This Row],[Tech Start Date]]&lt;1/1/1990,"",IF(Main[[#This Row],[Class]]="C",WORKDAY(Main[[#This Row],[Tech Start Date]],19),IF(Main[[#This Row],[Class]]="B", WORKDAY(Main[[#This Row],[Tech Start Date]],12),IF(Main[[#This Row],[Class]]="A",WORKDAY(Main[[#This Row],[Tech Start Date]],4),""))))</f>
        <v/>
      </c>
      <c r="O529" s="69" t="str">
        <f>IF(Main[[#This Row],[Tech Start Date]]&lt;1/1/1990,"",IF(Main[[#This Row],[Class]]="C",WORKDAY(Main[[#This Row],[Tech Start Date]],23),IF(Main[[#This Row],[Class]]="B", WORKDAY(Main[[#This Row],[Tech Start Date]],15),IF(Main[[#This Row],[Class]]="A",WORKDAY(Main[[#This Row],[Tech Start Date]],5),""))))</f>
        <v/>
      </c>
      <c r="P529" s="69" t="str">
        <f>IF(Main[[#This Row],[Tech Start Date]]&lt;1/1/1990,"",IF(Main[[#This Row],[Class]]="C",WORKDAY(Main[[#This Row],[Tech Start Date]],28),IF(Main[[#This Row],[Class]]="B", WORKDAY(Main[[#This Row],[Tech Start Date]],19),IF(Main[[#This Row],[Class]]="A",WORKDAY(Main[[#This Row],[Tech Start Date]],9),""))))</f>
        <v/>
      </c>
      <c r="Q529" s="67"/>
      <c r="R529" s="67"/>
      <c r="S529" s="65" t="s">
        <v>17</v>
      </c>
      <c r="T529" s="70" t="s">
        <v>4</v>
      </c>
      <c r="U529" s="65" t="s">
        <v>14</v>
      </c>
      <c r="V529" s="65" t="s">
        <v>1915</v>
      </c>
      <c r="W529" s="65" t="s">
        <v>4</v>
      </c>
      <c r="X529" s="65" t="s">
        <v>2861</v>
      </c>
      <c r="Y529" s="65" t="s">
        <v>4</v>
      </c>
      <c r="Z529" s="65" t="s">
        <v>4</v>
      </c>
      <c r="AA529" s="65" t="s">
        <v>4</v>
      </c>
    </row>
    <row r="530" spans="1:27" ht="17.45" hidden="1" customHeight="1">
      <c r="A530" s="100" t="str">
        <f>IF(priority(Main[[#This Row],[Comments]])&lt;&gt;0, priority(Main[[#This Row],[Comments]]),"")</f>
        <v/>
      </c>
      <c r="B530" s="77" t="s">
        <v>1483</v>
      </c>
      <c r="C530" s="65" t="s">
        <v>566</v>
      </c>
      <c r="D530" s="66" t="s">
        <v>567</v>
      </c>
      <c r="E530" s="67"/>
      <c r="F530" s="67">
        <v>40389</v>
      </c>
      <c r="G530" s="64" t="str">
        <f>IF(stdProdLT(Main[[#This Row],[Comments]])=0.1,"N/A",IF(stdProdLT(Main[[#This Row],[Comments]])=0,"",stdProdLT(Main[[#This Row],[Comments]])))</f>
        <v/>
      </c>
      <c r="H530" s="68" t="str">
        <f>IF(AND(Main[[#This Row],[In Stock Date]]&lt;&gt;"",Main[[#This Row],[Revised Due Date]]&lt;&gt;""),Main[[#This Row],[In Stock Date]]-Main[[#This Row],[Revised Due Date]],"")</f>
        <v/>
      </c>
      <c r="I530" s="65" t="s">
        <v>4</v>
      </c>
      <c r="J530" s="65" t="s">
        <v>75</v>
      </c>
      <c r="K530" s="65" t="s">
        <v>4</v>
      </c>
      <c r="L530" s="67"/>
      <c r="M530" s="69" t="str">
        <f>IF(Main[[#This Row],[Tech Start Date]]&lt;1/1/1990,"",IF(Main[[#This Row],[Class]]="C",WORKDAY(Main[[#This Row],[Tech Start Date]],9),IF(Main[[#This Row],[Class]]="B", WORKDAY(Main[[#This Row],[Tech Start Date]],6),IF(Main[[#This Row],[Class]]="A",WORKDAY(Main[[#This Row],[Tech Start Date]],2),""))))</f>
        <v/>
      </c>
      <c r="N530" s="69" t="str">
        <f>IF(Main[[#This Row],[Tech Start Date]]&lt;1/1/1990,"",IF(Main[[#This Row],[Class]]="C",WORKDAY(Main[[#This Row],[Tech Start Date]],19),IF(Main[[#This Row],[Class]]="B", WORKDAY(Main[[#This Row],[Tech Start Date]],12),IF(Main[[#This Row],[Class]]="A",WORKDAY(Main[[#This Row],[Tech Start Date]],4),""))))</f>
        <v/>
      </c>
      <c r="O530" s="69" t="str">
        <f>IF(Main[[#This Row],[Tech Start Date]]&lt;1/1/1990,"",IF(Main[[#This Row],[Class]]="C",WORKDAY(Main[[#This Row],[Tech Start Date]],23),IF(Main[[#This Row],[Class]]="B", WORKDAY(Main[[#This Row],[Tech Start Date]],15),IF(Main[[#This Row],[Class]]="A",WORKDAY(Main[[#This Row],[Tech Start Date]],5),""))))</f>
        <v/>
      </c>
      <c r="P530" s="69" t="str">
        <f>IF(Main[[#This Row],[Tech Start Date]]&lt;1/1/1990,"",IF(Main[[#This Row],[Class]]="C",WORKDAY(Main[[#This Row],[Tech Start Date]],28),IF(Main[[#This Row],[Class]]="B", WORKDAY(Main[[#This Row],[Tech Start Date]],19),IF(Main[[#This Row],[Class]]="A",WORKDAY(Main[[#This Row],[Tech Start Date]],9),""))))</f>
        <v/>
      </c>
      <c r="Q530" s="67">
        <v>40298</v>
      </c>
      <c r="R530" s="67"/>
      <c r="S530" s="65" t="s">
        <v>11</v>
      </c>
      <c r="T530" s="70" t="s">
        <v>4</v>
      </c>
      <c r="U530" s="65" t="s">
        <v>14</v>
      </c>
      <c r="V530" s="65" t="s">
        <v>1914</v>
      </c>
      <c r="W530" s="65" t="s">
        <v>1920</v>
      </c>
      <c r="X530" s="65" t="s">
        <v>2824</v>
      </c>
      <c r="Y530" s="65" t="s">
        <v>2943</v>
      </c>
      <c r="Z530" s="65" t="s">
        <v>306</v>
      </c>
      <c r="AA530" s="65" t="s">
        <v>2824</v>
      </c>
    </row>
    <row r="531" spans="1:27" ht="17.45" hidden="1" customHeight="1">
      <c r="A531" s="100" t="str">
        <f>IF(priority(Main[[#This Row],[Comments]])&lt;&gt;0, priority(Main[[#This Row],[Comments]]),"")</f>
        <v/>
      </c>
      <c r="B531" s="77" t="s">
        <v>1484</v>
      </c>
      <c r="C531" s="65" t="s">
        <v>93</v>
      </c>
      <c r="D531" s="66" t="s">
        <v>568</v>
      </c>
      <c r="E531" s="67"/>
      <c r="F531" s="67">
        <v>40132</v>
      </c>
      <c r="G531" s="64" t="str">
        <f>IF(stdProdLT(Main[[#This Row],[Comments]])=0.1,"N/A",IF(stdProdLT(Main[[#This Row],[Comments]])=0,"",stdProdLT(Main[[#This Row],[Comments]])))</f>
        <v/>
      </c>
      <c r="H531" s="68" t="str">
        <f>IF(AND(Main[[#This Row],[In Stock Date]]&lt;&gt;"",Main[[#This Row],[Revised Due Date]]&lt;&gt;""),Main[[#This Row],[In Stock Date]]-Main[[#This Row],[Revised Due Date]],"")</f>
        <v/>
      </c>
      <c r="I531" s="65" t="s">
        <v>4</v>
      </c>
      <c r="J531" s="65" t="s">
        <v>4</v>
      </c>
      <c r="K531" s="65" t="s">
        <v>4</v>
      </c>
      <c r="L531" s="67"/>
      <c r="M531" s="69" t="str">
        <f>IF(Main[[#This Row],[Tech Start Date]]&lt;1/1/1990,"",IF(Main[[#This Row],[Class]]="C",WORKDAY(Main[[#This Row],[Tech Start Date]],9),IF(Main[[#This Row],[Class]]="B", WORKDAY(Main[[#This Row],[Tech Start Date]],6),IF(Main[[#This Row],[Class]]="A",WORKDAY(Main[[#This Row],[Tech Start Date]],2),""))))</f>
        <v/>
      </c>
      <c r="N531" s="69" t="str">
        <f>IF(Main[[#This Row],[Tech Start Date]]&lt;1/1/1990,"",IF(Main[[#This Row],[Class]]="C",WORKDAY(Main[[#This Row],[Tech Start Date]],19),IF(Main[[#This Row],[Class]]="B", WORKDAY(Main[[#This Row],[Tech Start Date]],12),IF(Main[[#This Row],[Class]]="A",WORKDAY(Main[[#This Row],[Tech Start Date]],4),""))))</f>
        <v/>
      </c>
      <c r="O531" s="69" t="str">
        <f>IF(Main[[#This Row],[Tech Start Date]]&lt;1/1/1990,"",IF(Main[[#This Row],[Class]]="C",WORKDAY(Main[[#This Row],[Tech Start Date]],23),IF(Main[[#This Row],[Class]]="B", WORKDAY(Main[[#This Row],[Tech Start Date]],15),IF(Main[[#This Row],[Class]]="A",WORKDAY(Main[[#This Row],[Tech Start Date]],5),""))))</f>
        <v/>
      </c>
      <c r="P531" s="69" t="str">
        <f>IF(Main[[#This Row],[Tech Start Date]]&lt;1/1/1990,"",IF(Main[[#This Row],[Class]]="C",WORKDAY(Main[[#This Row],[Tech Start Date]],28),IF(Main[[#This Row],[Class]]="B", WORKDAY(Main[[#This Row],[Tech Start Date]],19),IF(Main[[#This Row],[Class]]="A",WORKDAY(Main[[#This Row],[Tech Start Date]],9),""))))</f>
        <v/>
      </c>
      <c r="Q531" s="67">
        <v>40132</v>
      </c>
      <c r="R531" s="67"/>
      <c r="S531" s="65" t="s">
        <v>11</v>
      </c>
      <c r="T531" s="70" t="s">
        <v>4</v>
      </c>
      <c r="U531" s="65" t="s">
        <v>14</v>
      </c>
      <c r="V531" s="65" t="s">
        <v>1924</v>
      </c>
      <c r="W531" s="65" t="s">
        <v>1925</v>
      </c>
      <c r="X531" s="65" t="s">
        <v>2856</v>
      </c>
      <c r="Y531" s="65" t="s">
        <v>4</v>
      </c>
      <c r="Z531" s="65" t="s">
        <v>4</v>
      </c>
      <c r="AA531" s="65" t="s">
        <v>2856</v>
      </c>
    </row>
    <row r="532" spans="1:27" ht="17.45" hidden="1" customHeight="1">
      <c r="A532" s="100" t="str">
        <f>IF(priority(Main[[#This Row],[Comments]])&lt;&gt;0, priority(Main[[#This Row],[Comments]]),"")</f>
        <v/>
      </c>
      <c r="B532" s="77" t="s">
        <v>1485</v>
      </c>
      <c r="C532" s="65" t="s">
        <v>93</v>
      </c>
      <c r="D532" s="66" t="s">
        <v>569</v>
      </c>
      <c r="E532" s="67"/>
      <c r="F532" s="67">
        <v>40132</v>
      </c>
      <c r="G532" s="64" t="str">
        <f>IF(stdProdLT(Main[[#This Row],[Comments]])=0.1,"N/A",IF(stdProdLT(Main[[#This Row],[Comments]])=0,"",stdProdLT(Main[[#This Row],[Comments]])))</f>
        <v/>
      </c>
      <c r="H532" s="68" t="str">
        <f>IF(AND(Main[[#This Row],[In Stock Date]]&lt;&gt;"",Main[[#This Row],[Revised Due Date]]&lt;&gt;""),Main[[#This Row],[In Stock Date]]-Main[[#This Row],[Revised Due Date]],"")</f>
        <v/>
      </c>
      <c r="I532" s="65" t="s">
        <v>4</v>
      </c>
      <c r="J532" s="65" t="s">
        <v>4</v>
      </c>
      <c r="K532" s="71" t="s">
        <v>4</v>
      </c>
      <c r="L532" s="67"/>
      <c r="M532" s="69" t="str">
        <f>IF(Main[[#This Row],[Tech Start Date]]&lt;1/1/1990,"",IF(Main[[#This Row],[Class]]="C",WORKDAY(Main[[#This Row],[Tech Start Date]],9),IF(Main[[#This Row],[Class]]="B", WORKDAY(Main[[#This Row],[Tech Start Date]],6),IF(Main[[#This Row],[Class]]="A",WORKDAY(Main[[#This Row],[Tech Start Date]],2),""))))</f>
        <v/>
      </c>
      <c r="N532" s="69" t="str">
        <f>IF(Main[[#This Row],[Tech Start Date]]&lt;1/1/1990,"",IF(Main[[#This Row],[Class]]="C",WORKDAY(Main[[#This Row],[Tech Start Date]],19),IF(Main[[#This Row],[Class]]="B", WORKDAY(Main[[#This Row],[Tech Start Date]],12),IF(Main[[#This Row],[Class]]="A",WORKDAY(Main[[#This Row],[Tech Start Date]],4),""))))</f>
        <v/>
      </c>
      <c r="O532" s="69" t="str">
        <f>IF(Main[[#This Row],[Tech Start Date]]&lt;1/1/1990,"",IF(Main[[#This Row],[Class]]="C",WORKDAY(Main[[#This Row],[Tech Start Date]],23),IF(Main[[#This Row],[Class]]="B", WORKDAY(Main[[#This Row],[Tech Start Date]],15),IF(Main[[#This Row],[Class]]="A",WORKDAY(Main[[#This Row],[Tech Start Date]],5),""))))</f>
        <v/>
      </c>
      <c r="P532" s="69" t="str">
        <f>IF(Main[[#This Row],[Tech Start Date]]&lt;1/1/1990,"",IF(Main[[#This Row],[Class]]="C",WORKDAY(Main[[#This Row],[Tech Start Date]],28),IF(Main[[#This Row],[Class]]="B", WORKDAY(Main[[#This Row],[Tech Start Date]],19),IF(Main[[#This Row],[Class]]="A",WORKDAY(Main[[#This Row],[Tech Start Date]],9),""))))</f>
        <v/>
      </c>
      <c r="Q532" s="67">
        <v>40132</v>
      </c>
      <c r="R532" s="67"/>
      <c r="S532" s="65" t="s">
        <v>11</v>
      </c>
      <c r="T532" s="70" t="s">
        <v>4</v>
      </c>
      <c r="U532" s="65" t="s">
        <v>14</v>
      </c>
      <c r="V532" s="65" t="s">
        <v>1924</v>
      </c>
      <c r="W532" s="65" t="s">
        <v>1925</v>
      </c>
      <c r="X532" s="65" t="s">
        <v>2856</v>
      </c>
      <c r="Y532" s="65" t="s">
        <v>4</v>
      </c>
      <c r="Z532" s="65" t="s">
        <v>4</v>
      </c>
      <c r="AA532" s="65" t="s">
        <v>2856</v>
      </c>
    </row>
    <row r="533" spans="1:27" ht="17.45" hidden="1" customHeight="1">
      <c r="A533" s="100" t="str">
        <f>IF(priority(Main[[#This Row],[Comments]])&lt;&gt;0, priority(Main[[#This Row],[Comments]]),"")</f>
        <v/>
      </c>
      <c r="B533" s="77" t="s">
        <v>1486</v>
      </c>
      <c r="C533" s="65" t="s">
        <v>465</v>
      </c>
      <c r="D533" s="66" t="s">
        <v>570</v>
      </c>
      <c r="E533" s="67"/>
      <c r="F533" s="67">
        <v>40179</v>
      </c>
      <c r="G533" s="64" t="str">
        <f>IF(stdProdLT(Main[[#This Row],[Comments]])=0.1,"N/A",IF(stdProdLT(Main[[#This Row],[Comments]])=0,"",stdProdLT(Main[[#This Row],[Comments]])))</f>
        <v/>
      </c>
      <c r="H533" s="68" t="str">
        <f>IF(AND(Main[[#This Row],[In Stock Date]]&lt;&gt;"",Main[[#This Row],[Revised Due Date]]&lt;&gt;""),Main[[#This Row],[In Stock Date]]-Main[[#This Row],[Revised Due Date]],"")</f>
        <v/>
      </c>
      <c r="I533" s="65" t="s">
        <v>4</v>
      </c>
      <c r="J533" s="65" t="s">
        <v>4</v>
      </c>
      <c r="K533" s="65" t="s">
        <v>4</v>
      </c>
      <c r="L533" s="67"/>
      <c r="M533" s="69" t="str">
        <f>IF(Main[[#This Row],[Tech Start Date]]&lt;1/1/1990,"",IF(Main[[#This Row],[Class]]="C",WORKDAY(Main[[#This Row],[Tech Start Date]],9),IF(Main[[#This Row],[Class]]="B", WORKDAY(Main[[#This Row],[Tech Start Date]],6),IF(Main[[#This Row],[Class]]="A",WORKDAY(Main[[#This Row],[Tech Start Date]],2),""))))</f>
        <v/>
      </c>
      <c r="N533" s="69" t="str">
        <f>IF(Main[[#This Row],[Tech Start Date]]&lt;1/1/1990,"",IF(Main[[#This Row],[Class]]="C",WORKDAY(Main[[#This Row],[Tech Start Date]],19),IF(Main[[#This Row],[Class]]="B", WORKDAY(Main[[#This Row],[Tech Start Date]],12),IF(Main[[#This Row],[Class]]="A",WORKDAY(Main[[#This Row],[Tech Start Date]],4),""))))</f>
        <v/>
      </c>
      <c r="O533" s="69" t="str">
        <f>IF(Main[[#This Row],[Tech Start Date]]&lt;1/1/1990,"",IF(Main[[#This Row],[Class]]="C",WORKDAY(Main[[#This Row],[Tech Start Date]],23),IF(Main[[#This Row],[Class]]="B", WORKDAY(Main[[#This Row],[Tech Start Date]],15),IF(Main[[#This Row],[Class]]="A",WORKDAY(Main[[#This Row],[Tech Start Date]],5),""))))</f>
        <v/>
      </c>
      <c r="P533" s="69" t="str">
        <f>IF(Main[[#This Row],[Tech Start Date]]&lt;1/1/1990,"",IF(Main[[#This Row],[Class]]="C",WORKDAY(Main[[#This Row],[Tech Start Date]],28),IF(Main[[#This Row],[Class]]="B", WORKDAY(Main[[#This Row],[Tech Start Date]],19),IF(Main[[#This Row],[Class]]="A",WORKDAY(Main[[#This Row],[Tech Start Date]],9),""))))</f>
        <v/>
      </c>
      <c r="Q533" s="67">
        <v>40164</v>
      </c>
      <c r="R533" s="67"/>
      <c r="S533" s="65" t="s">
        <v>11</v>
      </c>
      <c r="T533" s="70" t="s">
        <v>4</v>
      </c>
      <c r="U533" s="65" t="s">
        <v>14</v>
      </c>
      <c r="V533" s="65" t="s">
        <v>1917</v>
      </c>
      <c r="W533" s="65" t="s">
        <v>1920</v>
      </c>
      <c r="X533" s="65" t="s">
        <v>2863</v>
      </c>
      <c r="Y533" s="65" t="s">
        <v>4</v>
      </c>
      <c r="Z533" s="65" t="s">
        <v>4</v>
      </c>
      <c r="AA533" s="65" t="s">
        <v>2863</v>
      </c>
    </row>
    <row r="534" spans="1:27" ht="17.45" hidden="1" customHeight="1">
      <c r="A534" s="100" t="str">
        <f>IF(priority(Main[[#This Row],[Comments]])&lt;&gt;0, priority(Main[[#This Row],[Comments]]),"")</f>
        <v/>
      </c>
      <c r="B534" s="77" t="s">
        <v>1144</v>
      </c>
      <c r="C534" s="65" t="s">
        <v>4</v>
      </c>
      <c r="D534" s="66" t="s">
        <v>199</v>
      </c>
      <c r="E534" s="67"/>
      <c r="F534" s="67"/>
      <c r="G534" s="64" t="str">
        <f>IF(stdProdLT(Main[[#This Row],[Comments]])=0.1,"N/A",IF(stdProdLT(Main[[#This Row],[Comments]])=0,"",stdProdLT(Main[[#This Row],[Comments]])))</f>
        <v/>
      </c>
      <c r="H534" s="68" t="str">
        <f>IF(AND(Main[[#This Row],[In Stock Date]]&lt;&gt;"",Main[[#This Row],[Revised Due Date]]&lt;&gt;""),Main[[#This Row],[In Stock Date]]-Main[[#This Row],[Revised Due Date]],"")</f>
        <v/>
      </c>
      <c r="I534" s="65" t="s">
        <v>4</v>
      </c>
      <c r="J534" s="65" t="s">
        <v>4</v>
      </c>
      <c r="K534" s="65" t="s">
        <v>4</v>
      </c>
      <c r="L534" s="67"/>
      <c r="M534" s="69" t="str">
        <f>IF(Main[[#This Row],[Tech Start Date]]&lt;1/1/1990,"",IF(Main[[#This Row],[Class]]="C",WORKDAY(Main[[#This Row],[Tech Start Date]],9),IF(Main[[#This Row],[Class]]="B", WORKDAY(Main[[#This Row],[Tech Start Date]],6),IF(Main[[#This Row],[Class]]="A",WORKDAY(Main[[#This Row],[Tech Start Date]],2),""))))</f>
        <v/>
      </c>
      <c r="N534" s="69" t="str">
        <f>IF(Main[[#This Row],[Tech Start Date]]&lt;1/1/1990,"",IF(Main[[#This Row],[Class]]="C",WORKDAY(Main[[#This Row],[Tech Start Date]],19),IF(Main[[#This Row],[Class]]="B", WORKDAY(Main[[#This Row],[Tech Start Date]],12),IF(Main[[#This Row],[Class]]="A",WORKDAY(Main[[#This Row],[Tech Start Date]],4),""))))</f>
        <v/>
      </c>
      <c r="O534" s="69" t="str">
        <f>IF(Main[[#This Row],[Tech Start Date]]&lt;1/1/1990,"",IF(Main[[#This Row],[Class]]="C",WORKDAY(Main[[#This Row],[Tech Start Date]],23),IF(Main[[#This Row],[Class]]="B", WORKDAY(Main[[#This Row],[Tech Start Date]],15),IF(Main[[#This Row],[Class]]="A",WORKDAY(Main[[#This Row],[Tech Start Date]],5),""))))</f>
        <v/>
      </c>
      <c r="P534" s="69" t="str">
        <f>IF(Main[[#This Row],[Tech Start Date]]&lt;1/1/1990,"",IF(Main[[#This Row],[Class]]="C",WORKDAY(Main[[#This Row],[Tech Start Date]],28),IF(Main[[#This Row],[Class]]="B", WORKDAY(Main[[#This Row],[Tech Start Date]],19),IF(Main[[#This Row],[Class]]="A",WORKDAY(Main[[#This Row],[Tech Start Date]],9),""))))</f>
        <v/>
      </c>
      <c r="Q534" s="67">
        <v>40597</v>
      </c>
      <c r="R534" s="67"/>
      <c r="S534" s="65" t="s">
        <v>49</v>
      </c>
      <c r="T534" s="70" t="s">
        <v>4</v>
      </c>
      <c r="U534" s="65" t="s">
        <v>12</v>
      </c>
      <c r="V534" s="65" t="s">
        <v>1915</v>
      </c>
      <c r="W534" s="65" t="s">
        <v>1916</v>
      </c>
      <c r="X534" s="65" t="s">
        <v>561</v>
      </c>
      <c r="Y534" s="65" t="s">
        <v>3056</v>
      </c>
      <c r="Z534" s="65" t="s">
        <v>4</v>
      </c>
      <c r="AA534" s="65" t="s">
        <v>561</v>
      </c>
    </row>
    <row r="535" spans="1:27" ht="17.45" customHeight="1">
      <c r="A535" s="100">
        <f>IF(priority(Main[[#This Row],[Comments]])&lt;&gt;0, priority(Main[[#This Row],[Comments]]),"")</f>
        <v>8</v>
      </c>
      <c r="B535" s="77" t="s">
        <v>3724</v>
      </c>
      <c r="C535" s="65" t="s">
        <v>95</v>
      </c>
      <c r="D535" s="66" t="s">
        <v>3725</v>
      </c>
      <c r="E535" s="67">
        <v>40959.551469907405</v>
      </c>
      <c r="F535" s="67">
        <v>40967</v>
      </c>
      <c r="G535" s="64" t="str">
        <f>IF(stdProdLT(Main[[#This Row],[Comments]])=0.1,"N/A",IF(stdProdLT(Main[[#This Row],[Comments]])=0,"",stdProdLT(Main[[#This Row],[Comments]])))</f>
        <v>N/A</v>
      </c>
      <c r="H535" s="68">
        <f>IF(AND(Main[[#This Row],[In Stock Date]]&lt;&gt;"",Main[[#This Row],[Revised Due Date]]&lt;&gt;""),Main[[#This Row],[In Stock Date]]-Main[[#This Row],[Revised Due Date]],"")</f>
        <v>0</v>
      </c>
      <c r="I535" s="65" t="s">
        <v>126</v>
      </c>
      <c r="J535" s="65" t="s">
        <v>21</v>
      </c>
      <c r="K535" s="65" t="s">
        <v>1923</v>
      </c>
      <c r="L535" s="67"/>
      <c r="M535" s="69" t="str">
        <f>IF(Main[[#This Row],[Tech Start Date]]&lt;1/1/1990,"",IF(Main[[#This Row],[Class]]="C",WORKDAY(Main[[#This Row],[Tech Start Date]],9),IF(Main[[#This Row],[Class]]="B", WORKDAY(Main[[#This Row],[Tech Start Date]],6),IF(Main[[#This Row],[Class]]="A",WORKDAY(Main[[#This Row],[Tech Start Date]],2),""))))</f>
        <v/>
      </c>
      <c r="N535" s="69" t="str">
        <f>IF(Main[[#This Row],[Tech Start Date]]&lt;1/1/1990,"",IF(Main[[#This Row],[Class]]="C",WORKDAY(Main[[#This Row],[Tech Start Date]],19),IF(Main[[#This Row],[Class]]="B", WORKDAY(Main[[#This Row],[Tech Start Date]],12),IF(Main[[#This Row],[Class]]="A",WORKDAY(Main[[#This Row],[Tech Start Date]],4),""))))</f>
        <v/>
      </c>
      <c r="O535" s="69" t="str">
        <f>IF(Main[[#This Row],[Tech Start Date]]&lt;1/1/1990,"",IF(Main[[#This Row],[Class]]="C",WORKDAY(Main[[#This Row],[Tech Start Date]],23),IF(Main[[#This Row],[Class]]="B", WORKDAY(Main[[#This Row],[Tech Start Date]],15),IF(Main[[#This Row],[Class]]="A",WORKDAY(Main[[#This Row],[Tech Start Date]],5),""))))</f>
        <v/>
      </c>
      <c r="P535" s="69" t="str">
        <f>IF(Main[[#This Row],[Tech Start Date]]&lt;1/1/1990,"",IF(Main[[#This Row],[Class]]="C",WORKDAY(Main[[#This Row],[Tech Start Date]],28),IF(Main[[#This Row],[Class]]="B", WORKDAY(Main[[#This Row],[Tech Start Date]],19),IF(Main[[#This Row],[Class]]="A",WORKDAY(Main[[#This Row],[Tech Start Date]],9),""))))</f>
        <v/>
      </c>
      <c r="Q535" s="67">
        <v>40976</v>
      </c>
      <c r="R535" s="67">
        <v>40967</v>
      </c>
      <c r="S535" s="65" t="s">
        <v>11</v>
      </c>
      <c r="T535" s="70" t="s">
        <v>3678</v>
      </c>
      <c r="U535" s="65" t="s">
        <v>29</v>
      </c>
      <c r="V535" s="65" t="s">
        <v>1914</v>
      </c>
      <c r="W535" s="65" t="s">
        <v>1916</v>
      </c>
      <c r="X535" s="65" t="s">
        <v>2852</v>
      </c>
      <c r="Y535" s="65" t="s">
        <v>2990</v>
      </c>
      <c r="Z535" s="65" t="s">
        <v>129</v>
      </c>
      <c r="AA535" s="65" t="s">
        <v>2852</v>
      </c>
    </row>
    <row r="536" spans="1:27" ht="17.45" hidden="1" customHeight="1">
      <c r="A536" s="100">
        <f>IF(priority(Main[[#This Row],[Comments]])&lt;&gt;0, priority(Main[[#This Row],[Comments]]),"")</f>
        <v>26</v>
      </c>
      <c r="B536" s="77" t="s">
        <v>1460</v>
      </c>
      <c r="C536" s="65" t="s">
        <v>4</v>
      </c>
      <c r="D536" s="66" t="s">
        <v>2312</v>
      </c>
      <c r="E536" s="67">
        <v>40702.622164351851</v>
      </c>
      <c r="F536" s="67"/>
      <c r="G536" s="64" t="str">
        <f>IF(stdProdLT(Main[[#This Row],[Comments]])=0.1,"N/A",IF(stdProdLT(Main[[#This Row],[Comments]])=0,"",stdProdLT(Main[[#This Row],[Comments]])))</f>
        <v>N/A</v>
      </c>
      <c r="H536" s="68" t="str">
        <f>IF(AND(Main[[#This Row],[In Stock Date]]&lt;&gt;"",Main[[#This Row],[Revised Due Date]]&lt;&gt;""),Main[[#This Row],[In Stock Date]]-Main[[#This Row],[Revised Due Date]],"")</f>
        <v/>
      </c>
      <c r="I536" s="65" t="s">
        <v>912</v>
      </c>
      <c r="J536" s="65" t="s">
        <v>52</v>
      </c>
      <c r="K536" s="65" t="s">
        <v>4</v>
      </c>
      <c r="L536" s="67"/>
      <c r="M536" s="69" t="str">
        <f>IF(Main[[#This Row],[Tech Start Date]]&lt;1/1/1990,"",IF(Main[[#This Row],[Class]]="C",WORKDAY(Main[[#This Row],[Tech Start Date]],9),IF(Main[[#This Row],[Class]]="B", WORKDAY(Main[[#This Row],[Tech Start Date]],6),IF(Main[[#This Row],[Class]]="A",WORKDAY(Main[[#This Row],[Tech Start Date]],2),""))))</f>
        <v/>
      </c>
      <c r="N536" s="69" t="str">
        <f>IF(Main[[#This Row],[Tech Start Date]]&lt;1/1/1990,"",IF(Main[[#This Row],[Class]]="C",WORKDAY(Main[[#This Row],[Tech Start Date]],19),IF(Main[[#This Row],[Class]]="B", WORKDAY(Main[[#This Row],[Tech Start Date]],12),IF(Main[[#This Row],[Class]]="A",WORKDAY(Main[[#This Row],[Tech Start Date]],4),""))))</f>
        <v/>
      </c>
      <c r="O536" s="69" t="str">
        <f>IF(Main[[#This Row],[Tech Start Date]]&lt;1/1/1990,"",IF(Main[[#This Row],[Class]]="C",WORKDAY(Main[[#This Row],[Tech Start Date]],23),IF(Main[[#This Row],[Class]]="B", WORKDAY(Main[[#This Row],[Tech Start Date]],15),IF(Main[[#This Row],[Class]]="A",WORKDAY(Main[[#This Row],[Tech Start Date]],5),""))))</f>
        <v/>
      </c>
      <c r="P536" s="69" t="str">
        <f>IF(Main[[#This Row],[Tech Start Date]]&lt;1/1/1990,"",IF(Main[[#This Row],[Class]]="C",WORKDAY(Main[[#This Row],[Tech Start Date]],28),IF(Main[[#This Row],[Class]]="B", WORKDAY(Main[[#This Row],[Tech Start Date]],19),IF(Main[[#This Row],[Class]]="A",WORKDAY(Main[[#This Row],[Tech Start Date]],9),""))))</f>
        <v/>
      </c>
      <c r="Q536" s="67"/>
      <c r="R536" s="67">
        <v>40756</v>
      </c>
      <c r="S536" s="65" t="s">
        <v>6</v>
      </c>
      <c r="T536" s="70" t="s">
        <v>2260</v>
      </c>
      <c r="U536" s="65" t="s">
        <v>29</v>
      </c>
      <c r="V536" s="65" t="s">
        <v>1914</v>
      </c>
      <c r="W536" s="65" t="s">
        <v>1918</v>
      </c>
      <c r="X536" s="65" t="s">
        <v>912</v>
      </c>
      <c r="Y536" s="65" t="s">
        <v>3057</v>
      </c>
      <c r="Z536" s="65" t="s">
        <v>4</v>
      </c>
      <c r="AA536" s="65" t="s">
        <v>912</v>
      </c>
    </row>
    <row r="537" spans="1:27" ht="17.45" hidden="1" customHeight="1">
      <c r="A537" s="100" t="str">
        <f>IF(priority(Main[[#This Row],[Comments]])&lt;&gt;0, priority(Main[[#This Row],[Comments]]),"")</f>
        <v/>
      </c>
      <c r="B537" s="77" t="s">
        <v>1541</v>
      </c>
      <c r="C537" s="65" t="s">
        <v>4</v>
      </c>
      <c r="D537" s="66" t="s">
        <v>575</v>
      </c>
      <c r="E537" s="67"/>
      <c r="F537" s="67"/>
      <c r="G537" s="64" t="str">
        <f>IF(stdProdLT(Main[[#This Row],[Comments]])=0.1,"N/A",IF(stdProdLT(Main[[#This Row],[Comments]])=0,"",stdProdLT(Main[[#This Row],[Comments]])))</f>
        <v/>
      </c>
      <c r="H537" s="68" t="str">
        <f>IF(AND(Main[[#This Row],[In Stock Date]]&lt;&gt;"",Main[[#This Row],[Revised Due Date]]&lt;&gt;""),Main[[#This Row],[In Stock Date]]-Main[[#This Row],[Revised Due Date]],"")</f>
        <v/>
      </c>
      <c r="I537" s="65" t="s">
        <v>4</v>
      </c>
      <c r="J537" s="65" t="s">
        <v>4</v>
      </c>
      <c r="K537" s="65" t="s">
        <v>4</v>
      </c>
      <c r="L537" s="67"/>
      <c r="M537" s="69" t="str">
        <f>IF(Main[[#This Row],[Tech Start Date]]&lt;1/1/1990,"",IF(Main[[#This Row],[Class]]="C",WORKDAY(Main[[#This Row],[Tech Start Date]],9),IF(Main[[#This Row],[Class]]="B", WORKDAY(Main[[#This Row],[Tech Start Date]],6),IF(Main[[#This Row],[Class]]="A",WORKDAY(Main[[#This Row],[Tech Start Date]],2),""))))</f>
        <v/>
      </c>
      <c r="N537" s="69" t="str">
        <f>IF(Main[[#This Row],[Tech Start Date]]&lt;1/1/1990,"",IF(Main[[#This Row],[Class]]="C",WORKDAY(Main[[#This Row],[Tech Start Date]],19),IF(Main[[#This Row],[Class]]="B", WORKDAY(Main[[#This Row],[Tech Start Date]],12),IF(Main[[#This Row],[Class]]="A",WORKDAY(Main[[#This Row],[Tech Start Date]],4),""))))</f>
        <v/>
      </c>
      <c r="O537" s="69" t="str">
        <f>IF(Main[[#This Row],[Tech Start Date]]&lt;1/1/1990,"",IF(Main[[#This Row],[Class]]="C",WORKDAY(Main[[#This Row],[Tech Start Date]],23),IF(Main[[#This Row],[Class]]="B", WORKDAY(Main[[#This Row],[Tech Start Date]],15),IF(Main[[#This Row],[Class]]="A",WORKDAY(Main[[#This Row],[Tech Start Date]],5),""))))</f>
        <v/>
      </c>
      <c r="P537" s="69" t="str">
        <f>IF(Main[[#This Row],[Tech Start Date]]&lt;1/1/1990,"",IF(Main[[#This Row],[Class]]="C",WORKDAY(Main[[#This Row],[Tech Start Date]],28),IF(Main[[#This Row],[Class]]="B", WORKDAY(Main[[#This Row],[Tech Start Date]],19),IF(Main[[#This Row],[Class]]="A",WORKDAY(Main[[#This Row],[Tech Start Date]],9),""))))</f>
        <v/>
      </c>
      <c r="Q537" s="67">
        <v>40165</v>
      </c>
      <c r="R537" s="67"/>
      <c r="S537" s="65" t="s">
        <v>11</v>
      </c>
      <c r="T537" s="70" t="s">
        <v>4</v>
      </c>
      <c r="U537" s="65" t="s">
        <v>14</v>
      </c>
      <c r="V537" s="65" t="s">
        <v>1915</v>
      </c>
      <c r="W537" s="65" t="s">
        <v>1919</v>
      </c>
      <c r="X537" s="65" t="s">
        <v>2053</v>
      </c>
      <c r="Y537" s="65" t="s">
        <v>3058</v>
      </c>
      <c r="Z537" s="65" t="s">
        <v>4</v>
      </c>
      <c r="AA537" s="65" t="s">
        <v>2053</v>
      </c>
    </row>
    <row r="538" spans="1:27" ht="17.45" hidden="1" customHeight="1">
      <c r="A538" s="100" t="str">
        <f>IF(priority(Main[[#This Row],[Comments]])&lt;&gt;0, priority(Main[[#This Row],[Comments]]),"")</f>
        <v/>
      </c>
      <c r="B538" s="77" t="s">
        <v>1816</v>
      </c>
      <c r="C538" s="65" t="s">
        <v>72</v>
      </c>
      <c r="D538" s="66" t="s">
        <v>866</v>
      </c>
      <c r="E538" s="67"/>
      <c r="F538" s="67">
        <v>40148</v>
      </c>
      <c r="G538" s="64" t="str">
        <f>IF(stdProdLT(Main[[#This Row],[Comments]])=0.1,"N/A",IF(stdProdLT(Main[[#This Row],[Comments]])=0,"",stdProdLT(Main[[#This Row],[Comments]])))</f>
        <v/>
      </c>
      <c r="H538" s="68">
        <f>IF(AND(Main[[#This Row],[In Stock Date]]&lt;&gt;"",Main[[#This Row],[Revised Due Date]]&lt;&gt;""),Main[[#This Row],[In Stock Date]]-Main[[#This Row],[Revised Due Date]],"")</f>
        <v>-143</v>
      </c>
      <c r="I538" s="65" t="s">
        <v>4</v>
      </c>
      <c r="J538" s="65" t="s">
        <v>4</v>
      </c>
      <c r="K538" s="65" t="s">
        <v>4</v>
      </c>
      <c r="L538" s="67"/>
      <c r="M538" s="69" t="str">
        <f>IF(Main[[#This Row],[Tech Start Date]]&lt;1/1/1990,"",IF(Main[[#This Row],[Class]]="C",WORKDAY(Main[[#This Row],[Tech Start Date]],9),IF(Main[[#This Row],[Class]]="B", WORKDAY(Main[[#This Row],[Tech Start Date]],6),IF(Main[[#This Row],[Class]]="A",WORKDAY(Main[[#This Row],[Tech Start Date]],2),""))))</f>
        <v/>
      </c>
      <c r="N538" s="69" t="str">
        <f>IF(Main[[#This Row],[Tech Start Date]]&lt;1/1/1990,"",IF(Main[[#This Row],[Class]]="C",WORKDAY(Main[[#This Row],[Tech Start Date]],19),IF(Main[[#This Row],[Class]]="B", WORKDAY(Main[[#This Row],[Tech Start Date]],12),IF(Main[[#This Row],[Class]]="A",WORKDAY(Main[[#This Row],[Tech Start Date]],4),""))))</f>
        <v/>
      </c>
      <c r="O538" s="69" t="str">
        <f>IF(Main[[#This Row],[Tech Start Date]]&lt;1/1/1990,"",IF(Main[[#This Row],[Class]]="C",WORKDAY(Main[[#This Row],[Tech Start Date]],23),IF(Main[[#This Row],[Class]]="B", WORKDAY(Main[[#This Row],[Tech Start Date]],15),IF(Main[[#This Row],[Class]]="A",WORKDAY(Main[[#This Row],[Tech Start Date]],5),""))))</f>
        <v/>
      </c>
      <c r="P538" s="69" t="str">
        <f>IF(Main[[#This Row],[Tech Start Date]]&lt;1/1/1990,"",IF(Main[[#This Row],[Class]]="C",WORKDAY(Main[[#This Row],[Tech Start Date]],28),IF(Main[[#This Row],[Class]]="B", WORKDAY(Main[[#This Row],[Tech Start Date]],19),IF(Main[[#This Row],[Class]]="A",WORKDAY(Main[[#This Row],[Tech Start Date]],9),""))))</f>
        <v/>
      </c>
      <c r="Q538" s="67">
        <v>40080</v>
      </c>
      <c r="R538" s="67">
        <v>40291</v>
      </c>
      <c r="S538" s="65" t="s">
        <v>6</v>
      </c>
      <c r="T538" s="70" t="s">
        <v>4</v>
      </c>
      <c r="U538" s="65" t="s">
        <v>14</v>
      </c>
      <c r="V538" s="65" t="s">
        <v>1915</v>
      </c>
      <c r="W538" s="65" t="s">
        <v>1922</v>
      </c>
      <c r="X538" s="65" t="s">
        <v>2824</v>
      </c>
      <c r="Y538" s="65" t="s">
        <v>2943</v>
      </c>
      <c r="Z538" s="65" t="s">
        <v>4</v>
      </c>
      <c r="AA538" s="65" t="s">
        <v>2824</v>
      </c>
    </row>
    <row r="539" spans="1:27" ht="17.45" hidden="1" customHeight="1">
      <c r="A539" s="100" t="str">
        <f>IF(priority(Main[[#This Row],[Comments]])&lt;&gt;0, priority(Main[[#This Row],[Comments]]),"")</f>
        <v/>
      </c>
      <c r="B539" s="77" t="s">
        <v>1489</v>
      </c>
      <c r="C539" s="65" t="s">
        <v>4</v>
      </c>
      <c r="D539" s="66" t="s">
        <v>620</v>
      </c>
      <c r="E539" s="67">
        <v>40549.433692129627</v>
      </c>
      <c r="F539" s="67"/>
      <c r="G539" s="64" t="str">
        <f>IF(stdProdLT(Main[[#This Row],[Comments]])=0.1,"N/A",IF(stdProdLT(Main[[#This Row],[Comments]])=0,"",stdProdLT(Main[[#This Row],[Comments]])))</f>
        <v/>
      </c>
      <c r="H539" s="68" t="str">
        <f>IF(AND(Main[[#This Row],[In Stock Date]]&lt;&gt;"",Main[[#This Row],[Revised Due Date]]&lt;&gt;""),Main[[#This Row],[In Stock Date]]-Main[[#This Row],[Revised Due Date]],"")</f>
        <v/>
      </c>
      <c r="I539" s="65" t="s">
        <v>4</v>
      </c>
      <c r="J539" s="65" t="s">
        <v>4</v>
      </c>
      <c r="K539" s="65" t="s">
        <v>4</v>
      </c>
      <c r="L539" s="67"/>
      <c r="M539" s="69" t="str">
        <f>IF(Main[[#This Row],[Tech Start Date]]&lt;1/1/1990,"",IF(Main[[#This Row],[Class]]="C",WORKDAY(Main[[#This Row],[Tech Start Date]],9),IF(Main[[#This Row],[Class]]="B", WORKDAY(Main[[#This Row],[Tech Start Date]],6),IF(Main[[#This Row],[Class]]="A",WORKDAY(Main[[#This Row],[Tech Start Date]],2),""))))</f>
        <v/>
      </c>
      <c r="N539" s="69" t="str">
        <f>IF(Main[[#This Row],[Tech Start Date]]&lt;1/1/1990,"",IF(Main[[#This Row],[Class]]="C",WORKDAY(Main[[#This Row],[Tech Start Date]],19),IF(Main[[#This Row],[Class]]="B", WORKDAY(Main[[#This Row],[Tech Start Date]],12),IF(Main[[#This Row],[Class]]="A",WORKDAY(Main[[#This Row],[Tech Start Date]],4),""))))</f>
        <v/>
      </c>
      <c r="O539" s="69" t="str">
        <f>IF(Main[[#This Row],[Tech Start Date]]&lt;1/1/1990,"",IF(Main[[#This Row],[Class]]="C",WORKDAY(Main[[#This Row],[Tech Start Date]],23),IF(Main[[#This Row],[Class]]="B", WORKDAY(Main[[#This Row],[Tech Start Date]],15),IF(Main[[#This Row],[Class]]="A",WORKDAY(Main[[#This Row],[Tech Start Date]],5),""))))</f>
        <v/>
      </c>
      <c r="P539" s="69" t="str">
        <f>IF(Main[[#This Row],[Tech Start Date]]&lt;1/1/1990,"",IF(Main[[#This Row],[Class]]="C",WORKDAY(Main[[#This Row],[Tech Start Date]],28),IF(Main[[#This Row],[Class]]="B", WORKDAY(Main[[#This Row],[Tech Start Date]],19),IF(Main[[#This Row],[Class]]="A",WORKDAY(Main[[#This Row],[Tech Start Date]],9),""))))</f>
        <v/>
      </c>
      <c r="Q539" s="67">
        <v>40577</v>
      </c>
      <c r="R539" s="67"/>
      <c r="S539" s="65" t="s">
        <v>6</v>
      </c>
      <c r="T539" s="70" t="s">
        <v>4</v>
      </c>
      <c r="U539" s="65" t="s">
        <v>7</v>
      </c>
      <c r="V539" s="65" t="s">
        <v>1914</v>
      </c>
      <c r="W539" s="65" t="s">
        <v>1916</v>
      </c>
      <c r="X539" s="65" t="s">
        <v>2821</v>
      </c>
      <c r="Y539" s="65" t="s">
        <v>2936</v>
      </c>
      <c r="Z539" s="65" t="s">
        <v>4</v>
      </c>
      <c r="AA539" s="65" t="s">
        <v>2821</v>
      </c>
    </row>
    <row r="540" spans="1:27" ht="17.45" hidden="1" customHeight="1">
      <c r="A540" s="100" t="str">
        <f>IF(priority(Main[[#This Row],[Comments]])&lt;&gt;0, priority(Main[[#This Row],[Comments]]),"")</f>
        <v/>
      </c>
      <c r="B540" s="77" t="s">
        <v>1490</v>
      </c>
      <c r="C540" s="65" t="s">
        <v>4</v>
      </c>
      <c r="D540" s="66" t="s">
        <v>621</v>
      </c>
      <c r="E540" s="67">
        <v>40371.36078703704</v>
      </c>
      <c r="F540" s="67"/>
      <c r="G540" s="64" t="str">
        <f>IF(stdProdLT(Main[[#This Row],[Comments]])=0.1,"N/A",IF(stdProdLT(Main[[#This Row],[Comments]])=0,"",stdProdLT(Main[[#This Row],[Comments]])))</f>
        <v/>
      </c>
      <c r="H540" s="68" t="str">
        <f>IF(AND(Main[[#This Row],[In Stock Date]]&lt;&gt;"",Main[[#This Row],[Revised Due Date]]&lt;&gt;""),Main[[#This Row],[In Stock Date]]-Main[[#This Row],[Revised Due Date]],"")</f>
        <v/>
      </c>
      <c r="I540" s="65" t="s">
        <v>4</v>
      </c>
      <c r="J540" s="65" t="s">
        <v>4</v>
      </c>
      <c r="K540" s="65" t="s">
        <v>4</v>
      </c>
      <c r="L540" s="67"/>
      <c r="M540" s="69" t="str">
        <f>IF(Main[[#This Row],[Tech Start Date]]&lt;1/1/1990,"",IF(Main[[#This Row],[Class]]="C",WORKDAY(Main[[#This Row],[Tech Start Date]],9),IF(Main[[#This Row],[Class]]="B", WORKDAY(Main[[#This Row],[Tech Start Date]],6),IF(Main[[#This Row],[Class]]="A",WORKDAY(Main[[#This Row],[Tech Start Date]],2),""))))</f>
        <v/>
      </c>
      <c r="N540" s="69" t="str">
        <f>IF(Main[[#This Row],[Tech Start Date]]&lt;1/1/1990,"",IF(Main[[#This Row],[Class]]="C",WORKDAY(Main[[#This Row],[Tech Start Date]],19),IF(Main[[#This Row],[Class]]="B", WORKDAY(Main[[#This Row],[Tech Start Date]],12),IF(Main[[#This Row],[Class]]="A",WORKDAY(Main[[#This Row],[Tech Start Date]],4),""))))</f>
        <v/>
      </c>
      <c r="O540" s="69" t="str">
        <f>IF(Main[[#This Row],[Tech Start Date]]&lt;1/1/1990,"",IF(Main[[#This Row],[Class]]="C",WORKDAY(Main[[#This Row],[Tech Start Date]],23),IF(Main[[#This Row],[Class]]="B", WORKDAY(Main[[#This Row],[Tech Start Date]],15),IF(Main[[#This Row],[Class]]="A",WORKDAY(Main[[#This Row],[Tech Start Date]],5),""))))</f>
        <v/>
      </c>
      <c r="P540" s="69" t="str">
        <f>IF(Main[[#This Row],[Tech Start Date]]&lt;1/1/1990,"",IF(Main[[#This Row],[Class]]="C",WORKDAY(Main[[#This Row],[Tech Start Date]],28),IF(Main[[#This Row],[Class]]="B", WORKDAY(Main[[#This Row],[Tech Start Date]],19),IF(Main[[#This Row],[Class]]="A",WORKDAY(Main[[#This Row],[Tech Start Date]],9),""))))</f>
        <v/>
      </c>
      <c r="Q540" s="67">
        <v>40385</v>
      </c>
      <c r="R540" s="67"/>
      <c r="S540" s="65" t="s">
        <v>6</v>
      </c>
      <c r="T540" s="70" t="s">
        <v>4</v>
      </c>
      <c r="U540" s="65" t="s">
        <v>7</v>
      </c>
      <c r="V540" s="65" t="s">
        <v>1914</v>
      </c>
      <c r="W540" s="65" t="s">
        <v>1916</v>
      </c>
      <c r="X540" s="65" t="s">
        <v>102</v>
      </c>
      <c r="Y540" s="65" t="s">
        <v>3032</v>
      </c>
      <c r="Z540" s="65" t="s">
        <v>4</v>
      </c>
      <c r="AA540" s="65" t="s">
        <v>3397</v>
      </c>
    </row>
    <row r="541" spans="1:27" ht="17.45" hidden="1" customHeight="1">
      <c r="A541" s="100" t="str">
        <f>IF(priority(Main[[#This Row],[Comments]])&lt;&gt;0, priority(Main[[#This Row],[Comments]]),"")</f>
        <v/>
      </c>
      <c r="B541" s="77" t="s">
        <v>1491</v>
      </c>
      <c r="C541" s="65" t="s">
        <v>622</v>
      </c>
      <c r="D541" s="66" t="s">
        <v>623</v>
      </c>
      <c r="E541" s="67"/>
      <c r="F541" s="67">
        <v>40396</v>
      </c>
      <c r="G541" s="64" t="str">
        <f>IF(stdProdLT(Main[[#This Row],[Comments]])=0.1,"N/A",IF(stdProdLT(Main[[#This Row],[Comments]])=0,"",stdProdLT(Main[[#This Row],[Comments]])))</f>
        <v/>
      </c>
      <c r="H541" s="68" t="str">
        <f>IF(AND(Main[[#This Row],[In Stock Date]]&lt;&gt;"",Main[[#This Row],[Revised Due Date]]&lt;&gt;""),Main[[#This Row],[In Stock Date]]-Main[[#This Row],[Revised Due Date]],"")</f>
        <v/>
      </c>
      <c r="I541" s="65" t="s">
        <v>4</v>
      </c>
      <c r="J541" s="65" t="s">
        <v>4</v>
      </c>
      <c r="K541" s="65" t="s">
        <v>4</v>
      </c>
      <c r="L541" s="67"/>
      <c r="M541" s="69" t="str">
        <f>IF(Main[[#This Row],[Tech Start Date]]&lt;1/1/1990,"",IF(Main[[#This Row],[Class]]="C",WORKDAY(Main[[#This Row],[Tech Start Date]],9),IF(Main[[#This Row],[Class]]="B", WORKDAY(Main[[#This Row],[Tech Start Date]],6),IF(Main[[#This Row],[Class]]="A",WORKDAY(Main[[#This Row],[Tech Start Date]],2),""))))</f>
        <v/>
      </c>
      <c r="N541" s="69" t="str">
        <f>IF(Main[[#This Row],[Tech Start Date]]&lt;1/1/1990,"",IF(Main[[#This Row],[Class]]="C",WORKDAY(Main[[#This Row],[Tech Start Date]],19),IF(Main[[#This Row],[Class]]="B", WORKDAY(Main[[#This Row],[Tech Start Date]],12),IF(Main[[#This Row],[Class]]="A",WORKDAY(Main[[#This Row],[Tech Start Date]],4),""))))</f>
        <v/>
      </c>
      <c r="O541" s="69" t="str">
        <f>IF(Main[[#This Row],[Tech Start Date]]&lt;1/1/1990,"",IF(Main[[#This Row],[Class]]="C",WORKDAY(Main[[#This Row],[Tech Start Date]],23),IF(Main[[#This Row],[Class]]="B", WORKDAY(Main[[#This Row],[Tech Start Date]],15),IF(Main[[#This Row],[Class]]="A",WORKDAY(Main[[#This Row],[Tech Start Date]],5),""))))</f>
        <v/>
      </c>
      <c r="P541" s="69" t="str">
        <f>IF(Main[[#This Row],[Tech Start Date]]&lt;1/1/1990,"",IF(Main[[#This Row],[Class]]="C",WORKDAY(Main[[#This Row],[Tech Start Date]],28),IF(Main[[#This Row],[Class]]="B", WORKDAY(Main[[#This Row],[Tech Start Date]],19),IF(Main[[#This Row],[Class]]="A",WORKDAY(Main[[#This Row],[Tech Start Date]],9),""))))</f>
        <v/>
      </c>
      <c r="Q541" s="67"/>
      <c r="R541" s="67"/>
      <c r="S541" s="65" t="s">
        <v>11</v>
      </c>
      <c r="T541" s="70" t="s">
        <v>4</v>
      </c>
      <c r="U541" s="65" t="s">
        <v>14</v>
      </c>
      <c r="V541" s="65" t="s">
        <v>1914</v>
      </c>
      <c r="W541" s="65" t="s">
        <v>1920</v>
      </c>
      <c r="X541" s="65" t="s">
        <v>2820</v>
      </c>
      <c r="Y541" s="65" t="s">
        <v>3059</v>
      </c>
      <c r="Z541" s="65" t="s">
        <v>4</v>
      </c>
      <c r="AA541" s="65" t="s">
        <v>2820</v>
      </c>
    </row>
    <row r="542" spans="1:27" ht="17.45" hidden="1" customHeight="1">
      <c r="A542" s="100" t="str">
        <f>IF(priority(Main[[#This Row],[Comments]])&lt;&gt;0, priority(Main[[#This Row],[Comments]]),"")</f>
        <v/>
      </c>
      <c r="B542" s="77" t="s">
        <v>1492</v>
      </c>
      <c r="C542" s="65" t="s">
        <v>93</v>
      </c>
      <c r="D542" s="66" t="s">
        <v>624</v>
      </c>
      <c r="E542" s="67"/>
      <c r="F542" s="67">
        <v>40238</v>
      </c>
      <c r="G542" s="64" t="str">
        <f>IF(stdProdLT(Main[[#This Row],[Comments]])=0.1,"N/A",IF(stdProdLT(Main[[#This Row],[Comments]])=0,"",stdProdLT(Main[[#This Row],[Comments]])))</f>
        <v/>
      </c>
      <c r="H542" s="68" t="str">
        <f>IF(AND(Main[[#This Row],[In Stock Date]]&lt;&gt;"",Main[[#This Row],[Revised Due Date]]&lt;&gt;""),Main[[#This Row],[In Stock Date]]-Main[[#This Row],[Revised Due Date]],"")</f>
        <v/>
      </c>
      <c r="I542" s="65" t="s">
        <v>4</v>
      </c>
      <c r="J542" s="65" t="s">
        <v>4</v>
      </c>
      <c r="K542" s="65" t="s">
        <v>4</v>
      </c>
      <c r="L542" s="67"/>
      <c r="M542" s="69" t="str">
        <f>IF(Main[[#This Row],[Tech Start Date]]&lt;1/1/1990,"",IF(Main[[#This Row],[Class]]="C",WORKDAY(Main[[#This Row],[Tech Start Date]],9),IF(Main[[#This Row],[Class]]="B", WORKDAY(Main[[#This Row],[Tech Start Date]],6),IF(Main[[#This Row],[Class]]="A",WORKDAY(Main[[#This Row],[Tech Start Date]],2),""))))</f>
        <v/>
      </c>
      <c r="N542" s="69" t="str">
        <f>IF(Main[[#This Row],[Tech Start Date]]&lt;1/1/1990,"",IF(Main[[#This Row],[Class]]="C",WORKDAY(Main[[#This Row],[Tech Start Date]],19),IF(Main[[#This Row],[Class]]="B", WORKDAY(Main[[#This Row],[Tech Start Date]],12),IF(Main[[#This Row],[Class]]="A",WORKDAY(Main[[#This Row],[Tech Start Date]],4),""))))</f>
        <v/>
      </c>
      <c r="O542" s="69" t="str">
        <f>IF(Main[[#This Row],[Tech Start Date]]&lt;1/1/1990,"",IF(Main[[#This Row],[Class]]="C",WORKDAY(Main[[#This Row],[Tech Start Date]],23),IF(Main[[#This Row],[Class]]="B", WORKDAY(Main[[#This Row],[Tech Start Date]],15),IF(Main[[#This Row],[Class]]="A",WORKDAY(Main[[#This Row],[Tech Start Date]],5),""))))</f>
        <v/>
      </c>
      <c r="P542" s="69" t="str">
        <f>IF(Main[[#This Row],[Tech Start Date]]&lt;1/1/1990,"",IF(Main[[#This Row],[Class]]="C",WORKDAY(Main[[#This Row],[Tech Start Date]],28),IF(Main[[#This Row],[Class]]="B", WORKDAY(Main[[#This Row],[Tech Start Date]],19),IF(Main[[#This Row],[Class]]="A",WORKDAY(Main[[#This Row],[Tech Start Date]],9),""))))</f>
        <v/>
      </c>
      <c r="Q542" s="67">
        <v>40173</v>
      </c>
      <c r="R542" s="67"/>
      <c r="S542" s="65" t="s">
        <v>11</v>
      </c>
      <c r="T542" s="70" t="s">
        <v>4</v>
      </c>
      <c r="U542" s="65" t="s">
        <v>14</v>
      </c>
      <c r="V542" s="65" t="s">
        <v>1914</v>
      </c>
      <c r="W542" s="65" t="s">
        <v>1920</v>
      </c>
      <c r="X542" s="65" t="s">
        <v>2871</v>
      </c>
      <c r="Y542" s="65" t="s">
        <v>4</v>
      </c>
      <c r="Z542" s="65" t="s">
        <v>4</v>
      </c>
      <c r="AA542" s="65" t="s">
        <v>2871</v>
      </c>
    </row>
    <row r="543" spans="1:27" ht="17.45" hidden="1" customHeight="1">
      <c r="A543" s="100" t="str">
        <f>IF(priority(Main[[#This Row],[Comments]])&lt;&gt;0, priority(Main[[#This Row],[Comments]]),"")</f>
        <v/>
      </c>
      <c r="B543" s="77" t="s">
        <v>1493</v>
      </c>
      <c r="C543" s="65" t="s">
        <v>4</v>
      </c>
      <c r="D543" s="66" t="s">
        <v>97</v>
      </c>
      <c r="E543" s="67"/>
      <c r="F543" s="67"/>
      <c r="G543" s="64" t="str">
        <f>IF(stdProdLT(Main[[#This Row],[Comments]])=0.1,"N/A",IF(stdProdLT(Main[[#This Row],[Comments]])=0,"",stdProdLT(Main[[#This Row],[Comments]])))</f>
        <v/>
      </c>
      <c r="H543" s="68" t="str">
        <f>IF(AND(Main[[#This Row],[In Stock Date]]&lt;&gt;"",Main[[#This Row],[Revised Due Date]]&lt;&gt;""),Main[[#This Row],[In Stock Date]]-Main[[#This Row],[Revised Due Date]],"")</f>
        <v/>
      </c>
      <c r="I543" s="65" t="s">
        <v>4</v>
      </c>
      <c r="J543" s="65" t="s">
        <v>4</v>
      </c>
      <c r="K543" s="71" t="s">
        <v>4</v>
      </c>
      <c r="L543" s="67"/>
      <c r="M543" s="69" t="str">
        <f>IF(Main[[#This Row],[Tech Start Date]]&lt;1/1/1990,"",IF(Main[[#This Row],[Class]]="C",WORKDAY(Main[[#This Row],[Tech Start Date]],9),IF(Main[[#This Row],[Class]]="B", WORKDAY(Main[[#This Row],[Tech Start Date]],6),IF(Main[[#This Row],[Class]]="A",WORKDAY(Main[[#This Row],[Tech Start Date]],2),""))))</f>
        <v/>
      </c>
      <c r="N543" s="69" t="str">
        <f>IF(Main[[#This Row],[Tech Start Date]]&lt;1/1/1990,"",IF(Main[[#This Row],[Class]]="C",WORKDAY(Main[[#This Row],[Tech Start Date]],19),IF(Main[[#This Row],[Class]]="B", WORKDAY(Main[[#This Row],[Tech Start Date]],12),IF(Main[[#This Row],[Class]]="A",WORKDAY(Main[[#This Row],[Tech Start Date]],4),""))))</f>
        <v/>
      </c>
      <c r="O543" s="69" t="str">
        <f>IF(Main[[#This Row],[Tech Start Date]]&lt;1/1/1990,"",IF(Main[[#This Row],[Class]]="C",WORKDAY(Main[[#This Row],[Tech Start Date]],23),IF(Main[[#This Row],[Class]]="B", WORKDAY(Main[[#This Row],[Tech Start Date]],15),IF(Main[[#This Row],[Class]]="A",WORKDAY(Main[[#This Row],[Tech Start Date]],5),""))))</f>
        <v/>
      </c>
      <c r="P543" s="69" t="str">
        <f>IF(Main[[#This Row],[Tech Start Date]]&lt;1/1/1990,"",IF(Main[[#This Row],[Class]]="C",WORKDAY(Main[[#This Row],[Tech Start Date]],28),IF(Main[[#This Row],[Class]]="B", WORKDAY(Main[[#This Row],[Tech Start Date]],19),IF(Main[[#This Row],[Class]]="A",WORKDAY(Main[[#This Row],[Tech Start Date]],9),""))))</f>
        <v/>
      </c>
      <c r="Q543" s="67">
        <v>40858</v>
      </c>
      <c r="R543" s="67"/>
      <c r="S543" s="65" t="s">
        <v>17</v>
      </c>
      <c r="T543" s="70" t="s">
        <v>4</v>
      </c>
      <c r="U543" s="65" t="s">
        <v>14</v>
      </c>
      <c r="V543" s="65" t="s">
        <v>1914</v>
      </c>
      <c r="W543" s="65" t="s">
        <v>1919</v>
      </c>
      <c r="X543" s="65" t="s">
        <v>50</v>
      </c>
      <c r="Y543" s="65" t="s">
        <v>2959</v>
      </c>
      <c r="Z543" s="65" t="s">
        <v>4</v>
      </c>
      <c r="AA543" s="65" t="s">
        <v>2828</v>
      </c>
    </row>
    <row r="544" spans="1:27" ht="17.45" hidden="1" customHeight="1">
      <c r="A544" s="100" t="str">
        <f>IF(priority(Main[[#This Row],[Comments]])&lt;&gt;0, priority(Main[[#This Row],[Comments]]),"")</f>
        <v/>
      </c>
      <c r="B544" s="77" t="s">
        <v>2502</v>
      </c>
      <c r="C544" s="65" t="s">
        <v>2503</v>
      </c>
      <c r="D544" s="66" t="s">
        <v>2662</v>
      </c>
      <c r="E544" s="67"/>
      <c r="F544" s="67"/>
      <c r="G544" s="64" t="str">
        <f>IF(stdProdLT(Main[[#This Row],[Comments]])=0.1,"N/A",IF(stdProdLT(Main[[#This Row],[Comments]])=0,"",stdProdLT(Main[[#This Row],[Comments]])))</f>
        <v/>
      </c>
      <c r="H544" s="68" t="str">
        <f>IF(AND(Main[[#This Row],[In Stock Date]]&lt;&gt;"",Main[[#This Row],[Revised Due Date]]&lt;&gt;""),Main[[#This Row],[In Stock Date]]-Main[[#This Row],[Revised Due Date]],"")</f>
        <v/>
      </c>
      <c r="I544" s="65" t="s">
        <v>4</v>
      </c>
      <c r="J544" s="65" t="s">
        <v>4</v>
      </c>
      <c r="K544" s="65" t="s">
        <v>4</v>
      </c>
      <c r="L544" s="67"/>
      <c r="M544" s="69" t="str">
        <f>IF(Main[[#This Row],[Tech Start Date]]&lt;1/1/1990,"",IF(Main[[#This Row],[Class]]="C",WORKDAY(Main[[#This Row],[Tech Start Date]],9),IF(Main[[#This Row],[Class]]="B", WORKDAY(Main[[#This Row],[Tech Start Date]],6),IF(Main[[#This Row],[Class]]="A",WORKDAY(Main[[#This Row],[Tech Start Date]],2),""))))</f>
        <v/>
      </c>
      <c r="N544" s="69" t="str">
        <f>IF(Main[[#This Row],[Tech Start Date]]&lt;1/1/1990,"",IF(Main[[#This Row],[Class]]="C",WORKDAY(Main[[#This Row],[Tech Start Date]],19),IF(Main[[#This Row],[Class]]="B", WORKDAY(Main[[#This Row],[Tech Start Date]],12),IF(Main[[#This Row],[Class]]="A",WORKDAY(Main[[#This Row],[Tech Start Date]],4),""))))</f>
        <v/>
      </c>
      <c r="O544" s="69" t="str">
        <f>IF(Main[[#This Row],[Tech Start Date]]&lt;1/1/1990,"",IF(Main[[#This Row],[Class]]="C",WORKDAY(Main[[#This Row],[Tech Start Date]],23),IF(Main[[#This Row],[Class]]="B", WORKDAY(Main[[#This Row],[Tech Start Date]],15),IF(Main[[#This Row],[Class]]="A",WORKDAY(Main[[#This Row],[Tech Start Date]],5),""))))</f>
        <v/>
      </c>
      <c r="P544" s="69" t="str">
        <f>IF(Main[[#This Row],[Tech Start Date]]&lt;1/1/1990,"",IF(Main[[#This Row],[Class]]="C",WORKDAY(Main[[#This Row],[Tech Start Date]],28),IF(Main[[#This Row],[Class]]="B", WORKDAY(Main[[#This Row],[Tech Start Date]],19),IF(Main[[#This Row],[Class]]="A",WORKDAY(Main[[#This Row],[Tech Start Date]],9),""))))</f>
        <v/>
      </c>
      <c r="Q544" s="67">
        <v>40875</v>
      </c>
      <c r="R544" s="67"/>
      <c r="S544" s="65" t="s">
        <v>11</v>
      </c>
      <c r="T544" s="70" t="s">
        <v>2663</v>
      </c>
      <c r="U544" s="65" t="s">
        <v>14</v>
      </c>
      <c r="V544" s="65" t="s">
        <v>1917</v>
      </c>
      <c r="W544" s="65" t="s">
        <v>1922</v>
      </c>
      <c r="X544" s="65" t="s">
        <v>2911</v>
      </c>
      <c r="Y544" s="65" t="s">
        <v>3128</v>
      </c>
      <c r="Z544" s="65" t="s">
        <v>4</v>
      </c>
      <c r="AA544" s="65" t="s">
        <v>3462</v>
      </c>
    </row>
    <row r="545" spans="1:27" ht="17.45" hidden="1" customHeight="1">
      <c r="A545" s="100" t="str">
        <f>IF(priority(Main[[#This Row],[Comments]])&lt;&gt;0, priority(Main[[#This Row],[Comments]]),"")</f>
        <v/>
      </c>
      <c r="B545" s="77" t="s">
        <v>1494</v>
      </c>
      <c r="C545" s="65" t="s">
        <v>4</v>
      </c>
      <c r="D545" s="66" t="s">
        <v>39</v>
      </c>
      <c r="E545" s="67"/>
      <c r="F545" s="67"/>
      <c r="G545" s="64" t="str">
        <f>IF(stdProdLT(Main[[#This Row],[Comments]])=0.1,"N/A",IF(stdProdLT(Main[[#This Row],[Comments]])=0,"",stdProdLT(Main[[#This Row],[Comments]])))</f>
        <v/>
      </c>
      <c r="H545" s="68" t="str">
        <f>IF(AND(Main[[#This Row],[In Stock Date]]&lt;&gt;"",Main[[#This Row],[Revised Due Date]]&lt;&gt;""),Main[[#This Row],[In Stock Date]]-Main[[#This Row],[Revised Due Date]],"")</f>
        <v/>
      </c>
      <c r="I545" s="65" t="s">
        <v>4</v>
      </c>
      <c r="J545" s="65" t="s">
        <v>4</v>
      </c>
      <c r="K545" s="65" t="s">
        <v>4</v>
      </c>
      <c r="L545" s="67"/>
      <c r="M545" s="69" t="str">
        <f>IF(Main[[#This Row],[Tech Start Date]]&lt;1/1/1990,"",IF(Main[[#This Row],[Class]]="C",WORKDAY(Main[[#This Row],[Tech Start Date]],9),IF(Main[[#This Row],[Class]]="B", WORKDAY(Main[[#This Row],[Tech Start Date]],6),IF(Main[[#This Row],[Class]]="A",WORKDAY(Main[[#This Row],[Tech Start Date]],2),""))))</f>
        <v/>
      </c>
      <c r="N545" s="69" t="str">
        <f>IF(Main[[#This Row],[Tech Start Date]]&lt;1/1/1990,"",IF(Main[[#This Row],[Class]]="C",WORKDAY(Main[[#This Row],[Tech Start Date]],19),IF(Main[[#This Row],[Class]]="B", WORKDAY(Main[[#This Row],[Tech Start Date]],12),IF(Main[[#This Row],[Class]]="A",WORKDAY(Main[[#This Row],[Tech Start Date]],4),""))))</f>
        <v/>
      </c>
      <c r="O545" s="69" t="str">
        <f>IF(Main[[#This Row],[Tech Start Date]]&lt;1/1/1990,"",IF(Main[[#This Row],[Class]]="C",WORKDAY(Main[[#This Row],[Tech Start Date]],23),IF(Main[[#This Row],[Class]]="B", WORKDAY(Main[[#This Row],[Tech Start Date]],15),IF(Main[[#This Row],[Class]]="A",WORKDAY(Main[[#This Row],[Tech Start Date]],5),""))))</f>
        <v/>
      </c>
      <c r="P545" s="69" t="str">
        <f>IF(Main[[#This Row],[Tech Start Date]]&lt;1/1/1990,"",IF(Main[[#This Row],[Class]]="C",WORKDAY(Main[[#This Row],[Tech Start Date]],28),IF(Main[[#This Row],[Class]]="B", WORKDAY(Main[[#This Row],[Tech Start Date]],19),IF(Main[[#This Row],[Class]]="A",WORKDAY(Main[[#This Row],[Tech Start Date]],9),""))))</f>
        <v/>
      </c>
      <c r="Q545" s="67">
        <v>40669</v>
      </c>
      <c r="R545" s="67"/>
      <c r="S545" s="65" t="s">
        <v>6</v>
      </c>
      <c r="T545" s="70" t="s">
        <v>4</v>
      </c>
      <c r="U545" s="65" t="s">
        <v>14</v>
      </c>
      <c r="V545" s="65" t="s">
        <v>1917</v>
      </c>
      <c r="W545" s="65" t="s">
        <v>4</v>
      </c>
      <c r="X545" s="65" t="s">
        <v>2818</v>
      </c>
      <c r="Y545" s="65" t="s">
        <v>2929</v>
      </c>
      <c r="Z545" s="65" t="s">
        <v>4</v>
      </c>
      <c r="AA545" s="65" t="s">
        <v>2818</v>
      </c>
    </row>
    <row r="546" spans="1:27" ht="17.45" hidden="1" customHeight="1">
      <c r="A546" s="100" t="str">
        <f>IF(priority(Main[[#This Row],[Comments]])&lt;&gt;0, priority(Main[[#This Row],[Comments]]),"")</f>
        <v/>
      </c>
      <c r="B546" s="77" t="s">
        <v>1495</v>
      </c>
      <c r="C546" s="65" t="s">
        <v>4</v>
      </c>
      <c r="D546" s="66" t="s">
        <v>598</v>
      </c>
      <c r="E546" s="67"/>
      <c r="F546" s="67"/>
      <c r="G546" s="64" t="str">
        <f>IF(stdProdLT(Main[[#This Row],[Comments]])=0.1,"N/A",IF(stdProdLT(Main[[#This Row],[Comments]])=0,"",stdProdLT(Main[[#This Row],[Comments]])))</f>
        <v/>
      </c>
      <c r="H546" s="68" t="str">
        <f>IF(AND(Main[[#This Row],[In Stock Date]]&lt;&gt;"",Main[[#This Row],[Revised Due Date]]&lt;&gt;""),Main[[#This Row],[In Stock Date]]-Main[[#This Row],[Revised Due Date]],"")</f>
        <v/>
      </c>
      <c r="I546" s="65" t="s">
        <v>4</v>
      </c>
      <c r="J546" s="65" t="s">
        <v>28</v>
      </c>
      <c r="K546" s="71" t="s">
        <v>4</v>
      </c>
      <c r="L546" s="67"/>
      <c r="M546" s="69" t="str">
        <f>IF(Main[[#This Row],[Tech Start Date]]&lt;1/1/1990,"",IF(Main[[#This Row],[Class]]="C",WORKDAY(Main[[#This Row],[Tech Start Date]],9),IF(Main[[#This Row],[Class]]="B", WORKDAY(Main[[#This Row],[Tech Start Date]],6),IF(Main[[#This Row],[Class]]="A",WORKDAY(Main[[#This Row],[Tech Start Date]],2),""))))</f>
        <v/>
      </c>
      <c r="N546" s="69" t="str">
        <f>IF(Main[[#This Row],[Tech Start Date]]&lt;1/1/1990,"",IF(Main[[#This Row],[Class]]="C",WORKDAY(Main[[#This Row],[Tech Start Date]],19),IF(Main[[#This Row],[Class]]="B", WORKDAY(Main[[#This Row],[Tech Start Date]],12),IF(Main[[#This Row],[Class]]="A",WORKDAY(Main[[#This Row],[Tech Start Date]],4),""))))</f>
        <v/>
      </c>
      <c r="O546" s="69" t="str">
        <f>IF(Main[[#This Row],[Tech Start Date]]&lt;1/1/1990,"",IF(Main[[#This Row],[Class]]="C",WORKDAY(Main[[#This Row],[Tech Start Date]],23),IF(Main[[#This Row],[Class]]="B", WORKDAY(Main[[#This Row],[Tech Start Date]],15),IF(Main[[#This Row],[Class]]="A",WORKDAY(Main[[#This Row],[Tech Start Date]],5),""))))</f>
        <v/>
      </c>
      <c r="P546" s="69" t="str">
        <f>IF(Main[[#This Row],[Tech Start Date]]&lt;1/1/1990,"",IF(Main[[#This Row],[Class]]="C",WORKDAY(Main[[#This Row],[Tech Start Date]],28),IF(Main[[#This Row],[Class]]="B", WORKDAY(Main[[#This Row],[Tech Start Date]],19),IF(Main[[#This Row],[Class]]="A",WORKDAY(Main[[#This Row],[Tech Start Date]],9),""))))</f>
        <v/>
      </c>
      <c r="Q546" s="67">
        <v>40482</v>
      </c>
      <c r="R546" s="67"/>
      <c r="S546" s="65" t="s">
        <v>6</v>
      </c>
      <c r="T546" s="70" t="s">
        <v>4</v>
      </c>
      <c r="U546" s="65" t="s">
        <v>14</v>
      </c>
      <c r="V546" s="65" t="s">
        <v>1917</v>
      </c>
      <c r="W546" s="65" t="s">
        <v>1918</v>
      </c>
      <c r="X546" s="65" t="s">
        <v>2887</v>
      </c>
      <c r="Y546" s="65" t="s">
        <v>3043</v>
      </c>
      <c r="Z546" s="65" t="s">
        <v>530</v>
      </c>
      <c r="AA546" s="65" t="s">
        <v>2887</v>
      </c>
    </row>
    <row r="547" spans="1:27" ht="17.45" hidden="1" customHeight="1">
      <c r="A547" s="100" t="str">
        <f>IF(priority(Main[[#This Row],[Comments]])&lt;&gt;0, priority(Main[[#This Row],[Comments]]),"")</f>
        <v/>
      </c>
      <c r="B547" s="77" t="s">
        <v>2092</v>
      </c>
      <c r="C547" s="65" t="s">
        <v>4</v>
      </c>
      <c r="D547" s="66" t="s">
        <v>2093</v>
      </c>
      <c r="E547" s="67"/>
      <c r="F547" s="67"/>
      <c r="G547" s="64" t="str">
        <f>IF(stdProdLT(Main[[#This Row],[Comments]])=0.1,"N/A",IF(stdProdLT(Main[[#This Row],[Comments]])=0,"",stdProdLT(Main[[#This Row],[Comments]])))</f>
        <v/>
      </c>
      <c r="H547" s="68" t="str">
        <f>IF(AND(Main[[#This Row],[In Stock Date]]&lt;&gt;"",Main[[#This Row],[Revised Due Date]]&lt;&gt;""),Main[[#This Row],[In Stock Date]]-Main[[#This Row],[Revised Due Date]],"")</f>
        <v/>
      </c>
      <c r="I547" s="65" t="s">
        <v>4</v>
      </c>
      <c r="J547" s="65" t="s">
        <v>4</v>
      </c>
      <c r="K547" s="65" t="s">
        <v>4</v>
      </c>
      <c r="L547" s="67"/>
      <c r="M547" s="69" t="str">
        <f>IF(Main[[#This Row],[Tech Start Date]]&lt;1/1/1990,"",IF(Main[[#This Row],[Class]]="C",WORKDAY(Main[[#This Row],[Tech Start Date]],9),IF(Main[[#This Row],[Class]]="B", WORKDAY(Main[[#This Row],[Tech Start Date]],6),IF(Main[[#This Row],[Class]]="A",WORKDAY(Main[[#This Row],[Tech Start Date]],2),""))))</f>
        <v/>
      </c>
      <c r="N547" s="69" t="str">
        <f>IF(Main[[#This Row],[Tech Start Date]]&lt;1/1/1990,"",IF(Main[[#This Row],[Class]]="C",WORKDAY(Main[[#This Row],[Tech Start Date]],19),IF(Main[[#This Row],[Class]]="B", WORKDAY(Main[[#This Row],[Tech Start Date]],12),IF(Main[[#This Row],[Class]]="A",WORKDAY(Main[[#This Row],[Tech Start Date]],4),""))))</f>
        <v/>
      </c>
      <c r="O547" s="69" t="str">
        <f>IF(Main[[#This Row],[Tech Start Date]]&lt;1/1/1990,"",IF(Main[[#This Row],[Class]]="C",WORKDAY(Main[[#This Row],[Tech Start Date]],23),IF(Main[[#This Row],[Class]]="B", WORKDAY(Main[[#This Row],[Tech Start Date]],15),IF(Main[[#This Row],[Class]]="A",WORKDAY(Main[[#This Row],[Tech Start Date]],5),""))))</f>
        <v/>
      </c>
      <c r="P547" s="69" t="str">
        <f>IF(Main[[#This Row],[Tech Start Date]]&lt;1/1/1990,"",IF(Main[[#This Row],[Class]]="C",WORKDAY(Main[[#This Row],[Tech Start Date]],28),IF(Main[[#This Row],[Class]]="B", WORKDAY(Main[[#This Row],[Tech Start Date]],19),IF(Main[[#This Row],[Class]]="A",WORKDAY(Main[[#This Row],[Tech Start Date]],9),""))))</f>
        <v/>
      </c>
      <c r="Q547" s="67"/>
      <c r="R547" s="67"/>
      <c r="S547" s="65" t="s">
        <v>6</v>
      </c>
      <c r="T547" s="70" t="s">
        <v>4</v>
      </c>
      <c r="U547" s="65" t="s">
        <v>14</v>
      </c>
      <c r="V547" s="65" t="s">
        <v>1917</v>
      </c>
      <c r="W547" s="65" t="s">
        <v>1918</v>
      </c>
      <c r="X547" s="65" t="s">
        <v>306</v>
      </c>
      <c r="Y547" s="65" t="s">
        <v>4</v>
      </c>
      <c r="Z547" s="65" t="s">
        <v>4</v>
      </c>
      <c r="AA547" s="65" t="s">
        <v>4</v>
      </c>
    </row>
    <row r="548" spans="1:27" ht="17.45" hidden="1" customHeight="1">
      <c r="A548" s="100" t="str">
        <f>IF(priority(Main[[#This Row],[Comments]])&lt;&gt;0, priority(Main[[#This Row],[Comments]]),"")</f>
        <v/>
      </c>
      <c r="B548" s="77" t="s">
        <v>1497</v>
      </c>
      <c r="C548" s="65" t="s">
        <v>600</v>
      </c>
      <c r="D548" s="66" t="s">
        <v>601</v>
      </c>
      <c r="E548" s="67"/>
      <c r="F548" s="67"/>
      <c r="G548" s="64" t="str">
        <f>IF(stdProdLT(Main[[#This Row],[Comments]])=0.1,"N/A",IF(stdProdLT(Main[[#This Row],[Comments]])=0,"",stdProdLT(Main[[#This Row],[Comments]])))</f>
        <v/>
      </c>
      <c r="H548" s="68" t="str">
        <f>IF(AND(Main[[#This Row],[In Stock Date]]&lt;&gt;"",Main[[#This Row],[Revised Due Date]]&lt;&gt;""),Main[[#This Row],[In Stock Date]]-Main[[#This Row],[Revised Due Date]],"")</f>
        <v/>
      </c>
      <c r="I548" s="65" t="s">
        <v>4</v>
      </c>
      <c r="J548" s="65" t="s">
        <v>4</v>
      </c>
      <c r="K548" s="65" t="s">
        <v>4</v>
      </c>
      <c r="L548" s="67"/>
      <c r="M548" s="69" t="str">
        <f>IF(Main[[#This Row],[Tech Start Date]]&lt;1/1/1990,"",IF(Main[[#This Row],[Class]]="C",WORKDAY(Main[[#This Row],[Tech Start Date]],9),IF(Main[[#This Row],[Class]]="B", WORKDAY(Main[[#This Row],[Tech Start Date]],6),IF(Main[[#This Row],[Class]]="A",WORKDAY(Main[[#This Row],[Tech Start Date]],2),""))))</f>
        <v/>
      </c>
      <c r="N548" s="69" t="str">
        <f>IF(Main[[#This Row],[Tech Start Date]]&lt;1/1/1990,"",IF(Main[[#This Row],[Class]]="C",WORKDAY(Main[[#This Row],[Tech Start Date]],19),IF(Main[[#This Row],[Class]]="B", WORKDAY(Main[[#This Row],[Tech Start Date]],12),IF(Main[[#This Row],[Class]]="A",WORKDAY(Main[[#This Row],[Tech Start Date]],4),""))))</f>
        <v/>
      </c>
      <c r="O548" s="69" t="str">
        <f>IF(Main[[#This Row],[Tech Start Date]]&lt;1/1/1990,"",IF(Main[[#This Row],[Class]]="C",WORKDAY(Main[[#This Row],[Tech Start Date]],23),IF(Main[[#This Row],[Class]]="B", WORKDAY(Main[[#This Row],[Tech Start Date]],15),IF(Main[[#This Row],[Class]]="A",WORKDAY(Main[[#This Row],[Tech Start Date]],5),""))))</f>
        <v/>
      </c>
      <c r="P548" s="69" t="str">
        <f>IF(Main[[#This Row],[Tech Start Date]]&lt;1/1/1990,"",IF(Main[[#This Row],[Class]]="C",WORKDAY(Main[[#This Row],[Tech Start Date]],28),IF(Main[[#This Row],[Class]]="B", WORKDAY(Main[[#This Row],[Tech Start Date]],19),IF(Main[[#This Row],[Class]]="A",WORKDAY(Main[[#This Row],[Tech Start Date]],9),""))))</f>
        <v/>
      </c>
      <c r="Q548" s="67">
        <v>40219</v>
      </c>
      <c r="R548" s="67"/>
      <c r="S548" s="65" t="s">
        <v>11</v>
      </c>
      <c r="T548" s="70" t="s">
        <v>4</v>
      </c>
      <c r="U548" s="65" t="s">
        <v>14</v>
      </c>
      <c r="V548" s="65" t="s">
        <v>1917</v>
      </c>
      <c r="W548" s="65" t="s">
        <v>1916</v>
      </c>
      <c r="X548" s="65" t="s">
        <v>2894</v>
      </c>
      <c r="Y548" s="65" t="s">
        <v>4</v>
      </c>
      <c r="Z548" s="65" t="s">
        <v>4</v>
      </c>
      <c r="AA548" s="65" t="s">
        <v>2894</v>
      </c>
    </row>
    <row r="549" spans="1:27" ht="17.45" hidden="1" customHeight="1">
      <c r="A549" s="100" t="str">
        <f>IF(priority(Main[[#This Row],[Comments]])&lt;&gt;0, priority(Main[[#This Row],[Comments]]),"")</f>
        <v/>
      </c>
      <c r="B549" s="77" t="s">
        <v>1498</v>
      </c>
      <c r="C549" s="65" t="s">
        <v>4</v>
      </c>
      <c r="D549" s="66" t="s">
        <v>602</v>
      </c>
      <c r="E549" s="67"/>
      <c r="F549" s="67"/>
      <c r="G549" s="64" t="str">
        <f>IF(stdProdLT(Main[[#This Row],[Comments]])=0.1,"N/A",IF(stdProdLT(Main[[#This Row],[Comments]])=0,"",stdProdLT(Main[[#This Row],[Comments]])))</f>
        <v/>
      </c>
      <c r="H549" s="68" t="str">
        <f>IF(AND(Main[[#This Row],[In Stock Date]]&lt;&gt;"",Main[[#This Row],[Revised Due Date]]&lt;&gt;""),Main[[#This Row],[In Stock Date]]-Main[[#This Row],[Revised Due Date]],"")</f>
        <v/>
      </c>
      <c r="I549" s="65" t="s">
        <v>81</v>
      </c>
      <c r="J549" s="65" t="s">
        <v>4</v>
      </c>
      <c r="K549" s="65" t="s">
        <v>4</v>
      </c>
      <c r="L549" s="67"/>
      <c r="M549" s="69" t="str">
        <f>IF(Main[[#This Row],[Tech Start Date]]&lt;1/1/1990,"",IF(Main[[#This Row],[Class]]="C",WORKDAY(Main[[#This Row],[Tech Start Date]],9),IF(Main[[#This Row],[Class]]="B", WORKDAY(Main[[#This Row],[Tech Start Date]],6),IF(Main[[#This Row],[Class]]="A",WORKDAY(Main[[#This Row],[Tech Start Date]],2),""))))</f>
        <v/>
      </c>
      <c r="N549" s="69" t="str">
        <f>IF(Main[[#This Row],[Tech Start Date]]&lt;1/1/1990,"",IF(Main[[#This Row],[Class]]="C",WORKDAY(Main[[#This Row],[Tech Start Date]],19),IF(Main[[#This Row],[Class]]="B", WORKDAY(Main[[#This Row],[Tech Start Date]],12),IF(Main[[#This Row],[Class]]="A",WORKDAY(Main[[#This Row],[Tech Start Date]],4),""))))</f>
        <v/>
      </c>
      <c r="O549" s="69" t="str">
        <f>IF(Main[[#This Row],[Tech Start Date]]&lt;1/1/1990,"",IF(Main[[#This Row],[Class]]="C",WORKDAY(Main[[#This Row],[Tech Start Date]],23),IF(Main[[#This Row],[Class]]="B", WORKDAY(Main[[#This Row],[Tech Start Date]],15),IF(Main[[#This Row],[Class]]="A",WORKDAY(Main[[#This Row],[Tech Start Date]],5),""))))</f>
        <v/>
      </c>
      <c r="P549" s="69" t="str">
        <f>IF(Main[[#This Row],[Tech Start Date]]&lt;1/1/1990,"",IF(Main[[#This Row],[Class]]="C",WORKDAY(Main[[#This Row],[Tech Start Date]],28),IF(Main[[#This Row],[Class]]="B", WORKDAY(Main[[#This Row],[Tech Start Date]],19),IF(Main[[#This Row],[Class]]="A",WORKDAY(Main[[#This Row],[Tech Start Date]],9),""))))</f>
        <v/>
      </c>
      <c r="Q549" s="67">
        <v>40390</v>
      </c>
      <c r="R549" s="67"/>
      <c r="S549" s="65" t="s">
        <v>6</v>
      </c>
      <c r="T549" s="70" t="s">
        <v>4</v>
      </c>
      <c r="U549" s="65" t="s">
        <v>14</v>
      </c>
      <c r="V549" s="65" t="s">
        <v>1917</v>
      </c>
      <c r="W549" s="65" t="s">
        <v>4</v>
      </c>
      <c r="X549" s="65" t="s">
        <v>2819</v>
      </c>
      <c r="Y549" s="65" t="s">
        <v>2932</v>
      </c>
      <c r="Z549" s="65" t="s">
        <v>44</v>
      </c>
      <c r="AA549" s="65" t="s">
        <v>2819</v>
      </c>
    </row>
    <row r="550" spans="1:27" ht="17.45" hidden="1" customHeight="1">
      <c r="A550" s="100" t="str">
        <f>IF(priority(Main[[#This Row],[Comments]])&lt;&gt;0, priority(Main[[#This Row],[Comments]]),"")</f>
        <v/>
      </c>
      <c r="B550" s="77" t="s">
        <v>1499</v>
      </c>
      <c r="C550" s="65" t="s">
        <v>93</v>
      </c>
      <c r="D550" s="66" t="s">
        <v>603</v>
      </c>
      <c r="E550" s="67"/>
      <c r="F550" s="67">
        <v>40299</v>
      </c>
      <c r="G550" s="64" t="str">
        <f>IF(stdProdLT(Main[[#This Row],[Comments]])=0.1,"N/A",IF(stdProdLT(Main[[#This Row],[Comments]])=0,"",stdProdLT(Main[[#This Row],[Comments]])))</f>
        <v/>
      </c>
      <c r="H550" s="68" t="str">
        <f>IF(AND(Main[[#This Row],[In Stock Date]]&lt;&gt;"",Main[[#This Row],[Revised Due Date]]&lt;&gt;""),Main[[#This Row],[In Stock Date]]-Main[[#This Row],[Revised Due Date]],"")</f>
        <v/>
      </c>
      <c r="I550" s="65" t="s">
        <v>4</v>
      </c>
      <c r="J550" s="65" t="s">
        <v>4</v>
      </c>
      <c r="K550" s="65" t="s">
        <v>4</v>
      </c>
      <c r="L550" s="67"/>
      <c r="M550" s="69" t="str">
        <f>IF(Main[[#This Row],[Tech Start Date]]&lt;1/1/1990,"",IF(Main[[#This Row],[Class]]="C",WORKDAY(Main[[#This Row],[Tech Start Date]],9),IF(Main[[#This Row],[Class]]="B", WORKDAY(Main[[#This Row],[Tech Start Date]],6),IF(Main[[#This Row],[Class]]="A",WORKDAY(Main[[#This Row],[Tech Start Date]],2),""))))</f>
        <v/>
      </c>
      <c r="N550" s="69" t="str">
        <f>IF(Main[[#This Row],[Tech Start Date]]&lt;1/1/1990,"",IF(Main[[#This Row],[Class]]="C",WORKDAY(Main[[#This Row],[Tech Start Date]],19),IF(Main[[#This Row],[Class]]="B", WORKDAY(Main[[#This Row],[Tech Start Date]],12),IF(Main[[#This Row],[Class]]="A",WORKDAY(Main[[#This Row],[Tech Start Date]],4),""))))</f>
        <v/>
      </c>
      <c r="O550" s="69" t="str">
        <f>IF(Main[[#This Row],[Tech Start Date]]&lt;1/1/1990,"",IF(Main[[#This Row],[Class]]="C",WORKDAY(Main[[#This Row],[Tech Start Date]],23),IF(Main[[#This Row],[Class]]="B", WORKDAY(Main[[#This Row],[Tech Start Date]],15),IF(Main[[#This Row],[Class]]="A",WORKDAY(Main[[#This Row],[Tech Start Date]],5),""))))</f>
        <v/>
      </c>
      <c r="P550" s="69" t="str">
        <f>IF(Main[[#This Row],[Tech Start Date]]&lt;1/1/1990,"",IF(Main[[#This Row],[Class]]="C",WORKDAY(Main[[#This Row],[Tech Start Date]],28),IF(Main[[#This Row],[Class]]="B", WORKDAY(Main[[#This Row],[Tech Start Date]],19),IF(Main[[#This Row],[Class]]="A",WORKDAY(Main[[#This Row],[Tech Start Date]],9),""))))</f>
        <v/>
      </c>
      <c r="Q550" s="67">
        <v>40214</v>
      </c>
      <c r="R550" s="67"/>
      <c r="S550" s="65" t="s">
        <v>11</v>
      </c>
      <c r="T550" s="70" t="s">
        <v>4</v>
      </c>
      <c r="U550" s="65" t="s">
        <v>12</v>
      </c>
      <c r="V550" s="65" t="s">
        <v>1914</v>
      </c>
      <c r="W550" s="65" t="s">
        <v>1920</v>
      </c>
      <c r="X550" s="65" t="s">
        <v>2845</v>
      </c>
      <c r="Y550" s="65" t="s">
        <v>4</v>
      </c>
      <c r="Z550" s="65" t="s">
        <v>4</v>
      </c>
      <c r="AA550" s="65" t="s">
        <v>2845</v>
      </c>
    </row>
    <row r="551" spans="1:27" ht="17.45" hidden="1" customHeight="1">
      <c r="A551" s="100" t="str">
        <f>IF(priority(Main[[#This Row],[Comments]])&lt;&gt;0, priority(Main[[#This Row],[Comments]]),"")</f>
        <v/>
      </c>
      <c r="B551" s="77" t="s">
        <v>1186</v>
      </c>
      <c r="C551" s="65" t="s">
        <v>4</v>
      </c>
      <c r="D551" s="66" t="s">
        <v>247</v>
      </c>
      <c r="E551" s="67"/>
      <c r="F551" s="67"/>
      <c r="G551" s="64" t="str">
        <f>IF(stdProdLT(Main[[#This Row],[Comments]])=0.1,"N/A",IF(stdProdLT(Main[[#This Row],[Comments]])=0,"",stdProdLT(Main[[#This Row],[Comments]])))</f>
        <v/>
      </c>
      <c r="H551" s="68" t="str">
        <f>IF(AND(Main[[#This Row],[In Stock Date]]&lt;&gt;"",Main[[#This Row],[Revised Due Date]]&lt;&gt;""),Main[[#This Row],[In Stock Date]]-Main[[#This Row],[Revised Due Date]],"")</f>
        <v/>
      </c>
      <c r="I551" s="65" t="s">
        <v>4</v>
      </c>
      <c r="J551" s="65" t="s">
        <v>28</v>
      </c>
      <c r="K551" s="65" t="s">
        <v>4</v>
      </c>
      <c r="L551" s="67"/>
      <c r="M551" s="69" t="str">
        <f>IF(Main[[#This Row],[Tech Start Date]]&lt;1/1/1990,"",IF(Main[[#This Row],[Class]]="C",WORKDAY(Main[[#This Row],[Tech Start Date]],9),IF(Main[[#This Row],[Class]]="B", WORKDAY(Main[[#This Row],[Tech Start Date]],6),IF(Main[[#This Row],[Class]]="A",WORKDAY(Main[[#This Row],[Tech Start Date]],2),""))))</f>
        <v/>
      </c>
      <c r="N551" s="69" t="str">
        <f>IF(Main[[#This Row],[Tech Start Date]]&lt;1/1/1990,"",IF(Main[[#This Row],[Class]]="C",WORKDAY(Main[[#This Row],[Tech Start Date]],19),IF(Main[[#This Row],[Class]]="B", WORKDAY(Main[[#This Row],[Tech Start Date]],12),IF(Main[[#This Row],[Class]]="A",WORKDAY(Main[[#This Row],[Tech Start Date]],4),""))))</f>
        <v/>
      </c>
      <c r="O551" s="69" t="str">
        <f>IF(Main[[#This Row],[Tech Start Date]]&lt;1/1/1990,"",IF(Main[[#This Row],[Class]]="C",WORKDAY(Main[[#This Row],[Tech Start Date]],23),IF(Main[[#This Row],[Class]]="B", WORKDAY(Main[[#This Row],[Tech Start Date]],15),IF(Main[[#This Row],[Class]]="A",WORKDAY(Main[[#This Row],[Tech Start Date]],5),""))))</f>
        <v/>
      </c>
      <c r="P551" s="69" t="str">
        <f>IF(Main[[#This Row],[Tech Start Date]]&lt;1/1/1990,"",IF(Main[[#This Row],[Class]]="C",WORKDAY(Main[[#This Row],[Tech Start Date]],28),IF(Main[[#This Row],[Class]]="B", WORKDAY(Main[[#This Row],[Tech Start Date]],19),IF(Main[[#This Row],[Class]]="A",WORKDAY(Main[[#This Row],[Tech Start Date]],9),""))))</f>
        <v/>
      </c>
      <c r="Q551" s="67">
        <v>40480</v>
      </c>
      <c r="R551" s="67"/>
      <c r="S551" s="65" t="s">
        <v>6</v>
      </c>
      <c r="T551" s="70" t="s">
        <v>4</v>
      </c>
      <c r="U551" s="65" t="s">
        <v>14</v>
      </c>
      <c r="V551" s="65" t="s">
        <v>1914</v>
      </c>
      <c r="W551" s="65" t="s">
        <v>1922</v>
      </c>
      <c r="X551" s="65" t="s">
        <v>2895</v>
      </c>
      <c r="Y551" s="65" t="s">
        <v>3060</v>
      </c>
      <c r="Z551" s="65" t="s">
        <v>129</v>
      </c>
      <c r="AA551" s="65" t="s">
        <v>2895</v>
      </c>
    </row>
    <row r="552" spans="1:27" ht="17.45" hidden="1" customHeight="1">
      <c r="A552" s="100" t="str">
        <f>IF(priority(Main[[#This Row],[Comments]])&lt;&gt;0, priority(Main[[#This Row],[Comments]]),"")</f>
        <v/>
      </c>
      <c r="B552" s="77" t="s">
        <v>1500</v>
      </c>
      <c r="C552" s="65" t="s">
        <v>31</v>
      </c>
      <c r="D552" s="66" t="s">
        <v>604</v>
      </c>
      <c r="E552" s="67"/>
      <c r="F552" s="67">
        <v>40330</v>
      </c>
      <c r="G552" s="64" t="str">
        <f>IF(stdProdLT(Main[[#This Row],[Comments]])=0.1,"N/A",IF(stdProdLT(Main[[#This Row],[Comments]])=0,"",stdProdLT(Main[[#This Row],[Comments]])))</f>
        <v/>
      </c>
      <c r="H552" s="68" t="str">
        <f>IF(AND(Main[[#This Row],[In Stock Date]]&lt;&gt;"",Main[[#This Row],[Revised Due Date]]&lt;&gt;""),Main[[#This Row],[In Stock Date]]-Main[[#This Row],[Revised Due Date]],"")</f>
        <v/>
      </c>
      <c r="I552" s="65" t="s">
        <v>417</v>
      </c>
      <c r="J552" s="65" t="s">
        <v>4</v>
      </c>
      <c r="K552" s="65" t="s">
        <v>4</v>
      </c>
      <c r="L552" s="67"/>
      <c r="M552" s="69" t="str">
        <f>IF(Main[[#This Row],[Tech Start Date]]&lt;1/1/1990,"",IF(Main[[#This Row],[Class]]="C",WORKDAY(Main[[#This Row],[Tech Start Date]],9),IF(Main[[#This Row],[Class]]="B", WORKDAY(Main[[#This Row],[Tech Start Date]],6),IF(Main[[#This Row],[Class]]="A",WORKDAY(Main[[#This Row],[Tech Start Date]],2),""))))</f>
        <v/>
      </c>
      <c r="N552" s="69" t="str">
        <f>IF(Main[[#This Row],[Tech Start Date]]&lt;1/1/1990,"",IF(Main[[#This Row],[Class]]="C",WORKDAY(Main[[#This Row],[Tech Start Date]],19),IF(Main[[#This Row],[Class]]="B", WORKDAY(Main[[#This Row],[Tech Start Date]],12),IF(Main[[#This Row],[Class]]="A",WORKDAY(Main[[#This Row],[Tech Start Date]],4),""))))</f>
        <v/>
      </c>
      <c r="O552" s="69" t="str">
        <f>IF(Main[[#This Row],[Tech Start Date]]&lt;1/1/1990,"",IF(Main[[#This Row],[Class]]="C",WORKDAY(Main[[#This Row],[Tech Start Date]],23),IF(Main[[#This Row],[Class]]="B", WORKDAY(Main[[#This Row],[Tech Start Date]],15),IF(Main[[#This Row],[Class]]="A",WORKDAY(Main[[#This Row],[Tech Start Date]],5),""))))</f>
        <v/>
      </c>
      <c r="P552" s="69" t="str">
        <f>IF(Main[[#This Row],[Tech Start Date]]&lt;1/1/1990,"",IF(Main[[#This Row],[Class]]="C",WORKDAY(Main[[#This Row],[Tech Start Date]],28),IF(Main[[#This Row],[Class]]="B", WORKDAY(Main[[#This Row],[Tech Start Date]],19),IF(Main[[#This Row],[Class]]="A",WORKDAY(Main[[#This Row],[Tech Start Date]],9),""))))</f>
        <v/>
      </c>
      <c r="Q552" s="67">
        <v>40210</v>
      </c>
      <c r="R552" s="67"/>
      <c r="S552" s="65" t="s">
        <v>11</v>
      </c>
      <c r="T552" s="70" t="s">
        <v>4</v>
      </c>
      <c r="U552" s="65" t="s">
        <v>14</v>
      </c>
      <c r="V552" s="65" t="s">
        <v>1917</v>
      </c>
      <c r="W552" s="65" t="s">
        <v>1920</v>
      </c>
      <c r="X552" s="65" t="s">
        <v>2824</v>
      </c>
      <c r="Y552" s="65" t="s">
        <v>2943</v>
      </c>
      <c r="Z552" s="65" t="s">
        <v>4</v>
      </c>
      <c r="AA552" s="65" t="s">
        <v>2824</v>
      </c>
    </row>
    <row r="553" spans="1:27" ht="17.45" hidden="1" customHeight="1">
      <c r="A553" s="100" t="str">
        <f>IF(priority(Main[[#This Row],[Comments]])&lt;&gt;0, priority(Main[[#This Row],[Comments]]),"")</f>
        <v/>
      </c>
      <c r="B553" s="77" t="s">
        <v>1501</v>
      </c>
      <c r="C553" s="65" t="s">
        <v>4</v>
      </c>
      <c r="D553" s="66" t="s">
        <v>605</v>
      </c>
      <c r="E553" s="67">
        <v>40312.431608796294</v>
      </c>
      <c r="F553" s="67"/>
      <c r="G553" s="64" t="str">
        <f>IF(stdProdLT(Main[[#This Row],[Comments]])=0.1,"N/A",IF(stdProdLT(Main[[#This Row],[Comments]])=0,"",stdProdLT(Main[[#This Row],[Comments]])))</f>
        <v/>
      </c>
      <c r="H553" s="68" t="str">
        <f>IF(AND(Main[[#This Row],[In Stock Date]]&lt;&gt;"",Main[[#This Row],[Revised Due Date]]&lt;&gt;""),Main[[#This Row],[In Stock Date]]-Main[[#This Row],[Revised Due Date]],"")</f>
        <v/>
      </c>
      <c r="I553" s="65" t="s">
        <v>129</v>
      </c>
      <c r="J553" s="65" t="s">
        <v>4</v>
      </c>
      <c r="K553" s="71" t="s">
        <v>4</v>
      </c>
      <c r="L553" s="67"/>
      <c r="M553" s="69" t="str">
        <f>IF(Main[[#This Row],[Tech Start Date]]&lt;1/1/1990,"",IF(Main[[#This Row],[Class]]="C",WORKDAY(Main[[#This Row],[Tech Start Date]],9),IF(Main[[#This Row],[Class]]="B", WORKDAY(Main[[#This Row],[Tech Start Date]],6),IF(Main[[#This Row],[Class]]="A",WORKDAY(Main[[#This Row],[Tech Start Date]],2),""))))</f>
        <v/>
      </c>
      <c r="N553" s="69" t="str">
        <f>IF(Main[[#This Row],[Tech Start Date]]&lt;1/1/1990,"",IF(Main[[#This Row],[Class]]="C",WORKDAY(Main[[#This Row],[Tech Start Date]],19),IF(Main[[#This Row],[Class]]="B", WORKDAY(Main[[#This Row],[Tech Start Date]],12),IF(Main[[#This Row],[Class]]="A",WORKDAY(Main[[#This Row],[Tech Start Date]],4),""))))</f>
        <v/>
      </c>
      <c r="O553" s="69" t="str">
        <f>IF(Main[[#This Row],[Tech Start Date]]&lt;1/1/1990,"",IF(Main[[#This Row],[Class]]="C",WORKDAY(Main[[#This Row],[Tech Start Date]],23),IF(Main[[#This Row],[Class]]="B", WORKDAY(Main[[#This Row],[Tech Start Date]],15),IF(Main[[#This Row],[Class]]="A",WORKDAY(Main[[#This Row],[Tech Start Date]],5),""))))</f>
        <v/>
      </c>
      <c r="P553" s="69" t="str">
        <f>IF(Main[[#This Row],[Tech Start Date]]&lt;1/1/1990,"",IF(Main[[#This Row],[Class]]="C",WORKDAY(Main[[#This Row],[Tech Start Date]],28),IF(Main[[#This Row],[Class]]="B", WORKDAY(Main[[#This Row],[Tech Start Date]],19),IF(Main[[#This Row],[Class]]="A",WORKDAY(Main[[#This Row],[Tech Start Date]],9),""))))</f>
        <v/>
      </c>
      <c r="Q553" s="67">
        <v>40326</v>
      </c>
      <c r="R553" s="67"/>
      <c r="S553" s="65" t="s">
        <v>6</v>
      </c>
      <c r="T553" s="70" t="s">
        <v>4</v>
      </c>
      <c r="U553" s="65" t="s">
        <v>7</v>
      </c>
      <c r="V553" s="65" t="s">
        <v>1914</v>
      </c>
      <c r="W553" s="65" t="s">
        <v>1918</v>
      </c>
      <c r="X553" s="65" t="s">
        <v>102</v>
      </c>
      <c r="Y553" s="65" t="s">
        <v>3011</v>
      </c>
      <c r="Z553" s="65" t="s">
        <v>4</v>
      </c>
      <c r="AA553" s="65" t="s">
        <v>102</v>
      </c>
    </row>
    <row r="554" spans="1:27" ht="17.45" hidden="1" customHeight="1">
      <c r="A554" s="100" t="str">
        <f>IF(priority(Main[[#This Row],[Comments]])&lt;&gt;0, priority(Main[[#This Row],[Comments]]),"")</f>
        <v/>
      </c>
      <c r="B554" s="77" t="s">
        <v>1514</v>
      </c>
      <c r="C554" s="65" t="s">
        <v>4</v>
      </c>
      <c r="D554" s="66" t="s">
        <v>590</v>
      </c>
      <c r="E554" s="67"/>
      <c r="F554" s="67"/>
      <c r="G554" s="64" t="str">
        <f>IF(stdProdLT(Main[[#This Row],[Comments]])=0.1,"N/A",IF(stdProdLT(Main[[#This Row],[Comments]])=0,"",stdProdLT(Main[[#This Row],[Comments]])))</f>
        <v/>
      </c>
      <c r="H554" s="68" t="str">
        <f>IF(AND(Main[[#This Row],[In Stock Date]]&lt;&gt;"",Main[[#This Row],[Revised Due Date]]&lt;&gt;""),Main[[#This Row],[In Stock Date]]-Main[[#This Row],[Revised Due Date]],"")</f>
        <v/>
      </c>
      <c r="I554" s="65" t="s">
        <v>4</v>
      </c>
      <c r="J554" s="65" t="s">
        <v>4</v>
      </c>
      <c r="K554" s="65" t="s">
        <v>4</v>
      </c>
      <c r="L554" s="67"/>
      <c r="M554" s="69" t="str">
        <f>IF(Main[[#This Row],[Tech Start Date]]&lt;1/1/1990,"",IF(Main[[#This Row],[Class]]="C",WORKDAY(Main[[#This Row],[Tech Start Date]],9),IF(Main[[#This Row],[Class]]="B", WORKDAY(Main[[#This Row],[Tech Start Date]],6),IF(Main[[#This Row],[Class]]="A",WORKDAY(Main[[#This Row],[Tech Start Date]],2),""))))</f>
        <v/>
      </c>
      <c r="N554" s="69" t="str">
        <f>IF(Main[[#This Row],[Tech Start Date]]&lt;1/1/1990,"",IF(Main[[#This Row],[Class]]="C",WORKDAY(Main[[#This Row],[Tech Start Date]],19),IF(Main[[#This Row],[Class]]="B", WORKDAY(Main[[#This Row],[Tech Start Date]],12),IF(Main[[#This Row],[Class]]="A",WORKDAY(Main[[#This Row],[Tech Start Date]],4),""))))</f>
        <v/>
      </c>
      <c r="O554" s="69" t="str">
        <f>IF(Main[[#This Row],[Tech Start Date]]&lt;1/1/1990,"",IF(Main[[#This Row],[Class]]="C",WORKDAY(Main[[#This Row],[Tech Start Date]],23),IF(Main[[#This Row],[Class]]="B", WORKDAY(Main[[#This Row],[Tech Start Date]],15),IF(Main[[#This Row],[Class]]="A",WORKDAY(Main[[#This Row],[Tech Start Date]],5),""))))</f>
        <v/>
      </c>
      <c r="P554" s="69" t="str">
        <f>IF(Main[[#This Row],[Tech Start Date]]&lt;1/1/1990,"",IF(Main[[#This Row],[Class]]="C",WORKDAY(Main[[#This Row],[Tech Start Date]],28),IF(Main[[#This Row],[Class]]="B", WORKDAY(Main[[#This Row],[Tech Start Date]],19),IF(Main[[#This Row],[Class]]="A",WORKDAY(Main[[#This Row],[Tech Start Date]],9),""))))</f>
        <v/>
      </c>
      <c r="Q554" s="67"/>
      <c r="R554" s="67"/>
      <c r="S554" s="65" t="s">
        <v>23</v>
      </c>
      <c r="T554" s="70" t="s">
        <v>4</v>
      </c>
      <c r="U554" s="65" t="s">
        <v>14</v>
      </c>
      <c r="V554" s="65" t="s">
        <v>1914</v>
      </c>
      <c r="W554" s="65" t="s">
        <v>1918</v>
      </c>
      <c r="X554" s="65" t="s">
        <v>102</v>
      </c>
      <c r="Y554" s="65" t="s">
        <v>3068</v>
      </c>
      <c r="Z554" s="65" t="s">
        <v>4</v>
      </c>
      <c r="AA554" s="65" t="s">
        <v>3422</v>
      </c>
    </row>
    <row r="555" spans="1:27" ht="17.45" hidden="1" customHeight="1">
      <c r="A555" s="100" t="str">
        <f>IF(priority(Main[[#This Row],[Comments]])&lt;&gt;0, priority(Main[[#This Row],[Comments]]),"")</f>
        <v/>
      </c>
      <c r="B555" s="77" t="s">
        <v>1515</v>
      </c>
      <c r="C555" s="65" t="s">
        <v>4</v>
      </c>
      <c r="D555" s="66" t="s">
        <v>591</v>
      </c>
      <c r="E555" s="67"/>
      <c r="F555" s="67">
        <v>40047</v>
      </c>
      <c r="G555" s="64" t="str">
        <f>IF(stdProdLT(Main[[#This Row],[Comments]])=0.1,"N/A",IF(stdProdLT(Main[[#This Row],[Comments]])=0,"",stdProdLT(Main[[#This Row],[Comments]])))</f>
        <v/>
      </c>
      <c r="H555" s="68" t="str">
        <f>IF(AND(Main[[#This Row],[In Stock Date]]&lt;&gt;"",Main[[#This Row],[Revised Due Date]]&lt;&gt;""),Main[[#This Row],[In Stock Date]]-Main[[#This Row],[Revised Due Date]],"")</f>
        <v/>
      </c>
      <c r="I555" s="65" t="s">
        <v>4</v>
      </c>
      <c r="J555" s="65" t="s">
        <v>4</v>
      </c>
      <c r="K555" s="65" t="s">
        <v>4</v>
      </c>
      <c r="L555" s="67"/>
      <c r="M555" s="69" t="str">
        <f>IF(Main[[#This Row],[Tech Start Date]]&lt;1/1/1990,"",IF(Main[[#This Row],[Class]]="C",WORKDAY(Main[[#This Row],[Tech Start Date]],9),IF(Main[[#This Row],[Class]]="B", WORKDAY(Main[[#This Row],[Tech Start Date]],6),IF(Main[[#This Row],[Class]]="A",WORKDAY(Main[[#This Row],[Tech Start Date]],2),""))))</f>
        <v/>
      </c>
      <c r="N555" s="69" t="str">
        <f>IF(Main[[#This Row],[Tech Start Date]]&lt;1/1/1990,"",IF(Main[[#This Row],[Class]]="C",WORKDAY(Main[[#This Row],[Tech Start Date]],19),IF(Main[[#This Row],[Class]]="B", WORKDAY(Main[[#This Row],[Tech Start Date]],12),IF(Main[[#This Row],[Class]]="A",WORKDAY(Main[[#This Row],[Tech Start Date]],4),""))))</f>
        <v/>
      </c>
      <c r="O555" s="69" t="str">
        <f>IF(Main[[#This Row],[Tech Start Date]]&lt;1/1/1990,"",IF(Main[[#This Row],[Class]]="C",WORKDAY(Main[[#This Row],[Tech Start Date]],23),IF(Main[[#This Row],[Class]]="B", WORKDAY(Main[[#This Row],[Tech Start Date]],15),IF(Main[[#This Row],[Class]]="A",WORKDAY(Main[[#This Row],[Tech Start Date]],5),""))))</f>
        <v/>
      </c>
      <c r="P555" s="69" t="str">
        <f>IF(Main[[#This Row],[Tech Start Date]]&lt;1/1/1990,"",IF(Main[[#This Row],[Class]]="C",WORKDAY(Main[[#This Row],[Tech Start Date]],28),IF(Main[[#This Row],[Class]]="B", WORKDAY(Main[[#This Row],[Tech Start Date]],19),IF(Main[[#This Row],[Class]]="A",WORKDAY(Main[[#This Row],[Tech Start Date]],9),""))))</f>
        <v/>
      </c>
      <c r="Q555" s="67"/>
      <c r="R555" s="67"/>
      <c r="S555" s="65" t="s">
        <v>11</v>
      </c>
      <c r="T555" s="70" t="s">
        <v>4</v>
      </c>
      <c r="U555" s="65" t="s">
        <v>14</v>
      </c>
      <c r="V555" s="65" t="s">
        <v>1917</v>
      </c>
      <c r="W555" s="65" t="s">
        <v>1920</v>
      </c>
      <c r="X555" s="65" t="s">
        <v>2863</v>
      </c>
      <c r="Y555" s="65" t="s">
        <v>3069</v>
      </c>
      <c r="Z555" s="65" t="s">
        <v>4</v>
      </c>
      <c r="AA555" s="65" t="s">
        <v>2863</v>
      </c>
    </row>
    <row r="556" spans="1:27" ht="17.45" hidden="1" customHeight="1">
      <c r="A556" s="100" t="str">
        <f>IF(priority(Main[[#This Row],[Comments]])&lt;&gt;0, priority(Main[[#This Row],[Comments]]),"")</f>
        <v/>
      </c>
      <c r="B556" s="77" t="s">
        <v>1516</v>
      </c>
      <c r="C556" s="65" t="s">
        <v>4</v>
      </c>
      <c r="D556" s="66" t="s">
        <v>592</v>
      </c>
      <c r="E556" s="67"/>
      <c r="F556" s="67"/>
      <c r="G556" s="64" t="str">
        <f>IF(stdProdLT(Main[[#This Row],[Comments]])=0.1,"N/A",IF(stdProdLT(Main[[#This Row],[Comments]])=0,"",stdProdLT(Main[[#This Row],[Comments]])))</f>
        <v/>
      </c>
      <c r="H556" s="68" t="str">
        <f>IF(AND(Main[[#This Row],[In Stock Date]]&lt;&gt;"",Main[[#This Row],[Revised Due Date]]&lt;&gt;""),Main[[#This Row],[In Stock Date]]-Main[[#This Row],[Revised Due Date]],"")</f>
        <v/>
      </c>
      <c r="I556" s="65" t="s">
        <v>4</v>
      </c>
      <c r="J556" s="65" t="s">
        <v>4</v>
      </c>
      <c r="K556" s="65" t="s">
        <v>4</v>
      </c>
      <c r="L556" s="67"/>
      <c r="M556" s="69" t="str">
        <f>IF(Main[[#This Row],[Tech Start Date]]&lt;1/1/1990,"",IF(Main[[#This Row],[Class]]="C",WORKDAY(Main[[#This Row],[Tech Start Date]],9),IF(Main[[#This Row],[Class]]="B", WORKDAY(Main[[#This Row],[Tech Start Date]],6),IF(Main[[#This Row],[Class]]="A",WORKDAY(Main[[#This Row],[Tech Start Date]],2),""))))</f>
        <v/>
      </c>
      <c r="N556" s="69" t="str">
        <f>IF(Main[[#This Row],[Tech Start Date]]&lt;1/1/1990,"",IF(Main[[#This Row],[Class]]="C",WORKDAY(Main[[#This Row],[Tech Start Date]],19),IF(Main[[#This Row],[Class]]="B", WORKDAY(Main[[#This Row],[Tech Start Date]],12),IF(Main[[#This Row],[Class]]="A",WORKDAY(Main[[#This Row],[Tech Start Date]],4),""))))</f>
        <v/>
      </c>
      <c r="O556" s="69" t="str">
        <f>IF(Main[[#This Row],[Tech Start Date]]&lt;1/1/1990,"",IF(Main[[#This Row],[Class]]="C",WORKDAY(Main[[#This Row],[Tech Start Date]],23),IF(Main[[#This Row],[Class]]="B", WORKDAY(Main[[#This Row],[Tech Start Date]],15),IF(Main[[#This Row],[Class]]="A",WORKDAY(Main[[#This Row],[Tech Start Date]],5),""))))</f>
        <v/>
      </c>
      <c r="P556" s="69" t="str">
        <f>IF(Main[[#This Row],[Tech Start Date]]&lt;1/1/1990,"",IF(Main[[#This Row],[Class]]="C",WORKDAY(Main[[#This Row],[Tech Start Date]],28),IF(Main[[#This Row],[Class]]="B", WORKDAY(Main[[#This Row],[Tech Start Date]],19),IF(Main[[#This Row],[Class]]="A",WORKDAY(Main[[#This Row],[Tech Start Date]],9),""))))</f>
        <v/>
      </c>
      <c r="Q556" s="67"/>
      <c r="R556" s="67"/>
      <c r="S556" s="65" t="s">
        <v>6</v>
      </c>
      <c r="T556" s="70" t="s">
        <v>4</v>
      </c>
      <c r="U556" s="65" t="s">
        <v>12</v>
      </c>
      <c r="V556" s="65" t="s">
        <v>1914</v>
      </c>
      <c r="W556" s="65" t="s">
        <v>1918</v>
      </c>
      <c r="X556" s="65" t="s">
        <v>708</v>
      </c>
      <c r="Y556" s="65" t="s">
        <v>3070</v>
      </c>
      <c r="Z556" s="65" t="s">
        <v>4</v>
      </c>
      <c r="AA556" s="65" t="s">
        <v>708</v>
      </c>
    </row>
    <row r="557" spans="1:27" ht="17.45" hidden="1" customHeight="1">
      <c r="A557" s="100" t="str">
        <f>IF(priority(Main[[#This Row],[Comments]])&lt;&gt;0, priority(Main[[#This Row],[Comments]]),"")</f>
        <v/>
      </c>
      <c r="B557" s="77" t="s">
        <v>1517</v>
      </c>
      <c r="C557" s="65" t="s">
        <v>47</v>
      </c>
      <c r="D557" s="66" t="s">
        <v>593</v>
      </c>
      <c r="E557" s="67"/>
      <c r="F557" s="67"/>
      <c r="G557" s="64" t="str">
        <f>IF(stdProdLT(Main[[#This Row],[Comments]])=0.1,"N/A",IF(stdProdLT(Main[[#This Row],[Comments]])=0,"",stdProdLT(Main[[#This Row],[Comments]])))</f>
        <v/>
      </c>
      <c r="H557" s="68" t="str">
        <f>IF(AND(Main[[#This Row],[In Stock Date]]&lt;&gt;"",Main[[#This Row],[Revised Due Date]]&lt;&gt;""),Main[[#This Row],[In Stock Date]]-Main[[#This Row],[Revised Due Date]],"")</f>
        <v/>
      </c>
      <c r="I557" s="65" t="s">
        <v>4</v>
      </c>
      <c r="J557" s="65" t="s">
        <v>4</v>
      </c>
      <c r="K557" s="71" t="s">
        <v>4</v>
      </c>
      <c r="L557" s="67"/>
      <c r="M557" s="69" t="str">
        <f>IF(Main[[#This Row],[Tech Start Date]]&lt;1/1/1990,"",IF(Main[[#This Row],[Class]]="C",WORKDAY(Main[[#This Row],[Tech Start Date]],9),IF(Main[[#This Row],[Class]]="B", WORKDAY(Main[[#This Row],[Tech Start Date]],6),IF(Main[[#This Row],[Class]]="A",WORKDAY(Main[[#This Row],[Tech Start Date]],2),""))))</f>
        <v/>
      </c>
      <c r="N557" s="69" t="str">
        <f>IF(Main[[#This Row],[Tech Start Date]]&lt;1/1/1990,"",IF(Main[[#This Row],[Class]]="C",WORKDAY(Main[[#This Row],[Tech Start Date]],19),IF(Main[[#This Row],[Class]]="B", WORKDAY(Main[[#This Row],[Tech Start Date]],12),IF(Main[[#This Row],[Class]]="A",WORKDAY(Main[[#This Row],[Tech Start Date]],4),""))))</f>
        <v/>
      </c>
      <c r="O557" s="69" t="str">
        <f>IF(Main[[#This Row],[Tech Start Date]]&lt;1/1/1990,"",IF(Main[[#This Row],[Class]]="C",WORKDAY(Main[[#This Row],[Tech Start Date]],23),IF(Main[[#This Row],[Class]]="B", WORKDAY(Main[[#This Row],[Tech Start Date]],15),IF(Main[[#This Row],[Class]]="A",WORKDAY(Main[[#This Row],[Tech Start Date]],5),""))))</f>
        <v/>
      </c>
      <c r="P557" s="69" t="str">
        <f>IF(Main[[#This Row],[Tech Start Date]]&lt;1/1/1990,"",IF(Main[[#This Row],[Class]]="C",WORKDAY(Main[[#This Row],[Tech Start Date]],28),IF(Main[[#This Row],[Class]]="B", WORKDAY(Main[[#This Row],[Tech Start Date]],19),IF(Main[[#This Row],[Class]]="A",WORKDAY(Main[[#This Row],[Tech Start Date]],9),""))))</f>
        <v/>
      </c>
      <c r="Q557" s="67"/>
      <c r="R557" s="67"/>
      <c r="S557" s="65" t="s">
        <v>49</v>
      </c>
      <c r="T557" s="70" t="s">
        <v>4</v>
      </c>
      <c r="U557" s="65" t="s">
        <v>14</v>
      </c>
      <c r="V557" s="65" t="s">
        <v>1917</v>
      </c>
      <c r="W557" s="65" t="s">
        <v>1918</v>
      </c>
      <c r="X557" s="65" t="s">
        <v>306</v>
      </c>
      <c r="Y557" s="65" t="s">
        <v>2941</v>
      </c>
      <c r="Z557" s="65" t="s">
        <v>4</v>
      </c>
      <c r="AA557" s="65" t="s">
        <v>3377</v>
      </c>
    </row>
    <row r="558" spans="1:27" ht="17.45" hidden="1" customHeight="1">
      <c r="A558" s="100" t="str">
        <f>IF(priority(Main[[#This Row],[Comments]])&lt;&gt;0, priority(Main[[#This Row],[Comments]]),"")</f>
        <v/>
      </c>
      <c r="B558" s="77" t="s">
        <v>1995</v>
      </c>
      <c r="C558" s="65" t="s">
        <v>1996</v>
      </c>
      <c r="D558" s="66" t="s">
        <v>1997</v>
      </c>
      <c r="E558" s="67"/>
      <c r="F558" s="67">
        <v>40801</v>
      </c>
      <c r="G558" s="64" t="str">
        <f>IF(stdProdLT(Main[[#This Row],[Comments]])=0.1,"N/A",IF(stdProdLT(Main[[#This Row],[Comments]])=0,"",stdProdLT(Main[[#This Row],[Comments]])))</f>
        <v/>
      </c>
      <c r="H558" s="68" t="str">
        <f>IF(AND(Main[[#This Row],[In Stock Date]]&lt;&gt;"",Main[[#This Row],[Revised Due Date]]&lt;&gt;""),Main[[#This Row],[In Stock Date]]-Main[[#This Row],[Revised Due Date]],"")</f>
        <v/>
      </c>
      <c r="I558" s="65" t="s">
        <v>4</v>
      </c>
      <c r="J558" s="65" t="s">
        <v>4</v>
      </c>
      <c r="K558" s="71" t="s">
        <v>4</v>
      </c>
      <c r="L558" s="67"/>
      <c r="M558" s="69" t="str">
        <f>IF(Main[[#This Row],[Tech Start Date]]&lt;1/1/1990,"",IF(Main[[#This Row],[Class]]="C",WORKDAY(Main[[#This Row],[Tech Start Date]],9),IF(Main[[#This Row],[Class]]="B", WORKDAY(Main[[#This Row],[Tech Start Date]],6),IF(Main[[#This Row],[Class]]="A",WORKDAY(Main[[#This Row],[Tech Start Date]],2),""))))</f>
        <v/>
      </c>
      <c r="N558" s="69" t="str">
        <f>IF(Main[[#This Row],[Tech Start Date]]&lt;1/1/1990,"",IF(Main[[#This Row],[Class]]="C",WORKDAY(Main[[#This Row],[Tech Start Date]],19),IF(Main[[#This Row],[Class]]="B", WORKDAY(Main[[#This Row],[Tech Start Date]],12),IF(Main[[#This Row],[Class]]="A",WORKDAY(Main[[#This Row],[Tech Start Date]],4),""))))</f>
        <v/>
      </c>
      <c r="O558" s="69" t="str">
        <f>IF(Main[[#This Row],[Tech Start Date]]&lt;1/1/1990,"",IF(Main[[#This Row],[Class]]="C",WORKDAY(Main[[#This Row],[Tech Start Date]],23),IF(Main[[#This Row],[Class]]="B", WORKDAY(Main[[#This Row],[Tech Start Date]],15),IF(Main[[#This Row],[Class]]="A",WORKDAY(Main[[#This Row],[Tech Start Date]],5),""))))</f>
        <v/>
      </c>
      <c r="P558" s="69" t="str">
        <f>IF(Main[[#This Row],[Tech Start Date]]&lt;1/1/1990,"",IF(Main[[#This Row],[Class]]="C",WORKDAY(Main[[#This Row],[Tech Start Date]],28),IF(Main[[#This Row],[Class]]="B", WORKDAY(Main[[#This Row],[Tech Start Date]],19),IF(Main[[#This Row],[Class]]="A",WORKDAY(Main[[#This Row],[Tech Start Date]],9),""))))</f>
        <v/>
      </c>
      <c r="Q558" s="67"/>
      <c r="R558" s="67"/>
      <c r="S558" s="65" t="s">
        <v>6</v>
      </c>
      <c r="T558" s="70" t="s">
        <v>4</v>
      </c>
      <c r="U558" s="65" t="s">
        <v>12</v>
      </c>
      <c r="V558" s="65" t="s">
        <v>1917</v>
      </c>
      <c r="W558" s="65" t="s">
        <v>1918</v>
      </c>
      <c r="X558" s="65" t="s">
        <v>2899</v>
      </c>
      <c r="Y558" s="65" t="s">
        <v>3071</v>
      </c>
      <c r="Z558" s="65" t="s">
        <v>4</v>
      </c>
      <c r="AA558" s="65" t="s">
        <v>3423</v>
      </c>
    </row>
    <row r="559" spans="1:27" ht="17.45" hidden="1" customHeight="1">
      <c r="A559" s="100" t="str">
        <f>IF(priority(Main[[#This Row],[Comments]])&lt;&gt;0, priority(Main[[#This Row],[Comments]]),"")</f>
        <v/>
      </c>
      <c r="B559" s="77" t="s">
        <v>1518</v>
      </c>
      <c r="C559" s="65" t="s">
        <v>4</v>
      </c>
      <c r="D559" s="66" t="s">
        <v>594</v>
      </c>
      <c r="E559" s="67">
        <v>40270.342719907407</v>
      </c>
      <c r="F559" s="67"/>
      <c r="G559" s="64" t="str">
        <f>IF(stdProdLT(Main[[#This Row],[Comments]])=0.1,"N/A",IF(stdProdLT(Main[[#This Row],[Comments]])=0,"",stdProdLT(Main[[#This Row],[Comments]])))</f>
        <v/>
      </c>
      <c r="H559" s="68" t="str">
        <f>IF(AND(Main[[#This Row],[In Stock Date]]&lt;&gt;"",Main[[#This Row],[Revised Due Date]]&lt;&gt;""),Main[[#This Row],[In Stock Date]]-Main[[#This Row],[Revised Due Date]],"")</f>
        <v/>
      </c>
      <c r="I559" s="65" t="s">
        <v>4</v>
      </c>
      <c r="J559" s="65" t="s">
        <v>4</v>
      </c>
      <c r="K559" s="65" t="s">
        <v>4</v>
      </c>
      <c r="L559" s="67"/>
      <c r="M559" s="69" t="str">
        <f>IF(Main[[#This Row],[Tech Start Date]]&lt;1/1/1990,"",IF(Main[[#This Row],[Class]]="C",WORKDAY(Main[[#This Row],[Tech Start Date]],9),IF(Main[[#This Row],[Class]]="B", WORKDAY(Main[[#This Row],[Tech Start Date]],6),IF(Main[[#This Row],[Class]]="A",WORKDAY(Main[[#This Row],[Tech Start Date]],2),""))))</f>
        <v/>
      </c>
      <c r="N559" s="69" t="str">
        <f>IF(Main[[#This Row],[Tech Start Date]]&lt;1/1/1990,"",IF(Main[[#This Row],[Class]]="C",WORKDAY(Main[[#This Row],[Tech Start Date]],19),IF(Main[[#This Row],[Class]]="B", WORKDAY(Main[[#This Row],[Tech Start Date]],12),IF(Main[[#This Row],[Class]]="A",WORKDAY(Main[[#This Row],[Tech Start Date]],4),""))))</f>
        <v/>
      </c>
      <c r="O559" s="69" t="str">
        <f>IF(Main[[#This Row],[Tech Start Date]]&lt;1/1/1990,"",IF(Main[[#This Row],[Class]]="C",WORKDAY(Main[[#This Row],[Tech Start Date]],23),IF(Main[[#This Row],[Class]]="B", WORKDAY(Main[[#This Row],[Tech Start Date]],15),IF(Main[[#This Row],[Class]]="A",WORKDAY(Main[[#This Row],[Tech Start Date]],5),""))))</f>
        <v/>
      </c>
      <c r="P559" s="69" t="str">
        <f>IF(Main[[#This Row],[Tech Start Date]]&lt;1/1/1990,"",IF(Main[[#This Row],[Class]]="C",WORKDAY(Main[[#This Row],[Tech Start Date]],28),IF(Main[[#This Row],[Class]]="B", WORKDAY(Main[[#This Row],[Tech Start Date]],19),IF(Main[[#This Row],[Class]]="A",WORKDAY(Main[[#This Row],[Tech Start Date]],9),""))))</f>
        <v/>
      </c>
      <c r="Q559" s="67">
        <v>40359</v>
      </c>
      <c r="R559" s="67"/>
      <c r="S559" s="65" t="s">
        <v>6</v>
      </c>
      <c r="T559" s="70" t="s">
        <v>4</v>
      </c>
      <c r="U559" s="65" t="s">
        <v>7</v>
      </c>
      <c r="V559" s="65" t="s">
        <v>1914</v>
      </c>
      <c r="W559" s="65" t="s">
        <v>4</v>
      </c>
      <c r="X559" s="65" t="s">
        <v>2887</v>
      </c>
      <c r="Y559" s="65" t="s">
        <v>3043</v>
      </c>
      <c r="Z559" s="65" t="s">
        <v>4</v>
      </c>
      <c r="AA559" s="65" t="s">
        <v>2887</v>
      </c>
    </row>
    <row r="560" spans="1:27" ht="17.45" hidden="1" customHeight="1">
      <c r="A560" s="100" t="str">
        <f>IF(priority(Main[[#This Row],[Comments]])&lt;&gt;0, priority(Main[[#This Row],[Comments]]),"")</f>
        <v/>
      </c>
      <c r="B560" s="77" t="s">
        <v>1519</v>
      </c>
      <c r="C560" s="65" t="s">
        <v>351</v>
      </c>
      <c r="D560" s="66" t="s">
        <v>595</v>
      </c>
      <c r="E560" s="67"/>
      <c r="F560" s="67">
        <v>40452</v>
      </c>
      <c r="G560" s="64" t="str">
        <f>IF(stdProdLT(Main[[#This Row],[Comments]])=0.1,"N/A",IF(stdProdLT(Main[[#This Row],[Comments]])=0,"",stdProdLT(Main[[#This Row],[Comments]])))</f>
        <v/>
      </c>
      <c r="H560" s="68" t="str">
        <f>IF(AND(Main[[#This Row],[In Stock Date]]&lt;&gt;"",Main[[#This Row],[Revised Due Date]]&lt;&gt;""),Main[[#This Row],[In Stock Date]]-Main[[#This Row],[Revised Due Date]],"")</f>
        <v/>
      </c>
      <c r="I560" s="65" t="s">
        <v>4</v>
      </c>
      <c r="J560" s="65" t="s">
        <v>4</v>
      </c>
      <c r="K560" s="65" t="s">
        <v>4</v>
      </c>
      <c r="L560" s="67"/>
      <c r="M560" s="69" t="str">
        <f>IF(Main[[#This Row],[Tech Start Date]]&lt;1/1/1990,"",IF(Main[[#This Row],[Class]]="C",WORKDAY(Main[[#This Row],[Tech Start Date]],9),IF(Main[[#This Row],[Class]]="B", WORKDAY(Main[[#This Row],[Tech Start Date]],6),IF(Main[[#This Row],[Class]]="A",WORKDAY(Main[[#This Row],[Tech Start Date]],2),""))))</f>
        <v/>
      </c>
      <c r="N560" s="69" t="str">
        <f>IF(Main[[#This Row],[Tech Start Date]]&lt;1/1/1990,"",IF(Main[[#This Row],[Class]]="C",WORKDAY(Main[[#This Row],[Tech Start Date]],19),IF(Main[[#This Row],[Class]]="B", WORKDAY(Main[[#This Row],[Tech Start Date]],12),IF(Main[[#This Row],[Class]]="A",WORKDAY(Main[[#This Row],[Tech Start Date]],4),""))))</f>
        <v/>
      </c>
      <c r="O560" s="69" t="str">
        <f>IF(Main[[#This Row],[Tech Start Date]]&lt;1/1/1990,"",IF(Main[[#This Row],[Class]]="C",WORKDAY(Main[[#This Row],[Tech Start Date]],23),IF(Main[[#This Row],[Class]]="B", WORKDAY(Main[[#This Row],[Tech Start Date]],15),IF(Main[[#This Row],[Class]]="A",WORKDAY(Main[[#This Row],[Tech Start Date]],5),""))))</f>
        <v/>
      </c>
      <c r="P560" s="69" t="str">
        <f>IF(Main[[#This Row],[Tech Start Date]]&lt;1/1/1990,"",IF(Main[[#This Row],[Class]]="C",WORKDAY(Main[[#This Row],[Tech Start Date]],28),IF(Main[[#This Row],[Class]]="B", WORKDAY(Main[[#This Row],[Tech Start Date]],19),IF(Main[[#This Row],[Class]]="A",WORKDAY(Main[[#This Row],[Tech Start Date]],9),""))))</f>
        <v/>
      </c>
      <c r="Q560" s="67">
        <v>40344</v>
      </c>
      <c r="R560" s="67"/>
      <c r="S560" s="65" t="s">
        <v>11</v>
      </c>
      <c r="T560" s="70" t="s">
        <v>4</v>
      </c>
      <c r="U560" s="65" t="s">
        <v>14</v>
      </c>
      <c r="V560" s="65" t="s">
        <v>1917</v>
      </c>
      <c r="W560" s="65" t="s">
        <v>1920</v>
      </c>
      <c r="X560" s="65" t="s">
        <v>2872</v>
      </c>
      <c r="Y560" s="65" t="s">
        <v>2996</v>
      </c>
      <c r="Z560" s="65" t="s">
        <v>530</v>
      </c>
      <c r="AA560" s="65" t="s">
        <v>2872</v>
      </c>
    </row>
    <row r="561" spans="1:27" ht="17.45" hidden="1" customHeight="1">
      <c r="A561" s="100" t="str">
        <f>IF(priority(Main[[#This Row],[Comments]])&lt;&gt;0, priority(Main[[#This Row],[Comments]]),"")</f>
        <v/>
      </c>
      <c r="B561" s="77" t="s">
        <v>1520</v>
      </c>
      <c r="C561" s="65" t="s">
        <v>4</v>
      </c>
      <c r="D561" s="66" t="s">
        <v>596</v>
      </c>
      <c r="E561" s="67">
        <v>40645.435763888891</v>
      </c>
      <c r="F561" s="67"/>
      <c r="G561" s="64" t="str">
        <f>IF(stdProdLT(Main[[#This Row],[Comments]])=0.1,"N/A",IF(stdProdLT(Main[[#This Row],[Comments]])=0,"",stdProdLT(Main[[#This Row],[Comments]])))</f>
        <v/>
      </c>
      <c r="H561" s="68" t="str">
        <f>IF(AND(Main[[#This Row],[In Stock Date]]&lt;&gt;"",Main[[#This Row],[Revised Due Date]]&lt;&gt;""),Main[[#This Row],[In Stock Date]]-Main[[#This Row],[Revised Due Date]],"")</f>
        <v/>
      </c>
      <c r="I561" s="65" t="s">
        <v>561</v>
      </c>
      <c r="J561" s="65" t="s">
        <v>70</v>
      </c>
      <c r="K561" s="65" t="s">
        <v>4</v>
      </c>
      <c r="L561" s="67"/>
      <c r="M561" s="69" t="str">
        <f>IF(Main[[#This Row],[Tech Start Date]]&lt;1/1/1990,"",IF(Main[[#This Row],[Class]]="C",WORKDAY(Main[[#This Row],[Tech Start Date]],9),IF(Main[[#This Row],[Class]]="B", WORKDAY(Main[[#This Row],[Tech Start Date]],6),IF(Main[[#This Row],[Class]]="A",WORKDAY(Main[[#This Row],[Tech Start Date]],2),""))))</f>
        <v/>
      </c>
      <c r="N561" s="69" t="str">
        <f>IF(Main[[#This Row],[Tech Start Date]]&lt;1/1/1990,"",IF(Main[[#This Row],[Class]]="C",WORKDAY(Main[[#This Row],[Tech Start Date]],19),IF(Main[[#This Row],[Class]]="B", WORKDAY(Main[[#This Row],[Tech Start Date]],12),IF(Main[[#This Row],[Class]]="A",WORKDAY(Main[[#This Row],[Tech Start Date]],4),""))))</f>
        <v/>
      </c>
      <c r="O561" s="69" t="str">
        <f>IF(Main[[#This Row],[Tech Start Date]]&lt;1/1/1990,"",IF(Main[[#This Row],[Class]]="C",WORKDAY(Main[[#This Row],[Tech Start Date]],23),IF(Main[[#This Row],[Class]]="B", WORKDAY(Main[[#This Row],[Tech Start Date]],15),IF(Main[[#This Row],[Class]]="A",WORKDAY(Main[[#This Row],[Tech Start Date]],5),""))))</f>
        <v/>
      </c>
      <c r="P561" s="69" t="str">
        <f>IF(Main[[#This Row],[Tech Start Date]]&lt;1/1/1990,"",IF(Main[[#This Row],[Class]]="C",WORKDAY(Main[[#This Row],[Tech Start Date]],28),IF(Main[[#This Row],[Class]]="B", WORKDAY(Main[[#This Row],[Tech Start Date]],19),IF(Main[[#This Row],[Class]]="A",WORKDAY(Main[[#This Row],[Tech Start Date]],9),""))))</f>
        <v/>
      </c>
      <c r="Q561" s="67">
        <v>40669</v>
      </c>
      <c r="R561" s="67"/>
      <c r="S561" s="65" t="s">
        <v>6</v>
      </c>
      <c r="T561" s="70" t="s">
        <v>4</v>
      </c>
      <c r="U561" s="65" t="s">
        <v>29</v>
      </c>
      <c r="V561" s="65" t="s">
        <v>1914</v>
      </c>
      <c r="W561" s="65" t="s">
        <v>4</v>
      </c>
      <c r="X561" s="65" t="s">
        <v>126</v>
      </c>
      <c r="Y561" s="65" t="s">
        <v>3033</v>
      </c>
      <c r="Z561" s="65" t="s">
        <v>4</v>
      </c>
      <c r="AA561" s="65" t="s">
        <v>126</v>
      </c>
    </row>
    <row r="562" spans="1:27" ht="17.45" hidden="1" customHeight="1">
      <c r="A562" s="100" t="str">
        <f>IF(priority(Main[[#This Row],[Comments]])&lt;&gt;0, priority(Main[[#This Row],[Comments]]),"")</f>
        <v/>
      </c>
      <c r="B562" s="77" t="s">
        <v>1522</v>
      </c>
      <c r="C562" s="65" t="s">
        <v>401</v>
      </c>
      <c r="D562" s="66" t="s">
        <v>597</v>
      </c>
      <c r="E562" s="67"/>
      <c r="F562" s="67">
        <v>40447</v>
      </c>
      <c r="G562" s="64" t="str">
        <f>IF(stdProdLT(Main[[#This Row],[Comments]])=0.1,"N/A",IF(stdProdLT(Main[[#This Row],[Comments]])=0,"",stdProdLT(Main[[#This Row],[Comments]])))</f>
        <v/>
      </c>
      <c r="H562" s="68" t="str">
        <f>IF(AND(Main[[#This Row],[In Stock Date]]&lt;&gt;"",Main[[#This Row],[Revised Due Date]]&lt;&gt;""),Main[[#This Row],[In Stock Date]]-Main[[#This Row],[Revised Due Date]],"")</f>
        <v/>
      </c>
      <c r="I562" s="65" t="s">
        <v>4</v>
      </c>
      <c r="J562" s="65" t="s">
        <v>4</v>
      </c>
      <c r="K562" s="65" t="s">
        <v>4</v>
      </c>
      <c r="L562" s="67"/>
      <c r="M562" s="69" t="str">
        <f>IF(Main[[#This Row],[Tech Start Date]]&lt;1/1/1990,"",IF(Main[[#This Row],[Class]]="C",WORKDAY(Main[[#This Row],[Tech Start Date]],9),IF(Main[[#This Row],[Class]]="B", WORKDAY(Main[[#This Row],[Tech Start Date]],6),IF(Main[[#This Row],[Class]]="A",WORKDAY(Main[[#This Row],[Tech Start Date]],2),""))))</f>
        <v/>
      </c>
      <c r="N562" s="69" t="str">
        <f>IF(Main[[#This Row],[Tech Start Date]]&lt;1/1/1990,"",IF(Main[[#This Row],[Class]]="C",WORKDAY(Main[[#This Row],[Tech Start Date]],19),IF(Main[[#This Row],[Class]]="B", WORKDAY(Main[[#This Row],[Tech Start Date]],12),IF(Main[[#This Row],[Class]]="A",WORKDAY(Main[[#This Row],[Tech Start Date]],4),""))))</f>
        <v/>
      </c>
      <c r="O562" s="69" t="str">
        <f>IF(Main[[#This Row],[Tech Start Date]]&lt;1/1/1990,"",IF(Main[[#This Row],[Class]]="C",WORKDAY(Main[[#This Row],[Tech Start Date]],23),IF(Main[[#This Row],[Class]]="B", WORKDAY(Main[[#This Row],[Tech Start Date]],15),IF(Main[[#This Row],[Class]]="A",WORKDAY(Main[[#This Row],[Tech Start Date]],5),""))))</f>
        <v/>
      </c>
      <c r="P562" s="69" t="str">
        <f>IF(Main[[#This Row],[Tech Start Date]]&lt;1/1/1990,"",IF(Main[[#This Row],[Class]]="C",WORKDAY(Main[[#This Row],[Tech Start Date]],28),IF(Main[[#This Row],[Class]]="B", WORKDAY(Main[[#This Row],[Tech Start Date]],19),IF(Main[[#This Row],[Class]]="A",WORKDAY(Main[[#This Row],[Tech Start Date]],9),""))))</f>
        <v/>
      </c>
      <c r="Q562" s="67">
        <v>40349</v>
      </c>
      <c r="R562" s="67"/>
      <c r="S562" s="65" t="s">
        <v>11</v>
      </c>
      <c r="T562" s="70" t="s">
        <v>4</v>
      </c>
      <c r="U562" s="65" t="s">
        <v>14</v>
      </c>
      <c r="V562" s="65" t="s">
        <v>1924</v>
      </c>
      <c r="W562" s="65" t="s">
        <v>1919</v>
      </c>
      <c r="X562" s="65" t="s">
        <v>2850</v>
      </c>
      <c r="Y562" s="65" t="s">
        <v>4</v>
      </c>
      <c r="Z562" s="65" t="s">
        <v>4</v>
      </c>
      <c r="AA562" s="65" t="s">
        <v>2850</v>
      </c>
    </row>
    <row r="563" spans="1:27" ht="17.45" hidden="1" customHeight="1">
      <c r="A563" s="100" t="str">
        <f>IF(priority(Main[[#This Row],[Comments]])&lt;&gt;0, priority(Main[[#This Row],[Comments]]),"")</f>
        <v/>
      </c>
      <c r="B563" s="77" t="s">
        <v>1542</v>
      </c>
      <c r="C563" s="65" t="s">
        <v>436</v>
      </c>
      <c r="D563" s="66" t="s">
        <v>625</v>
      </c>
      <c r="E563" s="67"/>
      <c r="F563" s="67">
        <v>40056</v>
      </c>
      <c r="G563" s="64" t="str">
        <f>IF(stdProdLT(Main[[#This Row],[Comments]])=0.1,"N/A",IF(stdProdLT(Main[[#This Row],[Comments]])=0,"",stdProdLT(Main[[#This Row],[Comments]])))</f>
        <v/>
      </c>
      <c r="H563" s="68" t="str">
        <f>IF(AND(Main[[#This Row],[In Stock Date]]&lt;&gt;"",Main[[#This Row],[Revised Due Date]]&lt;&gt;""),Main[[#This Row],[In Stock Date]]-Main[[#This Row],[Revised Due Date]],"")</f>
        <v/>
      </c>
      <c r="I563" s="65" t="s">
        <v>4</v>
      </c>
      <c r="J563" s="65" t="s">
        <v>4</v>
      </c>
      <c r="K563" s="65" t="s">
        <v>4</v>
      </c>
      <c r="L563" s="67"/>
      <c r="M563" s="69" t="str">
        <f>IF(Main[[#This Row],[Tech Start Date]]&lt;1/1/1990,"",IF(Main[[#This Row],[Class]]="C",WORKDAY(Main[[#This Row],[Tech Start Date]],9),IF(Main[[#This Row],[Class]]="B", WORKDAY(Main[[#This Row],[Tech Start Date]],6),IF(Main[[#This Row],[Class]]="A",WORKDAY(Main[[#This Row],[Tech Start Date]],2),""))))</f>
        <v/>
      </c>
      <c r="N563" s="69" t="str">
        <f>IF(Main[[#This Row],[Tech Start Date]]&lt;1/1/1990,"",IF(Main[[#This Row],[Class]]="C",WORKDAY(Main[[#This Row],[Tech Start Date]],19),IF(Main[[#This Row],[Class]]="B", WORKDAY(Main[[#This Row],[Tech Start Date]],12),IF(Main[[#This Row],[Class]]="A",WORKDAY(Main[[#This Row],[Tech Start Date]],4),""))))</f>
        <v/>
      </c>
      <c r="O563" s="69" t="str">
        <f>IF(Main[[#This Row],[Tech Start Date]]&lt;1/1/1990,"",IF(Main[[#This Row],[Class]]="C",WORKDAY(Main[[#This Row],[Tech Start Date]],23),IF(Main[[#This Row],[Class]]="B", WORKDAY(Main[[#This Row],[Tech Start Date]],15),IF(Main[[#This Row],[Class]]="A",WORKDAY(Main[[#This Row],[Tech Start Date]],5),""))))</f>
        <v/>
      </c>
      <c r="P563" s="69" t="str">
        <f>IF(Main[[#This Row],[Tech Start Date]]&lt;1/1/1990,"",IF(Main[[#This Row],[Class]]="C",WORKDAY(Main[[#This Row],[Tech Start Date]],28),IF(Main[[#This Row],[Class]]="B", WORKDAY(Main[[#This Row],[Tech Start Date]],19),IF(Main[[#This Row],[Class]]="A",WORKDAY(Main[[#This Row],[Tech Start Date]],9),""))))</f>
        <v/>
      </c>
      <c r="Q563" s="67"/>
      <c r="R563" s="67"/>
      <c r="S563" s="65" t="s">
        <v>11</v>
      </c>
      <c r="T563" s="70" t="s">
        <v>4</v>
      </c>
      <c r="U563" s="65" t="s">
        <v>14</v>
      </c>
      <c r="V563" s="65" t="s">
        <v>1914</v>
      </c>
      <c r="W563" s="65" t="s">
        <v>1922</v>
      </c>
      <c r="X563" s="65" t="s">
        <v>2853</v>
      </c>
      <c r="Y563" s="65" t="s">
        <v>2991</v>
      </c>
      <c r="Z563" s="65" t="s">
        <v>4</v>
      </c>
      <c r="AA563" s="65" t="s">
        <v>2853</v>
      </c>
    </row>
    <row r="564" spans="1:27" ht="17.45" hidden="1" customHeight="1">
      <c r="A564" s="100" t="str">
        <f>IF(priority(Main[[#This Row],[Comments]])&lt;&gt;0, priority(Main[[#This Row],[Comments]]),"")</f>
        <v/>
      </c>
      <c r="B564" s="77" t="s">
        <v>1543</v>
      </c>
      <c r="C564" s="65" t="s">
        <v>4</v>
      </c>
      <c r="D564" s="66" t="s">
        <v>626</v>
      </c>
      <c r="E564" s="67"/>
      <c r="F564" s="67"/>
      <c r="G564" s="64" t="str">
        <f>IF(stdProdLT(Main[[#This Row],[Comments]])=0.1,"N/A",IF(stdProdLT(Main[[#This Row],[Comments]])=0,"",stdProdLT(Main[[#This Row],[Comments]])))</f>
        <v/>
      </c>
      <c r="H564" s="68" t="str">
        <f>IF(AND(Main[[#This Row],[In Stock Date]]&lt;&gt;"",Main[[#This Row],[Revised Due Date]]&lt;&gt;""),Main[[#This Row],[In Stock Date]]-Main[[#This Row],[Revised Due Date]],"")</f>
        <v/>
      </c>
      <c r="I564" s="65" t="s">
        <v>4</v>
      </c>
      <c r="J564" s="65" t="s">
        <v>4</v>
      </c>
      <c r="K564" s="65" t="s">
        <v>4</v>
      </c>
      <c r="L564" s="67"/>
      <c r="M564" s="69" t="str">
        <f>IF(Main[[#This Row],[Tech Start Date]]&lt;1/1/1990,"",IF(Main[[#This Row],[Class]]="C",WORKDAY(Main[[#This Row],[Tech Start Date]],9),IF(Main[[#This Row],[Class]]="B", WORKDAY(Main[[#This Row],[Tech Start Date]],6),IF(Main[[#This Row],[Class]]="A",WORKDAY(Main[[#This Row],[Tech Start Date]],2),""))))</f>
        <v/>
      </c>
      <c r="N564" s="69" t="str">
        <f>IF(Main[[#This Row],[Tech Start Date]]&lt;1/1/1990,"",IF(Main[[#This Row],[Class]]="C",WORKDAY(Main[[#This Row],[Tech Start Date]],19),IF(Main[[#This Row],[Class]]="B", WORKDAY(Main[[#This Row],[Tech Start Date]],12),IF(Main[[#This Row],[Class]]="A",WORKDAY(Main[[#This Row],[Tech Start Date]],4),""))))</f>
        <v/>
      </c>
      <c r="O564" s="69" t="str">
        <f>IF(Main[[#This Row],[Tech Start Date]]&lt;1/1/1990,"",IF(Main[[#This Row],[Class]]="C",WORKDAY(Main[[#This Row],[Tech Start Date]],23),IF(Main[[#This Row],[Class]]="B", WORKDAY(Main[[#This Row],[Tech Start Date]],15),IF(Main[[#This Row],[Class]]="A",WORKDAY(Main[[#This Row],[Tech Start Date]],5),""))))</f>
        <v/>
      </c>
      <c r="P564" s="69" t="str">
        <f>IF(Main[[#This Row],[Tech Start Date]]&lt;1/1/1990,"",IF(Main[[#This Row],[Class]]="C",WORKDAY(Main[[#This Row],[Tech Start Date]],28),IF(Main[[#This Row],[Class]]="B", WORKDAY(Main[[#This Row],[Tech Start Date]],19),IF(Main[[#This Row],[Class]]="A",WORKDAY(Main[[#This Row],[Tech Start Date]],9),""))))</f>
        <v/>
      </c>
      <c r="Q564" s="67"/>
      <c r="R564" s="67"/>
      <c r="S564" s="65" t="s">
        <v>17</v>
      </c>
      <c r="T564" s="70" t="s">
        <v>4</v>
      </c>
      <c r="U564" s="65" t="s">
        <v>12</v>
      </c>
      <c r="V564" s="65" t="s">
        <v>1914</v>
      </c>
      <c r="W564" s="65" t="s">
        <v>1916</v>
      </c>
      <c r="X564" s="65" t="s">
        <v>889</v>
      </c>
      <c r="Y564" s="65" t="s">
        <v>3073</v>
      </c>
      <c r="Z564" s="65" t="s">
        <v>4</v>
      </c>
      <c r="AA564" s="65" t="s">
        <v>889</v>
      </c>
    </row>
    <row r="565" spans="1:27" ht="17.45" hidden="1" customHeight="1">
      <c r="A565" s="100" t="str">
        <f>IF(priority(Main[[#This Row],[Comments]])&lt;&gt;0, priority(Main[[#This Row],[Comments]]),"")</f>
        <v/>
      </c>
      <c r="B565" s="77" t="s">
        <v>1838</v>
      </c>
      <c r="C565" s="65" t="s">
        <v>495</v>
      </c>
      <c r="D565" s="66" t="s">
        <v>893</v>
      </c>
      <c r="E565" s="67"/>
      <c r="F565" s="67"/>
      <c r="G565" s="64" t="str">
        <f>IF(stdProdLT(Main[[#This Row],[Comments]])=0.1,"N/A",IF(stdProdLT(Main[[#This Row],[Comments]])=0,"",stdProdLT(Main[[#This Row],[Comments]])))</f>
        <v/>
      </c>
      <c r="H565" s="68" t="str">
        <f>IF(AND(Main[[#This Row],[In Stock Date]]&lt;&gt;"",Main[[#This Row],[Revised Due Date]]&lt;&gt;""),Main[[#This Row],[In Stock Date]]-Main[[#This Row],[Revised Due Date]],"")</f>
        <v/>
      </c>
      <c r="I565" s="65" t="s">
        <v>126</v>
      </c>
      <c r="J565" s="65" t="s">
        <v>28</v>
      </c>
      <c r="K565" s="65" t="s">
        <v>1927</v>
      </c>
      <c r="L565" s="67"/>
      <c r="M565" s="69" t="str">
        <f>IF(Main[[#This Row],[Tech Start Date]]&lt;1/1/1990,"",IF(Main[[#This Row],[Class]]="C",WORKDAY(Main[[#This Row],[Tech Start Date]],9),IF(Main[[#This Row],[Class]]="B", WORKDAY(Main[[#This Row],[Tech Start Date]],6),IF(Main[[#This Row],[Class]]="A",WORKDAY(Main[[#This Row],[Tech Start Date]],2),""))))</f>
        <v/>
      </c>
      <c r="N565" s="69" t="str">
        <f>IF(Main[[#This Row],[Tech Start Date]]&lt;1/1/1990,"",IF(Main[[#This Row],[Class]]="C",WORKDAY(Main[[#This Row],[Tech Start Date]],19),IF(Main[[#This Row],[Class]]="B", WORKDAY(Main[[#This Row],[Tech Start Date]],12),IF(Main[[#This Row],[Class]]="A",WORKDAY(Main[[#This Row],[Tech Start Date]],4),""))))</f>
        <v/>
      </c>
      <c r="O565" s="69" t="str">
        <f>IF(Main[[#This Row],[Tech Start Date]]&lt;1/1/1990,"",IF(Main[[#This Row],[Class]]="C",WORKDAY(Main[[#This Row],[Tech Start Date]],23),IF(Main[[#This Row],[Class]]="B", WORKDAY(Main[[#This Row],[Tech Start Date]],15),IF(Main[[#This Row],[Class]]="A",WORKDAY(Main[[#This Row],[Tech Start Date]],5),""))))</f>
        <v/>
      </c>
      <c r="P565" s="69" t="str">
        <f>IF(Main[[#This Row],[Tech Start Date]]&lt;1/1/1990,"",IF(Main[[#This Row],[Class]]="C",WORKDAY(Main[[#This Row],[Tech Start Date]],28),IF(Main[[#This Row],[Class]]="B", WORKDAY(Main[[#This Row],[Tech Start Date]],19),IF(Main[[#This Row],[Class]]="A",WORKDAY(Main[[#This Row],[Tech Start Date]],9),""))))</f>
        <v/>
      </c>
      <c r="Q565" s="67">
        <v>40469</v>
      </c>
      <c r="R565" s="67">
        <v>40469</v>
      </c>
      <c r="S565" s="65" t="s">
        <v>11</v>
      </c>
      <c r="T565" s="70" t="s">
        <v>4</v>
      </c>
      <c r="U565" s="65" t="s">
        <v>14</v>
      </c>
      <c r="V565" s="65" t="s">
        <v>1914</v>
      </c>
      <c r="W565" s="65" t="s">
        <v>1922</v>
      </c>
      <c r="X565" s="65" t="s">
        <v>50</v>
      </c>
      <c r="Y565" s="65" t="s">
        <v>3062</v>
      </c>
      <c r="Z565" s="65" t="s">
        <v>129</v>
      </c>
      <c r="AA565" s="65" t="s">
        <v>2860</v>
      </c>
    </row>
    <row r="566" spans="1:27" ht="17.45" hidden="1" customHeight="1">
      <c r="A566" s="100">
        <f>IF(priority(Main[[#This Row],[Comments]])&lt;&gt;0, priority(Main[[#This Row],[Comments]]),"")</f>
        <v>32</v>
      </c>
      <c r="B566" s="77" t="s">
        <v>1066</v>
      </c>
      <c r="C566" s="65" t="s">
        <v>4</v>
      </c>
      <c r="D566" s="66" t="s">
        <v>2309</v>
      </c>
      <c r="E566" s="67">
        <v>40591.506215277775</v>
      </c>
      <c r="F566" s="67"/>
      <c r="G566" s="64" t="str">
        <f>IF(stdProdLT(Main[[#This Row],[Comments]])=0.1,"N/A",IF(stdProdLT(Main[[#This Row],[Comments]])=0,"",stdProdLT(Main[[#This Row],[Comments]])))</f>
        <v/>
      </c>
      <c r="H566" s="68" t="str">
        <f>IF(AND(Main[[#This Row],[In Stock Date]]&lt;&gt;"",Main[[#This Row],[Revised Due Date]]&lt;&gt;""),Main[[#This Row],[In Stock Date]]-Main[[#This Row],[Revised Due Date]],"")</f>
        <v/>
      </c>
      <c r="I566" s="65" t="s">
        <v>912</v>
      </c>
      <c r="J566" s="65" t="s">
        <v>52</v>
      </c>
      <c r="K566" s="71" t="s">
        <v>1923</v>
      </c>
      <c r="L566" s="67"/>
      <c r="M566" s="69" t="str">
        <f>IF(Main[[#This Row],[Tech Start Date]]&lt;1/1/1990,"",IF(Main[[#This Row],[Class]]="C",WORKDAY(Main[[#This Row],[Tech Start Date]],9),IF(Main[[#This Row],[Class]]="B", WORKDAY(Main[[#This Row],[Tech Start Date]],6),IF(Main[[#This Row],[Class]]="A",WORKDAY(Main[[#This Row],[Tech Start Date]],2),""))))</f>
        <v/>
      </c>
      <c r="N566" s="69" t="str">
        <f>IF(Main[[#This Row],[Tech Start Date]]&lt;1/1/1990,"",IF(Main[[#This Row],[Class]]="C",WORKDAY(Main[[#This Row],[Tech Start Date]],19),IF(Main[[#This Row],[Class]]="B", WORKDAY(Main[[#This Row],[Tech Start Date]],12),IF(Main[[#This Row],[Class]]="A",WORKDAY(Main[[#This Row],[Tech Start Date]],4),""))))</f>
        <v/>
      </c>
      <c r="O566" s="69" t="str">
        <f>IF(Main[[#This Row],[Tech Start Date]]&lt;1/1/1990,"",IF(Main[[#This Row],[Class]]="C",WORKDAY(Main[[#This Row],[Tech Start Date]],23),IF(Main[[#This Row],[Class]]="B", WORKDAY(Main[[#This Row],[Tech Start Date]],15),IF(Main[[#This Row],[Class]]="A",WORKDAY(Main[[#This Row],[Tech Start Date]],5),""))))</f>
        <v/>
      </c>
      <c r="P566" s="69" t="str">
        <f>IF(Main[[#This Row],[Tech Start Date]]&lt;1/1/1990,"",IF(Main[[#This Row],[Class]]="C",WORKDAY(Main[[#This Row],[Tech Start Date]],28),IF(Main[[#This Row],[Class]]="B", WORKDAY(Main[[#This Row],[Tech Start Date]],19),IF(Main[[#This Row],[Class]]="A",WORKDAY(Main[[#This Row],[Tech Start Date]],9),""))))</f>
        <v/>
      </c>
      <c r="Q566" s="67">
        <v>40605</v>
      </c>
      <c r="R566" s="67"/>
      <c r="S566" s="65" t="s">
        <v>6</v>
      </c>
      <c r="T566" s="70" t="s">
        <v>118</v>
      </c>
      <c r="U566" s="65" t="s">
        <v>29</v>
      </c>
      <c r="V566" s="65" t="s">
        <v>1914</v>
      </c>
      <c r="W566" s="65" t="s">
        <v>1916</v>
      </c>
      <c r="X566" s="65" t="s">
        <v>2900</v>
      </c>
      <c r="Y566" s="65" t="s">
        <v>3074</v>
      </c>
      <c r="Z566" s="65" t="s">
        <v>129</v>
      </c>
      <c r="AA566" s="65" t="s">
        <v>2900</v>
      </c>
    </row>
    <row r="567" spans="1:27" ht="17.45" hidden="1" customHeight="1">
      <c r="A567" s="100" t="str">
        <f>IF(priority(Main[[#This Row],[Comments]])&lt;&gt;0, priority(Main[[#This Row],[Comments]]),"")</f>
        <v/>
      </c>
      <c r="B567" s="77" t="s">
        <v>1523</v>
      </c>
      <c r="C567" s="65" t="s">
        <v>606</v>
      </c>
      <c r="D567" s="66" t="s">
        <v>607</v>
      </c>
      <c r="E567" s="67"/>
      <c r="F567" s="67">
        <v>41275</v>
      </c>
      <c r="G567" s="64" t="str">
        <f>IF(stdProdLT(Main[[#This Row],[Comments]])=0.1,"N/A",IF(stdProdLT(Main[[#This Row],[Comments]])=0,"",stdProdLT(Main[[#This Row],[Comments]])))</f>
        <v/>
      </c>
      <c r="H567" s="68" t="str">
        <f>IF(AND(Main[[#This Row],[In Stock Date]]&lt;&gt;"",Main[[#This Row],[Revised Due Date]]&lt;&gt;""),Main[[#This Row],[In Stock Date]]-Main[[#This Row],[Revised Due Date]],"")</f>
        <v/>
      </c>
      <c r="I567" s="65" t="s">
        <v>4</v>
      </c>
      <c r="J567" s="65" t="s">
        <v>4</v>
      </c>
      <c r="K567" s="65" t="s">
        <v>4</v>
      </c>
      <c r="L567" s="67"/>
      <c r="M567" s="69" t="str">
        <f>IF(Main[[#This Row],[Tech Start Date]]&lt;1/1/1990,"",IF(Main[[#This Row],[Class]]="C",WORKDAY(Main[[#This Row],[Tech Start Date]],9),IF(Main[[#This Row],[Class]]="B", WORKDAY(Main[[#This Row],[Tech Start Date]],6),IF(Main[[#This Row],[Class]]="A",WORKDAY(Main[[#This Row],[Tech Start Date]],2),""))))</f>
        <v/>
      </c>
      <c r="N567" s="69" t="str">
        <f>IF(Main[[#This Row],[Tech Start Date]]&lt;1/1/1990,"",IF(Main[[#This Row],[Class]]="C",WORKDAY(Main[[#This Row],[Tech Start Date]],19),IF(Main[[#This Row],[Class]]="B", WORKDAY(Main[[#This Row],[Tech Start Date]],12),IF(Main[[#This Row],[Class]]="A",WORKDAY(Main[[#This Row],[Tech Start Date]],4),""))))</f>
        <v/>
      </c>
      <c r="O567" s="69" t="str">
        <f>IF(Main[[#This Row],[Tech Start Date]]&lt;1/1/1990,"",IF(Main[[#This Row],[Class]]="C",WORKDAY(Main[[#This Row],[Tech Start Date]],23),IF(Main[[#This Row],[Class]]="B", WORKDAY(Main[[#This Row],[Tech Start Date]],15),IF(Main[[#This Row],[Class]]="A",WORKDAY(Main[[#This Row],[Tech Start Date]],5),""))))</f>
        <v/>
      </c>
      <c r="P567" s="69" t="str">
        <f>IF(Main[[#This Row],[Tech Start Date]]&lt;1/1/1990,"",IF(Main[[#This Row],[Class]]="C",WORKDAY(Main[[#This Row],[Tech Start Date]],28),IF(Main[[#This Row],[Class]]="B", WORKDAY(Main[[#This Row],[Tech Start Date]],19),IF(Main[[#This Row],[Class]]="A",WORKDAY(Main[[#This Row],[Tech Start Date]],9),""))))</f>
        <v/>
      </c>
      <c r="Q567" s="67">
        <v>40387</v>
      </c>
      <c r="R567" s="67"/>
      <c r="S567" s="65" t="s">
        <v>11</v>
      </c>
      <c r="T567" s="70" t="s">
        <v>4</v>
      </c>
      <c r="U567" s="65" t="s">
        <v>14</v>
      </c>
      <c r="V567" s="65" t="s">
        <v>1924</v>
      </c>
      <c r="W567" s="65" t="s">
        <v>1919</v>
      </c>
      <c r="X567" s="65" t="s">
        <v>2824</v>
      </c>
      <c r="Y567" s="65" t="s">
        <v>3075</v>
      </c>
      <c r="Z567" s="65" t="s">
        <v>81</v>
      </c>
      <c r="AA567" s="65" t="s">
        <v>3308</v>
      </c>
    </row>
    <row r="568" spans="1:27" ht="17.45" hidden="1" customHeight="1">
      <c r="A568" s="100" t="str">
        <f>IF(priority(Main[[#This Row],[Comments]])&lt;&gt;0, priority(Main[[#This Row],[Comments]]),"")</f>
        <v/>
      </c>
      <c r="B568" s="77" t="s">
        <v>1524</v>
      </c>
      <c r="C568" s="65" t="s">
        <v>606</v>
      </c>
      <c r="D568" s="66" t="s">
        <v>608</v>
      </c>
      <c r="E568" s="67"/>
      <c r="F568" s="67">
        <v>41275</v>
      </c>
      <c r="G568" s="64" t="str">
        <f>IF(stdProdLT(Main[[#This Row],[Comments]])=0.1,"N/A",IF(stdProdLT(Main[[#This Row],[Comments]])=0,"",stdProdLT(Main[[#This Row],[Comments]])))</f>
        <v/>
      </c>
      <c r="H568" s="68" t="str">
        <f>IF(AND(Main[[#This Row],[In Stock Date]]&lt;&gt;"",Main[[#This Row],[Revised Due Date]]&lt;&gt;""),Main[[#This Row],[In Stock Date]]-Main[[#This Row],[Revised Due Date]],"")</f>
        <v/>
      </c>
      <c r="I568" s="65" t="s">
        <v>4</v>
      </c>
      <c r="J568" s="65" t="s">
        <v>4</v>
      </c>
      <c r="K568" s="65" t="s">
        <v>4</v>
      </c>
      <c r="L568" s="67"/>
      <c r="M568" s="69" t="str">
        <f>IF(Main[[#This Row],[Tech Start Date]]&lt;1/1/1990,"",IF(Main[[#This Row],[Class]]="C",WORKDAY(Main[[#This Row],[Tech Start Date]],9),IF(Main[[#This Row],[Class]]="B", WORKDAY(Main[[#This Row],[Tech Start Date]],6),IF(Main[[#This Row],[Class]]="A",WORKDAY(Main[[#This Row],[Tech Start Date]],2),""))))</f>
        <v/>
      </c>
      <c r="N568" s="69" t="str">
        <f>IF(Main[[#This Row],[Tech Start Date]]&lt;1/1/1990,"",IF(Main[[#This Row],[Class]]="C",WORKDAY(Main[[#This Row],[Tech Start Date]],19),IF(Main[[#This Row],[Class]]="B", WORKDAY(Main[[#This Row],[Tech Start Date]],12),IF(Main[[#This Row],[Class]]="A",WORKDAY(Main[[#This Row],[Tech Start Date]],4),""))))</f>
        <v/>
      </c>
      <c r="O568" s="69" t="str">
        <f>IF(Main[[#This Row],[Tech Start Date]]&lt;1/1/1990,"",IF(Main[[#This Row],[Class]]="C",WORKDAY(Main[[#This Row],[Tech Start Date]],23),IF(Main[[#This Row],[Class]]="B", WORKDAY(Main[[#This Row],[Tech Start Date]],15),IF(Main[[#This Row],[Class]]="A",WORKDAY(Main[[#This Row],[Tech Start Date]],5),""))))</f>
        <v/>
      </c>
      <c r="P568" s="69" t="str">
        <f>IF(Main[[#This Row],[Tech Start Date]]&lt;1/1/1990,"",IF(Main[[#This Row],[Class]]="C",WORKDAY(Main[[#This Row],[Tech Start Date]],28),IF(Main[[#This Row],[Class]]="B", WORKDAY(Main[[#This Row],[Tech Start Date]],19),IF(Main[[#This Row],[Class]]="A",WORKDAY(Main[[#This Row],[Tech Start Date]],9),""))))</f>
        <v/>
      </c>
      <c r="Q568" s="67">
        <v>40387</v>
      </c>
      <c r="R568" s="67"/>
      <c r="S568" s="65" t="s">
        <v>11</v>
      </c>
      <c r="T568" s="70" t="s">
        <v>4</v>
      </c>
      <c r="U568" s="65" t="s">
        <v>14</v>
      </c>
      <c r="V568" s="65" t="s">
        <v>1924</v>
      </c>
      <c r="W568" s="65" t="s">
        <v>1919</v>
      </c>
      <c r="X568" s="65" t="s">
        <v>2824</v>
      </c>
      <c r="Y568" s="65" t="s">
        <v>3075</v>
      </c>
      <c r="Z568" s="65" t="s">
        <v>4</v>
      </c>
      <c r="AA568" s="65" t="s">
        <v>3308</v>
      </c>
    </row>
    <row r="569" spans="1:27" ht="17.45" hidden="1" customHeight="1">
      <c r="A569" s="100" t="str">
        <f>IF(priority(Main[[#This Row],[Comments]])&lt;&gt;0, priority(Main[[#This Row],[Comments]]),"")</f>
        <v/>
      </c>
      <c r="B569" s="77" t="s">
        <v>1525</v>
      </c>
      <c r="C569" s="65" t="s">
        <v>290</v>
      </c>
      <c r="D569" s="66" t="s">
        <v>291</v>
      </c>
      <c r="E569" s="67"/>
      <c r="F569" s="67"/>
      <c r="G569" s="64" t="str">
        <f>IF(stdProdLT(Main[[#This Row],[Comments]])=0.1,"N/A",IF(stdProdLT(Main[[#This Row],[Comments]])=0,"",stdProdLT(Main[[#This Row],[Comments]])))</f>
        <v/>
      </c>
      <c r="H569" s="68" t="str">
        <f>IF(AND(Main[[#This Row],[In Stock Date]]&lt;&gt;"",Main[[#This Row],[Revised Due Date]]&lt;&gt;""),Main[[#This Row],[In Stock Date]]-Main[[#This Row],[Revised Due Date]],"")</f>
        <v/>
      </c>
      <c r="I569" s="65" t="s">
        <v>4</v>
      </c>
      <c r="J569" s="65" t="s">
        <v>4</v>
      </c>
      <c r="K569" s="65" t="s">
        <v>4</v>
      </c>
      <c r="L569" s="67"/>
      <c r="M569" s="69" t="str">
        <f>IF(Main[[#This Row],[Tech Start Date]]&lt;1/1/1990,"",IF(Main[[#This Row],[Class]]="C",WORKDAY(Main[[#This Row],[Tech Start Date]],9),IF(Main[[#This Row],[Class]]="B", WORKDAY(Main[[#This Row],[Tech Start Date]],6),IF(Main[[#This Row],[Class]]="A",WORKDAY(Main[[#This Row],[Tech Start Date]],2),""))))</f>
        <v/>
      </c>
      <c r="N569" s="69" t="str">
        <f>IF(Main[[#This Row],[Tech Start Date]]&lt;1/1/1990,"",IF(Main[[#This Row],[Class]]="C",WORKDAY(Main[[#This Row],[Tech Start Date]],19),IF(Main[[#This Row],[Class]]="B", WORKDAY(Main[[#This Row],[Tech Start Date]],12),IF(Main[[#This Row],[Class]]="A",WORKDAY(Main[[#This Row],[Tech Start Date]],4),""))))</f>
        <v/>
      </c>
      <c r="O569" s="69" t="str">
        <f>IF(Main[[#This Row],[Tech Start Date]]&lt;1/1/1990,"",IF(Main[[#This Row],[Class]]="C",WORKDAY(Main[[#This Row],[Tech Start Date]],23),IF(Main[[#This Row],[Class]]="B", WORKDAY(Main[[#This Row],[Tech Start Date]],15),IF(Main[[#This Row],[Class]]="A",WORKDAY(Main[[#This Row],[Tech Start Date]],5),""))))</f>
        <v/>
      </c>
      <c r="P569" s="69" t="str">
        <f>IF(Main[[#This Row],[Tech Start Date]]&lt;1/1/1990,"",IF(Main[[#This Row],[Class]]="C",WORKDAY(Main[[#This Row],[Tech Start Date]],28),IF(Main[[#This Row],[Class]]="B", WORKDAY(Main[[#This Row],[Tech Start Date]],19),IF(Main[[#This Row],[Class]]="A",WORKDAY(Main[[#This Row],[Tech Start Date]],9),""))))</f>
        <v/>
      </c>
      <c r="Q569" s="67">
        <v>40052</v>
      </c>
      <c r="R569" s="67"/>
      <c r="S569" s="65" t="s">
        <v>11</v>
      </c>
      <c r="T569" s="70" t="s">
        <v>4</v>
      </c>
      <c r="U569" s="65" t="s">
        <v>14</v>
      </c>
      <c r="V569" s="65" t="s">
        <v>1917</v>
      </c>
      <c r="W569" s="65" t="s">
        <v>1916</v>
      </c>
      <c r="X569" s="65" t="s">
        <v>2834</v>
      </c>
      <c r="Y569" s="65" t="s">
        <v>4</v>
      </c>
      <c r="Z569" s="65" t="s">
        <v>4</v>
      </c>
      <c r="AA569" s="65" t="s">
        <v>2834</v>
      </c>
    </row>
    <row r="570" spans="1:27" ht="17.45" hidden="1" customHeight="1">
      <c r="A570" s="100" t="str">
        <f>IF(priority(Main[[#This Row],[Comments]])&lt;&gt;0, priority(Main[[#This Row],[Comments]]),"")</f>
        <v/>
      </c>
      <c r="B570" s="77" t="s">
        <v>1526</v>
      </c>
      <c r="C570" s="65" t="s">
        <v>4</v>
      </c>
      <c r="D570" s="66" t="s">
        <v>609</v>
      </c>
      <c r="E570" s="67">
        <v>40533.617372685185</v>
      </c>
      <c r="F570" s="67">
        <v>40602</v>
      </c>
      <c r="G570" s="64" t="str">
        <f>IF(stdProdLT(Main[[#This Row],[Comments]])=0.1,"N/A",IF(stdProdLT(Main[[#This Row],[Comments]])=0,"",stdProdLT(Main[[#This Row],[Comments]])))</f>
        <v/>
      </c>
      <c r="H570" s="68" t="str">
        <f>IF(AND(Main[[#This Row],[In Stock Date]]&lt;&gt;"",Main[[#This Row],[Revised Due Date]]&lt;&gt;""),Main[[#This Row],[In Stock Date]]-Main[[#This Row],[Revised Due Date]],"")</f>
        <v/>
      </c>
      <c r="I570" s="65" t="s">
        <v>4</v>
      </c>
      <c r="J570" s="65" t="s">
        <v>28</v>
      </c>
      <c r="K570" s="65" t="s">
        <v>1923</v>
      </c>
      <c r="L570" s="67"/>
      <c r="M570" s="69" t="str">
        <f>IF(Main[[#This Row],[Tech Start Date]]&lt;1/1/1990,"",IF(Main[[#This Row],[Class]]="C",WORKDAY(Main[[#This Row],[Tech Start Date]],9),IF(Main[[#This Row],[Class]]="B", WORKDAY(Main[[#This Row],[Tech Start Date]],6),IF(Main[[#This Row],[Class]]="A",WORKDAY(Main[[#This Row],[Tech Start Date]],2),""))))</f>
        <v/>
      </c>
      <c r="N570" s="69" t="str">
        <f>IF(Main[[#This Row],[Tech Start Date]]&lt;1/1/1990,"",IF(Main[[#This Row],[Class]]="C",WORKDAY(Main[[#This Row],[Tech Start Date]],19),IF(Main[[#This Row],[Class]]="B", WORKDAY(Main[[#This Row],[Tech Start Date]],12),IF(Main[[#This Row],[Class]]="A",WORKDAY(Main[[#This Row],[Tech Start Date]],4),""))))</f>
        <v/>
      </c>
      <c r="O570" s="69" t="str">
        <f>IF(Main[[#This Row],[Tech Start Date]]&lt;1/1/1990,"",IF(Main[[#This Row],[Class]]="C",WORKDAY(Main[[#This Row],[Tech Start Date]],23),IF(Main[[#This Row],[Class]]="B", WORKDAY(Main[[#This Row],[Tech Start Date]],15),IF(Main[[#This Row],[Class]]="A",WORKDAY(Main[[#This Row],[Tech Start Date]],5),""))))</f>
        <v/>
      </c>
      <c r="P570" s="69" t="str">
        <f>IF(Main[[#This Row],[Tech Start Date]]&lt;1/1/1990,"",IF(Main[[#This Row],[Class]]="C",WORKDAY(Main[[#This Row],[Tech Start Date]],28),IF(Main[[#This Row],[Class]]="B", WORKDAY(Main[[#This Row],[Tech Start Date]],19),IF(Main[[#This Row],[Class]]="A",WORKDAY(Main[[#This Row],[Tech Start Date]],9),""))))</f>
        <v/>
      </c>
      <c r="Q570" s="67">
        <v>40602</v>
      </c>
      <c r="R570" s="67"/>
      <c r="S570" s="65" t="s">
        <v>6</v>
      </c>
      <c r="T570" s="70" t="s">
        <v>4</v>
      </c>
      <c r="U570" s="65" t="s">
        <v>7</v>
      </c>
      <c r="V570" s="65" t="s">
        <v>1914</v>
      </c>
      <c r="W570" s="65" t="s">
        <v>1916</v>
      </c>
      <c r="X570" s="65" t="s">
        <v>2887</v>
      </c>
      <c r="Y570" s="65" t="s">
        <v>3043</v>
      </c>
      <c r="Z570" s="65" t="s">
        <v>129</v>
      </c>
      <c r="AA570" s="65" t="s">
        <v>2887</v>
      </c>
    </row>
    <row r="571" spans="1:27" ht="17.45" hidden="1" customHeight="1">
      <c r="A571" s="100" t="str">
        <f>IF(priority(Main[[#This Row],[Comments]])&lt;&gt;0, priority(Main[[#This Row],[Comments]]),"")</f>
        <v/>
      </c>
      <c r="B571" s="77" t="s">
        <v>1527</v>
      </c>
      <c r="C571" s="65" t="s">
        <v>4</v>
      </c>
      <c r="D571" s="66" t="s">
        <v>610</v>
      </c>
      <c r="E571" s="67">
        <v>40387.693402777775</v>
      </c>
      <c r="F571" s="67"/>
      <c r="G571" s="64" t="str">
        <f>IF(stdProdLT(Main[[#This Row],[Comments]])=0.1,"N/A",IF(stdProdLT(Main[[#This Row],[Comments]])=0,"",stdProdLT(Main[[#This Row],[Comments]])))</f>
        <v/>
      </c>
      <c r="H571" s="68" t="str">
        <f>IF(AND(Main[[#This Row],[In Stock Date]]&lt;&gt;"",Main[[#This Row],[Revised Due Date]]&lt;&gt;""),Main[[#This Row],[In Stock Date]]-Main[[#This Row],[Revised Due Date]],"")</f>
        <v/>
      </c>
      <c r="I571" s="65" t="s">
        <v>4</v>
      </c>
      <c r="J571" s="65" t="s">
        <v>28</v>
      </c>
      <c r="K571" s="65" t="s">
        <v>4</v>
      </c>
      <c r="L571" s="67"/>
      <c r="M571" s="69" t="str">
        <f>IF(Main[[#This Row],[Tech Start Date]]&lt;1/1/1990,"",IF(Main[[#This Row],[Class]]="C",WORKDAY(Main[[#This Row],[Tech Start Date]],9),IF(Main[[#This Row],[Class]]="B", WORKDAY(Main[[#This Row],[Tech Start Date]],6),IF(Main[[#This Row],[Class]]="A",WORKDAY(Main[[#This Row],[Tech Start Date]],2),""))))</f>
        <v/>
      </c>
      <c r="N571" s="69" t="str">
        <f>IF(Main[[#This Row],[Tech Start Date]]&lt;1/1/1990,"",IF(Main[[#This Row],[Class]]="C",WORKDAY(Main[[#This Row],[Tech Start Date]],19),IF(Main[[#This Row],[Class]]="B", WORKDAY(Main[[#This Row],[Tech Start Date]],12),IF(Main[[#This Row],[Class]]="A",WORKDAY(Main[[#This Row],[Tech Start Date]],4),""))))</f>
        <v/>
      </c>
      <c r="O571" s="69" t="str">
        <f>IF(Main[[#This Row],[Tech Start Date]]&lt;1/1/1990,"",IF(Main[[#This Row],[Class]]="C",WORKDAY(Main[[#This Row],[Tech Start Date]],23),IF(Main[[#This Row],[Class]]="B", WORKDAY(Main[[#This Row],[Tech Start Date]],15),IF(Main[[#This Row],[Class]]="A",WORKDAY(Main[[#This Row],[Tech Start Date]],5),""))))</f>
        <v/>
      </c>
      <c r="P571" s="69" t="str">
        <f>IF(Main[[#This Row],[Tech Start Date]]&lt;1/1/1990,"",IF(Main[[#This Row],[Class]]="C",WORKDAY(Main[[#This Row],[Tech Start Date]],28),IF(Main[[#This Row],[Class]]="B", WORKDAY(Main[[#This Row],[Tech Start Date]],19),IF(Main[[#This Row],[Class]]="A",WORKDAY(Main[[#This Row],[Tech Start Date]],9),""))))</f>
        <v/>
      </c>
      <c r="Q571" s="67">
        <v>40400</v>
      </c>
      <c r="R571" s="67"/>
      <c r="S571" s="65" t="s">
        <v>6</v>
      </c>
      <c r="T571" s="70" t="s">
        <v>4</v>
      </c>
      <c r="U571" s="65" t="s">
        <v>7</v>
      </c>
      <c r="V571" s="65" t="s">
        <v>1914</v>
      </c>
      <c r="W571" s="65" t="s">
        <v>1916</v>
      </c>
      <c r="X571" s="65" t="s">
        <v>102</v>
      </c>
      <c r="Y571" s="65" t="s">
        <v>3032</v>
      </c>
      <c r="Z571" s="65" t="s">
        <v>129</v>
      </c>
      <c r="AA571" s="65" t="s">
        <v>3397</v>
      </c>
    </row>
    <row r="572" spans="1:27" ht="17.45" hidden="1" customHeight="1">
      <c r="A572" s="100" t="str">
        <f>IF(priority(Main[[#This Row],[Comments]])&lt;&gt;0, priority(Main[[#This Row],[Comments]]),"")</f>
        <v/>
      </c>
      <c r="B572" s="77" t="s">
        <v>1528</v>
      </c>
      <c r="C572" s="65" t="s">
        <v>4</v>
      </c>
      <c r="D572" s="66" t="s">
        <v>611</v>
      </c>
      <c r="E572" s="67">
        <v>40506.643229166664</v>
      </c>
      <c r="F572" s="67"/>
      <c r="G572" s="64" t="str">
        <f>IF(stdProdLT(Main[[#This Row],[Comments]])=0.1,"N/A",IF(stdProdLT(Main[[#This Row],[Comments]])=0,"",stdProdLT(Main[[#This Row],[Comments]])))</f>
        <v/>
      </c>
      <c r="H572" s="68" t="str">
        <f>IF(AND(Main[[#This Row],[In Stock Date]]&lt;&gt;"",Main[[#This Row],[Revised Due Date]]&lt;&gt;""),Main[[#This Row],[In Stock Date]]-Main[[#This Row],[Revised Due Date]],"")</f>
        <v/>
      </c>
      <c r="I572" s="65" t="s">
        <v>4</v>
      </c>
      <c r="J572" s="65" t="s">
        <v>28</v>
      </c>
      <c r="K572" s="65" t="s">
        <v>1921</v>
      </c>
      <c r="L572" s="67"/>
      <c r="M572" s="69" t="str">
        <f>IF(Main[[#This Row],[Tech Start Date]]&lt;1/1/1990,"",IF(Main[[#This Row],[Class]]="C",WORKDAY(Main[[#This Row],[Tech Start Date]],9),IF(Main[[#This Row],[Class]]="B", WORKDAY(Main[[#This Row],[Tech Start Date]],6),IF(Main[[#This Row],[Class]]="A",WORKDAY(Main[[#This Row],[Tech Start Date]],2),""))))</f>
        <v/>
      </c>
      <c r="N572" s="69" t="str">
        <f>IF(Main[[#This Row],[Tech Start Date]]&lt;1/1/1990,"",IF(Main[[#This Row],[Class]]="C",WORKDAY(Main[[#This Row],[Tech Start Date]],19),IF(Main[[#This Row],[Class]]="B", WORKDAY(Main[[#This Row],[Tech Start Date]],12),IF(Main[[#This Row],[Class]]="A",WORKDAY(Main[[#This Row],[Tech Start Date]],4),""))))</f>
        <v/>
      </c>
      <c r="O572" s="69" t="str">
        <f>IF(Main[[#This Row],[Tech Start Date]]&lt;1/1/1990,"",IF(Main[[#This Row],[Class]]="C",WORKDAY(Main[[#This Row],[Tech Start Date]],23),IF(Main[[#This Row],[Class]]="B", WORKDAY(Main[[#This Row],[Tech Start Date]],15),IF(Main[[#This Row],[Class]]="A",WORKDAY(Main[[#This Row],[Tech Start Date]],5),""))))</f>
        <v/>
      </c>
      <c r="P572" s="69" t="str">
        <f>IF(Main[[#This Row],[Tech Start Date]]&lt;1/1/1990,"",IF(Main[[#This Row],[Class]]="C",WORKDAY(Main[[#This Row],[Tech Start Date]],28),IF(Main[[#This Row],[Class]]="B", WORKDAY(Main[[#This Row],[Tech Start Date]],19),IF(Main[[#This Row],[Class]]="A",WORKDAY(Main[[#This Row],[Tech Start Date]],9),""))))</f>
        <v/>
      </c>
      <c r="Q572" s="67">
        <v>40548</v>
      </c>
      <c r="R572" s="67"/>
      <c r="S572" s="65" t="s">
        <v>6</v>
      </c>
      <c r="T572" s="70" t="s">
        <v>4</v>
      </c>
      <c r="U572" s="65" t="s">
        <v>7</v>
      </c>
      <c r="V572" s="65" t="s">
        <v>1914</v>
      </c>
      <c r="W572" s="65" t="s">
        <v>1918</v>
      </c>
      <c r="X572" s="65" t="s">
        <v>2821</v>
      </c>
      <c r="Y572" s="65" t="s">
        <v>2936</v>
      </c>
      <c r="Z572" s="65" t="s">
        <v>129</v>
      </c>
      <c r="AA572" s="65" t="s">
        <v>2821</v>
      </c>
    </row>
    <row r="573" spans="1:27" ht="17.45" hidden="1" customHeight="1">
      <c r="A573" s="100" t="str">
        <f>IF(priority(Main[[#This Row],[Comments]])&lt;&gt;0, priority(Main[[#This Row],[Comments]]),"")</f>
        <v/>
      </c>
      <c r="B573" s="77" t="s">
        <v>1529</v>
      </c>
      <c r="C573" s="65" t="s">
        <v>4</v>
      </c>
      <c r="D573" s="66" t="s">
        <v>612</v>
      </c>
      <c r="E573" s="67">
        <v>40371.390138888892</v>
      </c>
      <c r="F573" s="67"/>
      <c r="G573" s="64" t="str">
        <f>IF(stdProdLT(Main[[#This Row],[Comments]])=0.1,"N/A",IF(stdProdLT(Main[[#This Row],[Comments]])=0,"",stdProdLT(Main[[#This Row],[Comments]])))</f>
        <v/>
      </c>
      <c r="H573" s="68" t="str">
        <f>IF(AND(Main[[#This Row],[In Stock Date]]&lt;&gt;"",Main[[#This Row],[Revised Due Date]]&lt;&gt;""),Main[[#This Row],[In Stock Date]]-Main[[#This Row],[Revised Due Date]],"")</f>
        <v/>
      </c>
      <c r="I573" s="65" t="s">
        <v>4</v>
      </c>
      <c r="J573" s="65" t="s">
        <v>4</v>
      </c>
      <c r="K573" s="65" t="s">
        <v>4</v>
      </c>
      <c r="L573" s="67"/>
      <c r="M573" s="69" t="str">
        <f>IF(Main[[#This Row],[Tech Start Date]]&lt;1/1/1990,"",IF(Main[[#This Row],[Class]]="C",WORKDAY(Main[[#This Row],[Tech Start Date]],9),IF(Main[[#This Row],[Class]]="B", WORKDAY(Main[[#This Row],[Tech Start Date]],6),IF(Main[[#This Row],[Class]]="A",WORKDAY(Main[[#This Row],[Tech Start Date]],2),""))))</f>
        <v/>
      </c>
      <c r="N573" s="69" t="str">
        <f>IF(Main[[#This Row],[Tech Start Date]]&lt;1/1/1990,"",IF(Main[[#This Row],[Class]]="C",WORKDAY(Main[[#This Row],[Tech Start Date]],19),IF(Main[[#This Row],[Class]]="B", WORKDAY(Main[[#This Row],[Tech Start Date]],12),IF(Main[[#This Row],[Class]]="A",WORKDAY(Main[[#This Row],[Tech Start Date]],4),""))))</f>
        <v/>
      </c>
      <c r="O573" s="69" t="str">
        <f>IF(Main[[#This Row],[Tech Start Date]]&lt;1/1/1990,"",IF(Main[[#This Row],[Class]]="C",WORKDAY(Main[[#This Row],[Tech Start Date]],23),IF(Main[[#This Row],[Class]]="B", WORKDAY(Main[[#This Row],[Tech Start Date]],15),IF(Main[[#This Row],[Class]]="A",WORKDAY(Main[[#This Row],[Tech Start Date]],5),""))))</f>
        <v/>
      </c>
      <c r="P573" s="69" t="str">
        <f>IF(Main[[#This Row],[Tech Start Date]]&lt;1/1/1990,"",IF(Main[[#This Row],[Class]]="C",WORKDAY(Main[[#This Row],[Tech Start Date]],28),IF(Main[[#This Row],[Class]]="B", WORKDAY(Main[[#This Row],[Tech Start Date]],19),IF(Main[[#This Row],[Class]]="A",WORKDAY(Main[[#This Row],[Tech Start Date]],9),""))))</f>
        <v/>
      </c>
      <c r="Q573" s="67">
        <v>40385</v>
      </c>
      <c r="R573" s="67"/>
      <c r="S573" s="65" t="s">
        <v>6</v>
      </c>
      <c r="T573" s="70" t="s">
        <v>4</v>
      </c>
      <c r="U573" s="65" t="s">
        <v>7</v>
      </c>
      <c r="V573" s="65" t="s">
        <v>1914</v>
      </c>
      <c r="W573" s="65" t="s">
        <v>1916</v>
      </c>
      <c r="X573" s="65" t="s">
        <v>102</v>
      </c>
      <c r="Y573" s="65" t="s">
        <v>2992</v>
      </c>
      <c r="Z573" s="65" t="s">
        <v>4</v>
      </c>
      <c r="AA573" s="65" t="s">
        <v>129</v>
      </c>
    </row>
    <row r="574" spans="1:27" ht="17.45" hidden="1" customHeight="1">
      <c r="A574" s="100" t="str">
        <f>IF(priority(Main[[#This Row],[Comments]])&lt;&gt;0, priority(Main[[#This Row],[Comments]]),"")</f>
        <v/>
      </c>
      <c r="B574" s="77" t="s">
        <v>1665</v>
      </c>
      <c r="C574" s="65" t="s">
        <v>4</v>
      </c>
      <c r="D574" s="66" t="s">
        <v>728</v>
      </c>
      <c r="E574" s="67"/>
      <c r="F574" s="67"/>
      <c r="G574" s="64" t="str">
        <f>IF(stdProdLT(Main[[#This Row],[Comments]])=0.1,"N/A",IF(stdProdLT(Main[[#This Row],[Comments]])=0,"",stdProdLT(Main[[#This Row],[Comments]])))</f>
        <v/>
      </c>
      <c r="H574" s="68" t="str">
        <f>IF(AND(Main[[#This Row],[In Stock Date]]&lt;&gt;"",Main[[#This Row],[Revised Due Date]]&lt;&gt;""),Main[[#This Row],[In Stock Date]]-Main[[#This Row],[Revised Due Date]],"")</f>
        <v/>
      </c>
      <c r="I574" s="65" t="s">
        <v>4</v>
      </c>
      <c r="J574" s="65" t="s">
        <v>4</v>
      </c>
      <c r="K574" s="65" t="s">
        <v>4</v>
      </c>
      <c r="L574" s="67"/>
      <c r="M574" s="69" t="str">
        <f>IF(Main[[#This Row],[Tech Start Date]]&lt;1/1/1990,"",IF(Main[[#This Row],[Class]]="C",WORKDAY(Main[[#This Row],[Tech Start Date]],9),IF(Main[[#This Row],[Class]]="B", WORKDAY(Main[[#This Row],[Tech Start Date]],6),IF(Main[[#This Row],[Class]]="A",WORKDAY(Main[[#This Row],[Tech Start Date]],2),""))))</f>
        <v/>
      </c>
      <c r="N574" s="69" t="str">
        <f>IF(Main[[#This Row],[Tech Start Date]]&lt;1/1/1990,"",IF(Main[[#This Row],[Class]]="C",WORKDAY(Main[[#This Row],[Tech Start Date]],19),IF(Main[[#This Row],[Class]]="B", WORKDAY(Main[[#This Row],[Tech Start Date]],12),IF(Main[[#This Row],[Class]]="A",WORKDAY(Main[[#This Row],[Tech Start Date]],4),""))))</f>
        <v/>
      </c>
      <c r="O574" s="69" t="str">
        <f>IF(Main[[#This Row],[Tech Start Date]]&lt;1/1/1990,"",IF(Main[[#This Row],[Class]]="C",WORKDAY(Main[[#This Row],[Tech Start Date]],23),IF(Main[[#This Row],[Class]]="B", WORKDAY(Main[[#This Row],[Tech Start Date]],15),IF(Main[[#This Row],[Class]]="A",WORKDAY(Main[[#This Row],[Tech Start Date]],5),""))))</f>
        <v/>
      </c>
      <c r="P574" s="69" t="str">
        <f>IF(Main[[#This Row],[Tech Start Date]]&lt;1/1/1990,"",IF(Main[[#This Row],[Class]]="C",WORKDAY(Main[[#This Row],[Tech Start Date]],28),IF(Main[[#This Row],[Class]]="B", WORKDAY(Main[[#This Row],[Tech Start Date]],19),IF(Main[[#This Row],[Class]]="A",WORKDAY(Main[[#This Row],[Tech Start Date]],9),""))))</f>
        <v/>
      </c>
      <c r="Q574" s="67"/>
      <c r="R574" s="67"/>
      <c r="S574" s="65" t="s">
        <v>23</v>
      </c>
      <c r="T574" s="70" t="s">
        <v>4</v>
      </c>
      <c r="U574" s="65" t="s">
        <v>14</v>
      </c>
      <c r="V574" s="65" t="s">
        <v>1914</v>
      </c>
      <c r="W574" s="65" t="s">
        <v>1918</v>
      </c>
      <c r="X574" s="65" t="s">
        <v>102</v>
      </c>
      <c r="Y574" s="65" t="s">
        <v>3076</v>
      </c>
      <c r="Z574" s="65" t="s">
        <v>4</v>
      </c>
      <c r="AA574" s="65" t="s">
        <v>3424</v>
      </c>
    </row>
    <row r="575" spans="1:27" ht="17.45" hidden="1" customHeight="1">
      <c r="A575" s="100" t="str">
        <f>IF(priority(Main[[#This Row],[Comments]])&lt;&gt;0, priority(Main[[#This Row],[Comments]]),"")</f>
        <v/>
      </c>
      <c r="B575" s="77" t="s">
        <v>1530</v>
      </c>
      <c r="C575" s="65" t="s">
        <v>33</v>
      </c>
      <c r="D575" s="66" t="s">
        <v>613</v>
      </c>
      <c r="E575" s="67"/>
      <c r="F575" s="67">
        <v>40252</v>
      </c>
      <c r="G575" s="64" t="str">
        <f>IF(stdProdLT(Main[[#This Row],[Comments]])=0.1,"N/A",IF(stdProdLT(Main[[#This Row],[Comments]])=0,"",stdProdLT(Main[[#This Row],[Comments]])))</f>
        <v/>
      </c>
      <c r="H575" s="68" t="str">
        <f>IF(AND(Main[[#This Row],[In Stock Date]]&lt;&gt;"",Main[[#This Row],[Revised Due Date]]&lt;&gt;""),Main[[#This Row],[In Stock Date]]-Main[[#This Row],[Revised Due Date]],"")</f>
        <v/>
      </c>
      <c r="I575" s="65" t="s">
        <v>4</v>
      </c>
      <c r="J575" s="65" t="s">
        <v>4</v>
      </c>
      <c r="K575" s="65" t="s">
        <v>4</v>
      </c>
      <c r="L575" s="67"/>
      <c r="M575" s="69" t="str">
        <f>IF(Main[[#This Row],[Tech Start Date]]&lt;1/1/1990,"",IF(Main[[#This Row],[Class]]="C",WORKDAY(Main[[#This Row],[Tech Start Date]],9),IF(Main[[#This Row],[Class]]="B", WORKDAY(Main[[#This Row],[Tech Start Date]],6),IF(Main[[#This Row],[Class]]="A",WORKDAY(Main[[#This Row],[Tech Start Date]],2),""))))</f>
        <v/>
      </c>
      <c r="N575" s="69" t="str">
        <f>IF(Main[[#This Row],[Tech Start Date]]&lt;1/1/1990,"",IF(Main[[#This Row],[Class]]="C",WORKDAY(Main[[#This Row],[Tech Start Date]],19),IF(Main[[#This Row],[Class]]="B", WORKDAY(Main[[#This Row],[Tech Start Date]],12),IF(Main[[#This Row],[Class]]="A",WORKDAY(Main[[#This Row],[Tech Start Date]],4),""))))</f>
        <v/>
      </c>
      <c r="O575" s="69" t="str">
        <f>IF(Main[[#This Row],[Tech Start Date]]&lt;1/1/1990,"",IF(Main[[#This Row],[Class]]="C",WORKDAY(Main[[#This Row],[Tech Start Date]],23),IF(Main[[#This Row],[Class]]="B", WORKDAY(Main[[#This Row],[Tech Start Date]],15),IF(Main[[#This Row],[Class]]="A",WORKDAY(Main[[#This Row],[Tech Start Date]],5),""))))</f>
        <v/>
      </c>
      <c r="P575" s="69" t="str">
        <f>IF(Main[[#This Row],[Tech Start Date]]&lt;1/1/1990,"",IF(Main[[#This Row],[Class]]="C",WORKDAY(Main[[#This Row],[Tech Start Date]],28),IF(Main[[#This Row],[Class]]="B", WORKDAY(Main[[#This Row],[Tech Start Date]],19),IF(Main[[#This Row],[Class]]="A",WORKDAY(Main[[#This Row],[Tech Start Date]],9),""))))</f>
        <v/>
      </c>
      <c r="Q575" s="67">
        <v>40227</v>
      </c>
      <c r="R575" s="67"/>
      <c r="S575" s="65" t="s">
        <v>11</v>
      </c>
      <c r="T575" s="70" t="s">
        <v>4</v>
      </c>
      <c r="U575" s="65" t="s">
        <v>14</v>
      </c>
      <c r="V575" s="65" t="s">
        <v>1917</v>
      </c>
      <c r="W575" s="65" t="s">
        <v>1919</v>
      </c>
      <c r="X575" s="65" t="s">
        <v>2850</v>
      </c>
      <c r="Y575" s="65" t="s">
        <v>4</v>
      </c>
      <c r="Z575" s="65" t="s">
        <v>4</v>
      </c>
      <c r="AA575" s="65" t="s">
        <v>2850</v>
      </c>
    </row>
    <row r="576" spans="1:27" ht="17.45" hidden="1" customHeight="1">
      <c r="A576" s="100" t="str">
        <f>IF(priority(Main[[#This Row],[Comments]])&lt;&gt;0, priority(Main[[#This Row],[Comments]]),"")</f>
        <v/>
      </c>
      <c r="B576" s="77" t="s">
        <v>1531</v>
      </c>
      <c r="C576" s="65" t="s">
        <v>4</v>
      </c>
      <c r="D576" s="66" t="s">
        <v>614</v>
      </c>
      <c r="E576" s="67"/>
      <c r="F576" s="67"/>
      <c r="G576" s="64" t="str">
        <f>IF(stdProdLT(Main[[#This Row],[Comments]])=0.1,"N/A",IF(stdProdLT(Main[[#This Row],[Comments]])=0,"",stdProdLT(Main[[#This Row],[Comments]])))</f>
        <v/>
      </c>
      <c r="H576" s="68" t="str">
        <f>IF(AND(Main[[#This Row],[In Stock Date]]&lt;&gt;"",Main[[#This Row],[Revised Due Date]]&lt;&gt;""),Main[[#This Row],[In Stock Date]]-Main[[#This Row],[Revised Due Date]],"")</f>
        <v/>
      </c>
      <c r="I576" s="65" t="s">
        <v>4</v>
      </c>
      <c r="J576" s="65" t="s">
        <v>28</v>
      </c>
      <c r="K576" s="65" t="s">
        <v>1923</v>
      </c>
      <c r="L576" s="67"/>
      <c r="M576" s="69" t="str">
        <f>IF(Main[[#This Row],[Tech Start Date]]&lt;1/1/1990,"",IF(Main[[#This Row],[Class]]="C",WORKDAY(Main[[#This Row],[Tech Start Date]],9),IF(Main[[#This Row],[Class]]="B", WORKDAY(Main[[#This Row],[Tech Start Date]],6),IF(Main[[#This Row],[Class]]="A",WORKDAY(Main[[#This Row],[Tech Start Date]],2),""))))</f>
        <v/>
      </c>
      <c r="N576" s="69" t="str">
        <f>IF(Main[[#This Row],[Tech Start Date]]&lt;1/1/1990,"",IF(Main[[#This Row],[Class]]="C",WORKDAY(Main[[#This Row],[Tech Start Date]],19),IF(Main[[#This Row],[Class]]="B", WORKDAY(Main[[#This Row],[Tech Start Date]],12),IF(Main[[#This Row],[Class]]="A",WORKDAY(Main[[#This Row],[Tech Start Date]],4),""))))</f>
        <v/>
      </c>
      <c r="O576" s="69" t="str">
        <f>IF(Main[[#This Row],[Tech Start Date]]&lt;1/1/1990,"",IF(Main[[#This Row],[Class]]="C",WORKDAY(Main[[#This Row],[Tech Start Date]],23),IF(Main[[#This Row],[Class]]="B", WORKDAY(Main[[#This Row],[Tech Start Date]],15),IF(Main[[#This Row],[Class]]="A",WORKDAY(Main[[#This Row],[Tech Start Date]],5),""))))</f>
        <v/>
      </c>
      <c r="P576" s="69" t="str">
        <f>IF(Main[[#This Row],[Tech Start Date]]&lt;1/1/1990,"",IF(Main[[#This Row],[Class]]="C",WORKDAY(Main[[#This Row],[Tech Start Date]],28),IF(Main[[#This Row],[Class]]="B", WORKDAY(Main[[#This Row],[Tech Start Date]],19),IF(Main[[#This Row],[Class]]="A",WORKDAY(Main[[#This Row],[Tech Start Date]],9),""))))</f>
        <v/>
      </c>
      <c r="Q576" s="67">
        <v>40387</v>
      </c>
      <c r="R576" s="67"/>
      <c r="S576" s="65" t="s">
        <v>6</v>
      </c>
      <c r="T576" s="70" t="s">
        <v>4</v>
      </c>
      <c r="U576" s="65" t="s">
        <v>14</v>
      </c>
      <c r="V576" s="65" t="s">
        <v>1914</v>
      </c>
      <c r="W576" s="65" t="s">
        <v>1919</v>
      </c>
      <c r="X576" s="65" t="s">
        <v>129</v>
      </c>
      <c r="Y576" s="65" t="s">
        <v>3077</v>
      </c>
      <c r="Z576" s="65" t="s">
        <v>129</v>
      </c>
      <c r="AA576" s="65" t="s">
        <v>129</v>
      </c>
    </row>
    <row r="577" spans="1:27" ht="17.45" hidden="1" customHeight="1">
      <c r="A577" s="100" t="str">
        <f>IF(priority(Main[[#This Row],[Comments]])&lt;&gt;0, priority(Main[[#This Row],[Comments]]),"")</f>
        <v/>
      </c>
      <c r="B577" s="77" t="s">
        <v>1532</v>
      </c>
      <c r="C577" s="65" t="s">
        <v>211</v>
      </c>
      <c r="D577" s="66" t="s">
        <v>413</v>
      </c>
      <c r="E577" s="67"/>
      <c r="F577" s="67">
        <v>40391</v>
      </c>
      <c r="G577" s="64" t="str">
        <f>IF(stdProdLT(Main[[#This Row],[Comments]])=0.1,"N/A",IF(stdProdLT(Main[[#This Row],[Comments]])=0,"",stdProdLT(Main[[#This Row],[Comments]])))</f>
        <v/>
      </c>
      <c r="H577" s="68" t="str">
        <f>IF(AND(Main[[#This Row],[In Stock Date]]&lt;&gt;"",Main[[#This Row],[Revised Due Date]]&lt;&gt;""),Main[[#This Row],[In Stock Date]]-Main[[#This Row],[Revised Due Date]],"")</f>
        <v/>
      </c>
      <c r="I577" s="65" t="s">
        <v>4</v>
      </c>
      <c r="J577" s="65" t="s">
        <v>4</v>
      </c>
      <c r="K577" s="65" t="s">
        <v>4</v>
      </c>
      <c r="L577" s="67"/>
      <c r="M577" s="69" t="str">
        <f>IF(Main[[#This Row],[Tech Start Date]]&lt;1/1/1990,"",IF(Main[[#This Row],[Class]]="C",WORKDAY(Main[[#This Row],[Tech Start Date]],9),IF(Main[[#This Row],[Class]]="B", WORKDAY(Main[[#This Row],[Tech Start Date]],6),IF(Main[[#This Row],[Class]]="A",WORKDAY(Main[[#This Row],[Tech Start Date]],2),""))))</f>
        <v/>
      </c>
      <c r="N577" s="69" t="str">
        <f>IF(Main[[#This Row],[Tech Start Date]]&lt;1/1/1990,"",IF(Main[[#This Row],[Class]]="C",WORKDAY(Main[[#This Row],[Tech Start Date]],19),IF(Main[[#This Row],[Class]]="B", WORKDAY(Main[[#This Row],[Tech Start Date]],12),IF(Main[[#This Row],[Class]]="A",WORKDAY(Main[[#This Row],[Tech Start Date]],4),""))))</f>
        <v/>
      </c>
      <c r="O577" s="69" t="str">
        <f>IF(Main[[#This Row],[Tech Start Date]]&lt;1/1/1990,"",IF(Main[[#This Row],[Class]]="C",WORKDAY(Main[[#This Row],[Tech Start Date]],23),IF(Main[[#This Row],[Class]]="B", WORKDAY(Main[[#This Row],[Tech Start Date]],15),IF(Main[[#This Row],[Class]]="A",WORKDAY(Main[[#This Row],[Tech Start Date]],5),""))))</f>
        <v/>
      </c>
      <c r="P577" s="69" t="str">
        <f>IF(Main[[#This Row],[Tech Start Date]]&lt;1/1/1990,"",IF(Main[[#This Row],[Class]]="C",WORKDAY(Main[[#This Row],[Tech Start Date]],28),IF(Main[[#This Row],[Class]]="B", WORKDAY(Main[[#This Row],[Tech Start Date]],19),IF(Main[[#This Row],[Class]]="A",WORKDAY(Main[[#This Row],[Tech Start Date]],9),""))))</f>
        <v/>
      </c>
      <c r="Q577" s="67">
        <v>40296</v>
      </c>
      <c r="R577" s="67"/>
      <c r="S577" s="65" t="s">
        <v>11</v>
      </c>
      <c r="T577" s="70" t="s">
        <v>4</v>
      </c>
      <c r="U577" s="65" t="s">
        <v>12</v>
      </c>
      <c r="V577" s="65" t="s">
        <v>1914</v>
      </c>
      <c r="W577" s="65" t="s">
        <v>1922</v>
      </c>
      <c r="X577" s="65" t="s">
        <v>2833</v>
      </c>
      <c r="Y577" s="65" t="s">
        <v>4</v>
      </c>
      <c r="Z577" s="65" t="s">
        <v>4</v>
      </c>
      <c r="AA577" s="65" t="s">
        <v>2833</v>
      </c>
    </row>
    <row r="578" spans="1:27" ht="17.45" hidden="1" customHeight="1">
      <c r="A578" s="100" t="str">
        <f>IF(priority(Main[[#This Row],[Comments]])&lt;&gt;0, priority(Main[[#This Row],[Comments]]),"")</f>
        <v/>
      </c>
      <c r="B578" s="77" t="s">
        <v>1533</v>
      </c>
      <c r="C578" s="65" t="s">
        <v>211</v>
      </c>
      <c r="D578" s="66" t="s">
        <v>413</v>
      </c>
      <c r="E578" s="67"/>
      <c r="F578" s="67">
        <v>40452</v>
      </c>
      <c r="G578" s="64" t="str">
        <f>IF(stdProdLT(Main[[#This Row],[Comments]])=0.1,"N/A",IF(stdProdLT(Main[[#This Row],[Comments]])=0,"",stdProdLT(Main[[#This Row],[Comments]])))</f>
        <v/>
      </c>
      <c r="H578" s="68" t="str">
        <f>IF(AND(Main[[#This Row],[In Stock Date]]&lt;&gt;"",Main[[#This Row],[Revised Due Date]]&lt;&gt;""),Main[[#This Row],[In Stock Date]]-Main[[#This Row],[Revised Due Date]],"")</f>
        <v/>
      </c>
      <c r="I578" s="65" t="s">
        <v>4</v>
      </c>
      <c r="J578" s="65" t="s">
        <v>4</v>
      </c>
      <c r="K578" s="65" t="s">
        <v>4</v>
      </c>
      <c r="L578" s="67"/>
      <c r="M578" s="69" t="str">
        <f>IF(Main[[#This Row],[Tech Start Date]]&lt;1/1/1990,"",IF(Main[[#This Row],[Class]]="C",WORKDAY(Main[[#This Row],[Tech Start Date]],9),IF(Main[[#This Row],[Class]]="B", WORKDAY(Main[[#This Row],[Tech Start Date]],6),IF(Main[[#This Row],[Class]]="A",WORKDAY(Main[[#This Row],[Tech Start Date]],2),""))))</f>
        <v/>
      </c>
      <c r="N578" s="69" t="str">
        <f>IF(Main[[#This Row],[Tech Start Date]]&lt;1/1/1990,"",IF(Main[[#This Row],[Class]]="C",WORKDAY(Main[[#This Row],[Tech Start Date]],19),IF(Main[[#This Row],[Class]]="B", WORKDAY(Main[[#This Row],[Tech Start Date]],12),IF(Main[[#This Row],[Class]]="A",WORKDAY(Main[[#This Row],[Tech Start Date]],4),""))))</f>
        <v/>
      </c>
      <c r="O578" s="69" t="str">
        <f>IF(Main[[#This Row],[Tech Start Date]]&lt;1/1/1990,"",IF(Main[[#This Row],[Class]]="C",WORKDAY(Main[[#This Row],[Tech Start Date]],23),IF(Main[[#This Row],[Class]]="B", WORKDAY(Main[[#This Row],[Tech Start Date]],15),IF(Main[[#This Row],[Class]]="A",WORKDAY(Main[[#This Row],[Tech Start Date]],5),""))))</f>
        <v/>
      </c>
      <c r="P578" s="69" t="str">
        <f>IF(Main[[#This Row],[Tech Start Date]]&lt;1/1/1990,"",IF(Main[[#This Row],[Class]]="C",WORKDAY(Main[[#This Row],[Tech Start Date]],28),IF(Main[[#This Row],[Class]]="B", WORKDAY(Main[[#This Row],[Tech Start Date]],19),IF(Main[[#This Row],[Class]]="A",WORKDAY(Main[[#This Row],[Tech Start Date]],9),""))))</f>
        <v/>
      </c>
      <c r="Q578" s="67">
        <v>40357</v>
      </c>
      <c r="R578" s="67"/>
      <c r="S578" s="65" t="s">
        <v>11</v>
      </c>
      <c r="T578" s="70" t="s">
        <v>4</v>
      </c>
      <c r="U578" s="65" t="s">
        <v>12</v>
      </c>
      <c r="V578" s="65" t="s">
        <v>1914</v>
      </c>
      <c r="W578" s="65" t="s">
        <v>1922</v>
      </c>
      <c r="X578" s="65" t="s">
        <v>2833</v>
      </c>
      <c r="Y578" s="65" t="s">
        <v>4</v>
      </c>
      <c r="Z578" s="65" t="s">
        <v>4</v>
      </c>
      <c r="AA578" s="65" t="s">
        <v>2833</v>
      </c>
    </row>
    <row r="579" spans="1:27" ht="17.45" hidden="1" customHeight="1">
      <c r="A579" s="100" t="str">
        <f>IF(priority(Main[[#This Row],[Comments]])&lt;&gt;0, priority(Main[[#This Row],[Comments]]),"")</f>
        <v/>
      </c>
      <c r="B579" s="77" t="s">
        <v>1534</v>
      </c>
      <c r="C579" s="65" t="s">
        <v>211</v>
      </c>
      <c r="D579" s="66" t="s">
        <v>212</v>
      </c>
      <c r="E579" s="67"/>
      <c r="F579" s="67">
        <v>40452</v>
      </c>
      <c r="G579" s="64" t="str">
        <f>IF(stdProdLT(Main[[#This Row],[Comments]])=0.1,"N/A",IF(stdProdLT(Main[[#This Row],[Comments]])=0,"",stdProdLT(Main[[#This Row],[Comments]])))</f>
        <v/>
      </c>
      <c r="H579" s="68" t="str">
        <f>IF(AND(Main[[#This Row],[In Stock Date]]&lt;&gt;"",Main[[#This Row],[Revised Due Date]]&lt;&gt;""),Main[[#This Row],[In Stock Date]]-Main[[#This Row],[Revised Due Date]],"")</f>
        <v/>
      </c>
      <c r="I579" s="65" t="s">
        <v>4</v>
      </c>
      <c r="J579" s="65" t="s">
        <v>4</v>
      </c>
      <c r="K579" s="65" t="s">
        <v>4</v>
      </c>
      <c r="L579" s="67"/>
      <c r="M579" s="69" t="str">
        <f>IF(Main[[#This Row],[Tech Start Date]]&lt;1/1/1990,"",IF(Main[[#This Row],[Class]]="C",WORKDAY(Main[[#This Row],[Tech Start Date]],9),IF(Main[[#This Row],[Class]]="B", WORKDAY(Main[[#This Row],[Tech Start Date]],6),IF(Main[[#This Row],[Class]]="A",WORKDAY(Main[[#This Row],[Tech Start Date]],2),""))))</f>
        <v/>
      </c>
      <c r="N579" s="69" t="str">
        <f>IF(Main[[#This Row],[Tech Start Date]]&lt;1/1/1990,"",IF(Main[[#This Row],[Class]]="C",WORKDAY(Main[[#This Row],[Tech Start Date]],19),IF(Main[[#This Row],[Class]]="B", WORKDAY(Main[[#This Row],[Tech Start Date]],12),IF(Main[[#This Row],[Class]]="A",WORKDAY(Main[[#This Row],[Tech Start Date]],4),""))))</f>
        <v/>
      </c>
      <c r="O579" s="69" t="str">
        <f>IF(Main[[#This Row],[Tech Start Date]]&lt;1/1/1990,"",IF(Main[[#This Row],[Class]]="C",WORKDAY(Main[[#This Row],[Tech Start Date]],23),IF(Main[[#This Row],[Class]]="B", WORKDAY(Main[[#This Row],[Tech Start Date]],15),IF(Main[[#This Row],[Class]]="A",WORKDAY(Main[[#This Row],[Tech Start Date]],5),""))))</f>
        <v/>
      </c>
      <c r="P579" s="69" t="str">
        <f>IF(Main[[#This Row],[Tech Start Date]]&lt;1/1/1990,"",IF(Main[[#This Row],[Class]]="C",WORKDAY(Main[[#This Row],[Tech Start Date]],28),IF(Main[[#This Row],[Class]]="B", WORKDAY(Main[[#This Row],[Tech Start Date]],19),IF(Main[[#This Row],[Class]]="A",WORKDAY(Main[[#This Row],[Tech Start Date]],9),""))))</f>
        <v/>
      </c>
      <c r="Q579" s="67">
        <v>40357</v>
      </c>
      <c r="R579" s="67"/>
      <c r="S579" s="65" t="s">
        <v>11</v>
      </c>
      <c r="T579" s="70" t="s">
        <v>4</v>
      </c>
      <c r="U579" s="65" t="s">
        <v>12</v>
      </c>
      <c r="V579" s="65" t="s">
        <v>1914</v>
      </c>
      <c r="W579" s="65" t="s">
        <v>1922</v>
      </c>
      <c r="X579" s="65" t="s">
        <v>2833</v>
      </c>
      <c r="Y579" s="65" t="s">
        <v>4</v>
      </c>
      <c r="Z579" s="65" t="s">
        <v>4</v>
      </c>
      <c r="AA579" s="65" t="s">
        <v>2833</v>
      </c>
    </row>
    <row r="580" spans="1:27" ht="17.45" hidden="1" customHeight="1">
      <c r="A580" s="100" t="str">
        <f>IF(priority(Main[[#This Row],[Comments]])&lt;&gt;0, priority(Main[[#This Row],[Comments]]),"")</f>
        <v/>
      </c>
      <c r="B580" s="77" t="s">
        <v>1535</v>
      </c>
      <c r="C580" s="65" t="s">
        <v>211</v>
      </c>
      <c r="D580" s="66" t="s">
        <v>212</v>
      </c>
      <c r="E580" s="67"/>
      <c r="F580" s="67">
        <v>40452</v>
      </c>
      <c r="G580" s="64" t="str">
        <f>IF(stdProdLT(Main[[#This Row],[Comments]])=0.1,"N/A",IF(stdProdLT(Main[[#This Row],[Comments]])=0,"",stdProdLT(Main[[#This Row],[Comments]])))</f>
        <v/>
      </c>
      <c r="H580" s="68" t="str">
        <f>IF(AND(Main[[#This Row],[In Stock Date]]&lt;&gt;"",Main[[#This Row],[Revised Due Date]]&lt;&gt;""),Main[[#This Row],[In Stock Date]]-Main[[#This Row],[Revised Due Date]],"")</f>
        <v/>
      </c>
      <c r="I580" s="65" t="s">
        <v>4</v>
      </c>
      <c r="J580" s="65" t="s">
        <v>4</v>
      </c>
      <c r="K580" s="65" t="s">
        <v>4</v>
      </c>
      <c r="L580" s="67"/>
      <c r="M580" s="69" t="str">
        <f>IF(Main[[#This Row],[Tech Start Date]]&lt;1/1/1990,"",IF(Main[[#This Row],[Class]]="C",WORKDAY(Main[[#This Row],[Tech Start Date]],9),IF(Main[[#This Row],[Class]]="B", WORKDAY(Main[[#This Row],[Tech Start Date]],6),IF(Main[[#This Row],[Class]]="A",WORKDAY(Main[[#This Row],[Tech Start Date]],2),""))))</f>
        <v/>
      </c>
      <c r="N580" s="69" t="str">
        <f>IF(Main[[#This Row],[Tech Start Date]]&lt;1/1/1990,"",IF(Main[[#This Row],[Class]]="C",WORKDAY(Main[[#This Row],[Tech Start Date]],19),IF(Main[[#This Row],[Class]]="B", WORKDAY(Main[[#This Row],[Tech Start Date]],12),IF(Main[[#This Row],[Class]]="A",WORKDAY(Main[[#This Row],[Tech Start Date]],4),""))))</f>
        <v/>
      </c>
      <c r="O580" s="69" t="str">
        <f>IF(Main[[#This Row],[Tech Start Date]]&lt;1/1/1990,"",IF(Main[[#This Row],[Class]]="C",WORKDAY(Main[[#This Row],[Tech Start Date]],23),IF(Main[[#This Row],[Class]]="B", WORKDAY(Main[[#This Row],[Tech Start Date]],15),IF(Main[[#This Row],[Class]]="A",WORKDAY(Main[[#This Row],[Tech Start Date]],5),""))))</f>
        <v/>
      </c>
      <c r="P580" s="69" t="str">
        <f>IF(Main[[#This Row],[Tech Start Date]]&lt;1/1/1990,"",IF(Main[[#This Row],[Class]]="C",WORKDAY(Main[[#This Row],[Tech Start Date]],28),IF(Main[[#This Row],[Class]]="B", WORKDAY(Main[[#This Row],[Tech Start Date]],19),IF(Main[[#This Row],[Class]]="A",WORKDAY(Main[[#This Row],[Tech Start Date]],9),""))))</f>
        <v/>
      </c>
      <c r="Q580" s="67">
        <v>40357</v>
      </c>
      <c r="R580" s="67"/>
      <c r="S580" s="65" t="s">
        <v>11</v>
      </c>
      <c r="T580" s="70" t="s">
        <v>4</v>
      </c>
      <c r="U580" s="65" t="s">
        <v>12</v>
      </c>
      <c r="V580" s="65" t="s">
        <v>1914</v>
      </c>
      <c r="W580" s="65" t="s">
        <v>1922</v>
      </c>
      <c r="X580" s="65" t="s">
        <v>2833</v>
      </c>
      <c r="Y580" s="65" t="s">
        <v>4</v>
      </c>
      <c r="Z580" s="65" t="s">
        <v>4</v>
      </c>
      <c r="AA580" s="65" t="s">
        <v>2833</v>
      </c>
    </row>
    <row r="581" spans="1:27" ht="17.45" hidden="1" customHeight="1">
      <c r="A581" s="100" t="str">
        <f>IF(priority(Main[[#This Row],[Comments]])&lt;&gt;0, priority(Main[[#This Row],[Comments]]),"")</f>
        <v/>
      </c>
      <c r="B581" s="77" t="s">
        <v>1536</v>
      </c>
      <c r="C581" s="65" t="s">
        <v>72</v>
      </c>
      <c r="D581" s="66" t="s">
        <v>615</v>
      </c>
      <c r="E581" s="67"/>
      <c r="F581" s="67"/>
      <c r="G581" s="64" t="str">
        <f>IF(stdProdLT(Main[[#This Row],[Comments]])=0.1,"N/A",IF(stdProdLT(Main[[#This Row],[Comments]])=0,"",stdProdLT(Main[[#This Row],[Comments]])))</f>
        <v/>
      </c>
      <c r="H581" s="68" t="str">
        <f>IF(AND(Main[[#This Row],[In Stock Date]]&lt;&gt;"",Main[[#This Row],[Revised Due Date]]&lt;&gt;""),Main[[#This Row],[In Stock Date]]-Main[[#This Row],[Revised Due Date]],"")</f>
        <v/>
      </c>
      <c r="I581" s="65" t="s">
        <v>4</v>
      </c>
      <c r="J581" s="65" t="s">
        <v>4</v>
      </c>
      <c r="K581" s="65" t="s">
        <v>4</v>
      </c>
      <c r="L581" s="67"/>
      <c r="M581" s="69" t="str">
        <f>IF(Main[[#This Row],[Tech Start Date]]&lt;1/1/1990,"",IF(Main[[#This Row],[Class]]="C",WORKDAY(Main[[#This Row],[Tech Start Date]],9),IF(Main[[#This Row],[Class]]="B", WORKDAY(Main[[#This Row],[Tech Start Date]],6),IF(Main[[#This Row],[Class]]="A",WORKDAY(Main[[#This Row],[Tech Start Date]],2),""))))</f>
        <v/>
      </c>
      <c r="N581" s="69" t="str">
        <f>IF(Main[[#This Row],[Tech Start Date]]&lt;1/1/1990,"",IF(Main[[#This Row],[Class]]="C",WORKDAY(Main[[#This Row],[Tech Start Date]],19),IF(Main[[#This Row],[Class]]="B", WORKDAY(Main[[#This Row],[Tech Start Date]],12),IF(Main[[#This Row],[Class]]="A",WORKDAY(Main[[#This Row],[Tech Start Date]],4),""))))</f>
        <v/>
      </c>
      <c r="O581" s="69" t="str">
        <f>IF(Main[[#This Row],[Tech Start Date]]&lt;1/1/1990,"",IF(Main[[#This Row],[Class]]="C",WORKDAY(Main[[#This Row],[Tech Start Date]],23),IF(Main[[#This Row],[Class]]="B", WORKDAY(Main[[#This Row],[Tech Start Date]],15),IF(Main[[#This Row],[Class]]="A",WORKDAY(Main[[#This Row],[Tech Start Date]],5),""))))</f>
        <v/>
      </c>
      <c r="P581" s="69" t="str">
        <f>IF(Main[[#This Row],[Tech Start Date]]&lt;1/1/1990,"",IF(Main[[#This Row],[Class]]="C",WORKDAY(Main[[#This Row],[Tech Start Date]],28),IF(Main[[#This Row],[Class]]="B", WORKDAY(Main[[#This Row],[Tech Start Date]],19),IF(Main[[#This Row],[Class]]="A",WORKDAY(Main[[#This Row],[Tech Start Date]],9),""))))</f>
        <v/>
      </c>
      <c r="Q581" s="67"/>
      <c r="R581" s="67"/>
      <c r="S581" s="65" t="s">
        <v>11</v>
      </c>
      <c r="T581" s="70" t="s">
        <v>4</v>
      </c>
      <c r="U581" s="65" t="s">
        <v>14</v>
      </c>
      <c r="V581" s="65" t="s">
        <v>1915</v>
      </c>
      <c r="W581" s="65" t="s">
        <v>1922</v>
      </c>
      <c r="X581" s="65" t="s">
        <v>2827</v>
      </c>
      <c r="Y581" s="65" t="s">
        <v>2948</v>
      </c>
      <c r="Z581" s="65" t="s">
        <v>4</v>
      </c>
      <c r="AA581" s="65" t="s">
        <v>2827</v>
      </c>
    </row>
    <row r="582" spans="1:27" ht="17.45" hidden="1" customHeight="1">
      <c r="A582" s="100" t="str">
        <f>IF(priority(Main[[#This Row],[Comments]])&lt;&gt;0, priority(Main[[#This Row],[Comments]]),"")</f>
        <v/>
      </c>
      <c r="B582" s="77" t="s">
        <v>1537</v>
      </c>
      <c r="C582" s="65" t="s">
        <v>33</v>
      </c>
      <c r="D582" s="66" t="s">
        <v>616</v>
      </c>
      <c r="E582" s="67"/>
      <c r="F582" s="67"/>
      <c r="G582" s="64" t="str">
        <f>IF(stdProdLT(Main[[#This Row],[Comments]])=0.1,"N/A",IF(stdProdLT(Main[[#This Row],[Comments]])=0,"",stdProdLT(Main[[#This Row],[Comments]])))</f>
        <v/>
      </c>
      <c r="H582" s="68" t="str">
        <f>IF(AND(Main[[#This Row],[In Stock Date]]&lt;&gt;"",Main[[#This Row],[Revised Due Date]]&lt;&gt;""),Main[[#This Row],[In Stock Date]]-Main[[#This Row],[Revised Due Date]],"")</f>
        <v/>
      </c>
      <c r="I582" s="65" t="s">
        <v>4</v>
      </c>
      <c r="J582" s="65" t="s">
        <v>4</v>
      </c>
      <c r="K582" s="65" t="s">
        <v>4</v>
      </c>
      <c r="L582" s="67"/>
      <c r="M582" s="69" t="str">
        <f>IF(Main[[#This Row],[Tech Start Date]]&lt;1/1/1990,"",IF(Main[[#This Row],[Class]]="C",WORKDAY(Main[[#This Row],[Tech Start Date]],9),IF(Main[[#This Row],[Class]]="B", WORKDAY(Main[[#This Row],[Tech Start Date]],6),IF(Main[[#This Row],[Class]]="A",WORKDAY(Main[[#This Row],[Tech Start Date]],2),""))))</f>
        <v/>
      </c>
      <c r="N582" s="69" t="str">
        <f>IF(Main[[#This Row],[Tech Start Date]]&lt;1/1/1990,"",IF(Main[[#This Row],[Class]]="C",WORKDAY(Main[[#This Row],[Tech Start Date]],19),IF(Main[[#This Row],[Class]]="B", WORKDAY(Main[[#This Row],[Tech Start Date]],12),IF(Main[[#This Row],[Class]]="A",WORKDAY(Main[[#This Row],[Tech Start Date]],4),""))))</f>
        <v/>
      </c>
      <c r="O582" s="69" t="str">
        <f>IF(Main[[#This Row],[Tech Start Date]]&lt;1/1/1990,"",IF(Main[[#This Row],[Class]]="C",WORKDAY(Main[[#This Row],[Tech Start Date]],23),IF(Main[[#This Row],[Class]]="B", WORKDAY(Main[[#This Row],[Tech Start Date]],15),IF(Main[[#This Row],[Class]]="A",WORKDAY(Main[[#This Row],[Tech Start Date]],5),""))))</f>
        <v/>
      </c>
      <c r="P582" s="69" t="str">
        <f>IF(Main[[#This Row],[Tech Start Date]]&lt;1/1/1990,"",IF(Main[[#This Row],[Class]]="C",WORKDAY(Main[[#This Row],[Tech Start Date]],28),IF(Main[[#This Row],[Class]]="B", WORKDAY(Main[[#This Row],[Tech Start Date]],19),IF(Main[[#This Row],[Class]]="A",WORKDAY(Main[[#This Row],[Tech Start Date]],9),""))))</f>
        <v/>
      </c>
      <c r="Q582" s="67"/>
      <c r="R582" s="67"/>
      <c r="S582" s="65" t="s">
        <v>11</v>
      </c>
      <c r="T582" s="70" t="s">
        <v>4</v>
      </c>
      <c r="U582" s="65" t="s">
        <v>14</v>
      </c>
      <c r="V582" s="65" t="s">
        <v>1915</v>
      </c>
      <c r="W582" s="65" t="s">
        <v>1922</v>
      </c>
      <c r="X582" s="65" t="s">
        <v>2827</v>
      </c>
      <c r="Y582" s="65" t="s">
        <v>2948</v>
      </c>
      <c r="Z582" s="65" t="s">
        <v>4</v>
      </c>
      <c r="AA582" s="65" t="s">
        <v>2827</v>
      </c>
    </row>
    <row r="583" spans="1:27" ht="17.45" hidden="1" customHeight="1">
      <c r="A583" s="100" t="str">
        <f>IF(priority(Main[[#This Row],[Comments]])&lt;&gt;0, priority(Main[[#This Row],[Comments]]),"")</f>
        <v/>
      </c>
      <c r="B583" s="77" t="s">
        <v>1538</v>
      </c>
      <c r="C583" s="65" t="s">
        <v>33</v>
      </c>
      <c r="D583" s="66" t="s">
        <v>617</v>
      </c>
      <c r="E583" s="67"/>
      <c r="F583" s="67"/>
      <c r="G583" s="64" t="str">
        <f>IF(stdProdLT(Main[[#This Row],[Comments]])=0.1,"N/A",IF(stdProdLT(Main[[#This Row],[Comments]])=0,"",stdProdLT(Main[[#This Row],[Comments]])))</f>
        <v/>
      </c>
      <c r="H583" s="68" t="str">
        <f>IF(AND(Main[[#This Row],[In Stock Date]]&lt;&gt;"",Main[[#This Row],[Revised Due Date]]&lt;&gt;""),Main[[#This Row],[In Stock Date]]-Main[[#This Row],[Revised Due Date]],"")</f>
        <v/>
      </c>
      <c r="I583" s="65" t="s">
        <v>4</v>
      </c>
      <c r="J583" s="65" t="s">
        <v>4</v>
      </c>
      <c r="K583" s="65" t="s">
        <v>4</v>
      </c>
      <c r="L583" s="67"/>
      <c r="M583" s="69" t="str">
        <f>IF(Main[[#This Row],[Tech Start Date]]&lt;1/1/1990,"",IF(Main[[#This Row],[Class]]="C",WORKDAY(Main[[#This Row],[Tech Start Date]],9),IF(Main[[#This Row],[Class]]="B", WORKDAY(Main[[#This Row],[Tech Start Date]],6),IF(Main[[#This Row],[Class]]="A",WORKDAY(Main[[#This Row],[Tech Start Date]],2),""))))</f>
        <v/>
      </c>
      <c r="N583" s="69" t="str">
        <f>IF(Main[[#This Row],[Tech Start Date]]&lt;1/1/1990,"",IF(Main[[#This Row],[Class]]="C",WORKDAY(Main[[#This Row],[Tech Start Date]],19),IF(Main[[#This Row],[Class]]="B", WORKDAY(Main[[#This Row],[Tech Start Date]],12),IF(Main[[#This Row],[Class]]="A",WORKDAY(Main[[#This Row],[Tech Start Date]],4),""))))</f>
        <v/>
      </c>
      <c r="O583" s="69" t="str">
        <f>IF(Main[[#This Row],[Tech Start Date]]&lt;1/1/1990,"",IF(Main[[#This Row],[Class]]="C",WORKDAY(Main[[#This Row],[Tech Start Date]],23),IF(Main[[#This Row],[Class]]="B", WORKDAY(Main[[#This Row],[Tech Start Date]],15),IF(Main[[#This Row],[Class]]="A",WORKDAY(Main[[#This Row],[Tech Start Date]],5),""))))</f>
        <v/>
      </c>
      <c r="P583" s="69" t="str">
        <f>IF(Main[[#This Row],[Tech Start Date]]&lt;1/1/1990,"",IF(Main[[#This Row],[Class]]="C",WORKDAY(Main[[#This Row],[Tech Start Date]],28),IF(Main[[#This Row],[Class]]="B", WORKDAY(Main[[#This Row],[Tech Start Date]],19),IF(Main[[#This Row],[Class]]="A",WORKDAY(Main[[#This Row],[Tech Start Date]],9),""))))</f>
        <v/>
      </c>
      <c r="Q583" s="67"/>
      <c r="R583" s="67"/>
      <c r="S583" s="65" t="s">
        <v>11</v>
      </c>
      <c r="T583" s="70" t="s">
        <v>4</v>
      </c>
      <c r="U583" s="65" t="s">
        <v>14</v>
      </c>
      <c r="V583" s="65" t="s">
        <v>1915</v>
      </c>
      <c r="W583" s="65" t="s">
        <v>1922</v>
      </c>
      <c r="X583" s="65" t="s">
        <v>2827</v>
      </c>
      <c r="Y583" s="65" t="s">
        <v>2948</v>
      </c>
      <c r="Z583" s="65" t="s">
        <v>4</v>
      </c>
      <c r="AA583" s="65" t="s">
        <v>2827</v>
      </c>
    </row>
    <row r="584" spans="1:27" ht="17.45" hidden="1" customHeight="1">
      <c r="A584" s="100" t="str">
        <f>IF(priority(Main[[#This Row],[Comments]])&lt;&gt;0, priority(Main[[#This Row],[Comments]]),"")</f>
        <v/>
      </c>
      <c r="B584" s="77" t="s">
        <v>1539</v>
      </c>
      <c r="C584" s="65" t="s">
        <v>4</v>
      </c>
      <c r="D584" s="66" t="s">
        <v>618</v>
      </c>
      <c r="E584" s="67">
        <v>40294.429988425924</v>
      </c>
      <c r="F584" s="67"/>
      <c r="G584" s="64" t="str">
        <f>IF(stdProdLT(Main[[#This Row],[Comments]])=0.1,"N/A",IF(stdProdLT(Main[[#This Row],[Comments]])=0,"",stdProdLT(Main[[#This Row],[Comments]])))</f>
        <v/>
      </c>
      <c r="H584" s="68" t="str">
        <f>IF(AND(Main[[#This Row],[In Stock Date]]&lt;&gt;"",Main[[#This Row],[Revised Due Date]]&lt;&gt;""),Main[[#This Row],[In Stock Date]]-Main[[#This Row],[Revised Due Date]],"")</f>
        <v/>
      </c>
      <c r="I584" s="65" t="s">
        <v>4</v>
      </c>
      <c r="J584" s="65" t="s">
        <v>4</v>
      </c>
      <c r="K584" s="65" t="s">
        <v>4</v>
      </c>
      <c r="L584" s="67"/>
      <c r="M584" s="69" t="str">
        <f>IF(Main[[#This Row],[Tech Start Date]]&lt;1/1/1990,"",IF(Main[[#This Row],[Class]]="C",WORKDAY(Main[[#This Row],[Tech Start Date]],9),IF(Main[[#This Row],[Class]]="B", WORKDAY(Main[[#This Row],[Tech Start Date]],6),IF(Main[[#This Row],[Class]]="A",WORKDAY(Main[[#This Row],[Tech Start Date]],2),""))))</f>
        <v/>
      </c>
      <c r="N584" s="69" t="str">
        <f>IF(Main[[#This Row],[Tech Start Date]]&lt;1/1/1990,"",IF(Main[[#This Row],[Class]]="C",WORKDAY(Main[[#This Row],[Tech Start Date]],19),IF(Main[[#This Row],[Class]]="B", WORKDAY(Main[[#This Row],[Tech Start Date]],12),IF(Main[[#This Row],[Class]]="A",WORKDAY(Main[[#This Row],[Tech Start Date]],4),""))))</f>
        <v/>
      </c>
      <c r="O584" s="69" t="str">
        <f>IF(Main[[#This Row],[Tech Start Date]]&lt;1/1/1990,"",IF(Main[[#This Row],[Class]]="C",WORKDAY(Main[[#This Row],[Tech Start Date]],23),IF(Main[[#This Row],[Class]]="B", WORKDAY(Main[[#This Row],[Tech Start Date]],15),IF(Main[[#This Row],[Class]]="A",WORKDAY(Main[[#This Row],[Tech Start Date]],5),""))))</f>
        <v/>
      </c>
      <c r="P584" s="69" t="str">
        <f>IF(Main[[#This Row],[Tech Start Date]]&lt;1/1/1990,"",IF(Main[[#This Row],[Class]]="C",WORKDAY(Main[[#This Row],[Tech Start Date]],28),IF(Main[[#This Row],[Class]]="B", WORKDAY(Main[[#This Row],[Tech Start Date]],19),IF(Main[[#This Row],[Class]]="A",WORKDAY(Main[[#This Row],[Tech Start Date]],9),""))))</f>
        <v/>
      </c>
      <c r="Q584" s="67">
        <v>40390</v>
      </c>
      <c r="R584" s="67"/>
      <c r="S584" s="65" t="s">
        <v>6</v>
      </c>
      <c r="T584" s="70" t="s">
        <v>4</v>
      </c>
      <c r="U584" s="65" t="s">
        <v>7</v>
      </c>
      <c r="V584" s="65" t="s">
        <v>1914</v>
      </c>
      <c r="W584" s="65" t="s">
        <v>4</v>
      </c>
      <c r="X584" s="65" t="s">
        <v>2819</v>
      </c>
      <c r="Y584" s="65" t="s">
        <v>2932</v>
      </c>
      <c r="Z584" s="65" t="s">
        <v>4</v>
      </c>
      <c r="AA584" s="65" t="s">
        <v>2819</v>
      </c>
    </row>
    <row r="585" spans="1:27" ht="17.45" hidden="1" customHeight="1">
      <c r="A585" s="100" t="str">
        <f>IF(priority(Main[[#This Row],[Comments]])&lt;&gt;0, priority(Main[[#This Row],[Comments]]),"")</f>
        <v/>
      </c>
      <c r="B585" s="77" t="s">
        <v>1540</v>
      </c>
      <c r="C585" s="65" t="s">
        <v>4</v>
      </c>
      <c r="D585" s="66" t="s">
        <v>619</v>
      </c>
      <c r="E585" s="67"/>
      <c r="F585" s="67"/>
      <c r="G585" s="64" t="str">
        <f>IF(stdProdLT(Main[[#This Row],[Comments]])=0.1,"N/A",IF(stdProdLT(Main[[#This Row],[Comments]])=0,"",stdProdLT(Main[[#This Row],[Comments]])))</f>
        <v/>
      </c>
      <c r="H585" s="68" t="str">
        <f>IF(AND(Main[[#This Row],[In Stock Date]]&lt;&gt;"",Main[[#This Row],[Revised Due Date]]&lt;&gt;""),Main[[#This Row],[In Stock Date]]-Main[[#This Row],[Revised Due Date]],"")</f>
        <v/>
      </c>
      <c r="I585" s="65" t="s">
        <v>4</v>
      </c>
      <c r="J585" s="65" t="s">
        <v>4</v>
      </c>
      <c r="K585" s="71" t="s">
        <v>4</v>
      </c>
      <c r="L585" s="67"/>
      <c r="M585" s="69" t="str">
        <f>IF(Main[[#This Row],[Tech Start Date]]&lt;1/1/1990,"",IF(Main[[#This Row],[Class]]="C",WORKDAY(Main[[#This Row],[Tech Start Date]],9),IF(Main[[#This Row],[Class]]="B", WORKDAY(Main[[#This Row],[Tech Start Date]],6),IF(Main[[#This Row],[Class]]="A",WORKDAY(Main[[#This Row],[Tech Start Date]],2),""))))</f>
        <v/>
      </c>
      <c r="N585" s="69" t="str">
        <f>IF(Main[[#This Row],[Tech Start Date]]&lt;1/1/1990,"",IF(Main[[#This Row],[Class]]="C",WORKDAY(Main[[#This Row],[Tech Start Date]],19),IF(Main[[#This Row],[Class]]="B", WORKDAY(Main[[#This Row],[Tech Start Date]],12),IF(Main[[#This Row],[Class]]="A",WORKDAY(Main[[#This Row],[Tech Start Date]],4),""))))</f>
        <v/>
      </c>
      <c r="O585" s="69" t="str">
        <f>IF(Main[[#This Row],[Tech Start Date]]&lt;1/1/1990,"",IF(Main[[#This Row],[Class]]="C",WORKDAY(Main[[#This Row],[Tech Start Date]],23),IF(Main[[#This Row],[Class]]="B", WORKDAY(Main[[#This Row],[Tech Start Date]],15),IF(Main[[#This Row],[Class]]="A",WORKDAY(Main[[#This Row],[Tech Start Date]],5),""))))</f>
        <v/>
      </c>
      <c r="P585" s="69" t="str">
        <f>IF(Main[[#This Row],[Tech Start Date]]&lt;1/1/1990,"",IF(Main[[#This Row],[Class]]="C",WORKDAY(Main[[#This Row],[Tech Start Date]],28),IF(Main[[#This Row],[Class]]="B", WORKDAY(Main[[#This Row],[Tech Start Date]],19),IF(Main[[#This Row],[Class]]="A",WORKDAY(Main[[#This Row],[Tech Start Date]],9),""))))</f>
        <v/>
      </c>
      <c r="Q585" s="67"/>
      <c r="R585" s="67"/>
      <c r="S585" s="65" t="s">
        <v>11</v>
      </c>
      <c r="T585" s="70" t="s">
        <v>4</v>
      </c>
      <c r="U585" s="65" t="s">
        <v>14</v>
      </c>
      <c r="V585" s="65" t="s">
        <v>1914</v>
      </c>
      <c r="W585" s="65" t="s">
        <v>1918</v>
      </c>
      <c r="X585" s="65" t="s">
        <v>922</v>
      </c>
      <c r="Y585" s="65" t="s">
        <v>2982</v>
      </c>
      <c r="Z585" s="65" t="s">
        <v>4</v>
      </c>
      <c r="AA585" s="65" t="s">
        <v>922</v>
      </c>
    </row>
    <row r="586" spans="1:27" ht="17.45" hidden="1" customHeight="1">
      <c r="A586" s="100" t="str">
        <f>IF(priority(Main[[#This Row],[Comments]])&lt;&gt;0, priority(Main[[#This Row],[Comments]]),"")</f>
        <v/>
      </c>
      <c r="B586" s="77" t="s">
        <v>1544</v>
      </c>
      <c r="C586" s="65" t="s">
        <v>4</v>
      </c>
      <c r="D586" s="66" t="s">
        <v>627</v>
      </c>
      <c r="E586" s="67"/>
      <c r="F586" s="67"/>
      <c r="G586" s="64" t="str">
        <f>IF(stdProdLT(Main[[#This Row],[Comments]])=0.1,"N/A",IF(stdProdLT(Main[[#This Row],[Comments]])=0,"",stdProdLT(Main[[#This Row],[Comments]])))</f>
        <v/>
      </c>
      <c r="H586" s="68" t="str">
        <f>IF(AND(Main[[#This Row],[In Stock Date]]&lt;&gt;"",Main[[#This Row],[Revised Due Date]]&lt;&gt;""),Main[[#This Row],[In Stock Date]]-Main[[#This Row],[Revised Due Date]],"")</f>
        <v/>
      </c>
      <c r="I586" s="65" t="s">
        <v>4</v>
      </c>
      <c r="J586" s="65" t="s">
        <v>4</v>
      </c>
      <c r="K586" s="65" t="s">
        <v>4</v>
      </c>
      <c r="L586" s="67"/>
      <c r="M586" s="69" t="str">
        <f>IF(Main[[#This Row],[Tech Start Date]]&lt;1/1/1990,"",IF(Main[[#This Row],[Class]]="C",WORKDAY(Main[[#This Row],[Tech Start Date]],9),IF(Main[[#This Row],[Class]]="B", WORKDAY(Main[[#This Row],[Tech Start Date]],6),IF(Main[[#This Row],[Class]]="A",WORKDAY(Main[[#This Row],[Tech Start Date]],2),""))))</f>
        <v/>
      </c>
      <c r="N586" s="69" t="str">
        <f>IF(Main[[#This Row],[Tech Start Date]]&lt;1/1/1990,"",IF(Main[[#This Row],[Class]]="C",WORKDAY(Main[[#This Row],[Tech Start Date]],19),IF(Main[[#This Row],[Class]]="B", WORKDAY(Main[[#This Row],[Tech Start Date]],12),IF(Main[[#This Row],[Class]]="A",WORKDAY(Main[[#This Row],[Tech Start Date]],4),""))))</f>
        <v/>
      </c>
      <c r="O586" s="69" t="str">
        <f>IF(Main[[#This Row],[Tech Start Date]]&lt;1/1/1990,"",IF(Main[[#This Row],[Class]]="C",WORKDAY(Main[[#This Row],[Tech Start Date]],23),IF(Main[[#This Row],[Class]]="B", WORKDAY(Main[[#This Row],[Tech Start Date]],15),IF(Main[[#This Row],[Class]]="A",WORKDAY(Main[[#This Row],[Tech Start Date]],5),""))))</f>
        <v/>
      </c>
      <c r="P586" s="69" t="str">
        <f>IF(Main[[#This Row],[Tech Start Date]]&lt;1/1/1990,"",IF(Main[[#This Row],[Class]]="C",WORKDAY(Main[[#This Row],[Tech Start Date]],28),IF(Main[[#This Row],[Class]]="B", WORKDAY(Main[[#This Row],[Tech Start Date]],19),IF(Main[[#This Row],[Class]]="A",WORKDAY(Main[[#This Row],[Tech Start Date]],9),""))))</f>
        <v/>
      </c>
      <c r="Q586" s="67"/>
      <c r="R586" s="67"/>
      <c r="S586" s="65" t="s">
        <v>6</v>
      </c>
      <c r="T586" s="70" t="s">
        <v>4</v>
      </c>
      <c r="U586" s="65" t="s">
        <v>12</v>
      </c>
      <c r="V586" s="65" t="s">
        <v>1914</v>
      </c>
      <c r="W586" s="65" t="s">
        <v>4</v>
      </c>
      <c r="X586" s="65" t="s">
        <v>708</v>
      </c>
      <c r="Y586" s="65" t="s">
        <v>3078</v>
      </c>
      <c r="Z586" s="65" t="s">
        <v>4</v>
      </c>
      <c r="AA586" s="65" t="s">
        <v>3425</v>
      </c>
    </row>
    <row r="587" spans="1:27" ht="17.45" hidden="1" customHeight="1">
      <c r="A587" s="100" t="str">
        <f>IF(priority(Main[[#This Row],[Comments]])&lt;&gt;0, priority(Main[[#This Row],[Comments]]),"")</f>
        <v/>
      </c>
      <c r="B587" s="77" t="s">
        <v>1545</v>
      </c>
      <c r="C587" s="65" t="s">
        <v>93</v>
      </c>
      <c r="D587" s="66" t="s">
        <v>628</v>
      </c>
      <c r="E587" s="67"/>
      <c r="F587" s="67">
        <v>40162</v>
      </c>
      <c r="G587" s="64" t="str">
        <f>IF(stdProdLT(Main[[#This Row],[Comments]])=0.1,"N/A",IF(stdProdLT(Main[[#This Row],[Comments]])=0,"",stdProdLT(Main[[#This Row],[Comments]])))</f>
        <v/>
      </c>
      <c r="H587" s="68" t="str">
        <f>IF(AND(Main[[#This Row],[In Stock Date]]&lt;&gt;"",Main[[#This Row],[Revised Due Date]]&lt;&gt;""),Main[[#This Row],[In Stock Date]]-Main[[#This Row],[Revised Due Date]],"")</f>
        <v/>
      </c>
      <c r="I587" s="65" t="s">
        <v>4</v>
      </c>
      <c r="J587" s="65" t="s">
        <v>4</v>
      </c>
      <c r="K587" s="65" t="s">
        <v>4</v>
      </c>
      <c r="L587" s="67"/>
      <c r="M587" s="69" t="str">
        <f>IF(Main[[#This Row],[Tech Start Date]]&lt;1/1/1990,"",IF(Main[[#This Row],[Class]]="C",WORKDAY(Main[[#This Row],[Tech Start Date]],9),IF(Main[[#This Row],[Class]]="B", WORKDAY(Main[[#This Row],[Tech Start Date]],6),IF(Main[[#This Row],[Class]]="A",WORKDAY(Main[[#This Row],[Tech Start Date]],2),""))))</f>
        <v/>
      </c>
      <c r="N587" s="69" t="str">
        <f>IF(Main[[#This Row],[Tech Start Date]]&lt;1/1/1990,"",IF(Main[[#This Row],[Class]]="C",WORKDAY(Main[[#This Row],[Tech Start Date]],19),IF(Main[[#This Row],[Class]]="B", WORKDAY(Main[[#This Row],[Tech Start Date]],12),IF(Main[[#This Row],[Class]]="A",WORKDAY(Main[[#This Row],[Tech Start Date]],4),""))))</f>
        <v/>
      </c>
      <c r="O587" s="69" t="str">
        <f>IF(Main[[#This Row],[Tech Start Date]]&lt;1/1/1990,"",IF(Main[[#This Row],[Class]]="C",WORKDAY(Main[[#This Row],[Tech Start Date]],23),IF(Main[[#This Row],[Class]]="B", WORKDAY(Main[[#This Row],[Tech Start Date]],15),IF(Main[[#This Row],[Class]]="A",WORKDAY(Main[[#This Row],[Tech Start Date]],5),""))))</f>
        <v/>
      </c>
      <c r="P587" s="69" t="str">
        <f>IF(Main[[#This Row],[Tech Start Date]]&lt;1/1/1990,"",IF(Main[[#This Row],[Class]]="C",WORKDAY(Main[[#This Row],[Tech Start Date]],28),IF(Main[[#This Row],[Class]]="B", WORKDAY(Main[[#This Row],[Tech Start Date]],19),IF(Main[[#This Row],[Class]]="A",WORKDAY(Main[[#This Row],[Tech Start Date]],9),""))))</f>
        <v/>
      </c>
      <c r="Q587" s="67">
        <v>40147</v>
      </c>
      <c r="R587" s="67"/>
      <c r="S587" s="65" t="s">
        <v>11</v>
      </c>
      <c r="T587" s="70" t="s">
        <v>4</v>
      </c>
      <c r="U587" s="65" t="s">
        <v>14</v>
      </c>
      <c r="V587" s="65" t="s">
        <v>1924</v>
      </c>
      <c r="W587" s="65" t="s">
        <v>1920</v>
      </c>
      <c r="X587" s="65" t="s">
        <v>2845</v>
      </c>
      <c r="Y587" s="65" t="s">
        <v>4</v>
      </c>
      <c r="Z587" s="65" t="s">
        <v>4</v>
      </c>
      <c r="AA587" s="65" t="s">
        <v>2845</v>
      </c>
    </row>
    <row r="588" spans="1:27" ht="17.45" hidden="1" customHeight="1">
      <c r="A588" s="100" t="str">
        <f>IF(priority(Main[[#This Row],[Comments]])&lt;&gt;0, priority(Main[[#This Row],[Comments]]),"")</f>
        <v/>
      </c>
      <c r="B588" s="77" t="s">
        <v>1546</v>
      </c>
      <c r="C588" s="65" t="s">
        <v>4</v>
      </c>
      <c r="D588" s="66" t="s">
        <v>629</v>
      </c>
      <c r="E588" s="67"/>
      <c r="F588" s="67"/>
      <c r="G588" s="64" t="str">
        <f>IF(stdProdLT(Main[[#This Row],[Comments]])=0.1,"N/A",IF(stdProdLT(Main[[#This Row],[Comments]])=0,"",stdProdLT(Main[[#This Row],[Comments]])))</f>
        <v/>
      </c>
      <c r="H588" s="68" t="str">
        <f>IF(AND(Main[[#This Row],[In Stock Date]]&lt;&gt;"",Main[[#This Row],[Revised Due Date]]&lt;&gt;""),Main[[#This Row],[In Stock Date]]-Main[[#This Row],[Revised Due Date]],"")</f>
        <v/>
      </c>
      <c r="I588" s="65" t="s">
        <v>4</v>
      </c>
      <c r="J588" s="65" t="s">
        <v>28</v>
      </c>
      <c r="K588" s="65" t="s">
        <v>1927</v>
      </c>
      <c r="L588" s="67"/>
      <c r="M588" s="69" t="str">
        <f>IF(Main[[#This Row],[Tech Start Date]]&lt;1/1/1990,"",IF(Main[[#This Row],[Class]]="C",WORKDAY(Main[[#This Row],[Tech Start Date]],9),IF(Main[[#This Row],[Class]]="B", WORKDAY(Main[[#This Row],[Tech Start Date]],6),IF(Main[[#This Row],[Class]]="A",WORKDAY(Main[[#This Row],[Tech Start Date]],2),""))))</f>
        <v/>
      </c>
      <c r="N588" s="69" t="str">
        <f>IF(Main[[#This Row],[Tech Start Date]]&lt;1/1/1990,"",IF(Main[[#This Row],[Class]]="C",WORKDAY(Main[[#This Row],[Tech Start Date]],19),IF(Main[[#This Row],[Class]]="B", WORKDAY(Main[[#This Row],[Tech Start Date]],12),IF(Main[[#This Row],[Class]]="A",WORKDAY(Main[[#This Row],[Tech Start Date]],4),""))))</f>
        <v/>
      </c>
      <c r="O588" s="69" t="str">
        <f>IF(Main[[#This Row],[Tech Start Date]]&lt;1/1/1990,"",IF(Main[[#This Row],[Class]]="C",WORKDAY(Main[[#This Row],[Tech Start Date]],23),IF(Main[[#This Row],[Class]]="B", WORKDAY(Main[[#This Row],[Tech Start Date]],15),IF(Main[[#This Row],[Class]]="A",WORKDAY(Main[[#This Row],[Tech Start Date]],5),""))))</f>
        <v/>
      </c>
      <c r="P588" s="69" t="str">
        <f>IF(Main[[#This Row],[Tech Start Date]]&lt;1/1/1990,"",IF(Main[[#This Row],[Class]]="C",WORKDAY(Main[[#This Row],[Tech Start Date]],28),IF(Main[[#This Row],[Class]]="B", WORKDAY(Main[[#This Row],[Tech Start Date]],19),IF(Main[[#This Row],[Class]]="A",WORKDAY(Main[[#This Row],[Tech Start Date]],9),""))))</f>
        <v/>
      </c>
      <c r="Q588" s="67"/>
      <c r="R588" s="67"/>
      <c r="S588" s="65" t="s">
        <v>11</v>
      </c>
      <c r="T588" s="70" t="s">
        <v>4</v>
      </c>
      <c r="U588" s="65" t="s">
        <v>14</v>
      </c>
      <c r="V588" s="65" t="s">
        <v>1914</v>
      </c>
      <c r="W588" s="65" t="s">
        <v>1918</v>
      </c>
      <c r="X588" s="65" t="s">
        <v>2052</v>
      </c>
      <c r="Y588" s="65" t="s">
        <v>3002</v>
      </c>
      <c r="Z588" s="65" t="s">
        <v>129</v>
      </c>
      <c r="AA588" s="65" t="s">
        <v>2052</v>
      </c>
    </row>
    <row r="589" spans="1:27" ht="17.45" hidden="1" customHeight="1">
      <c r="A589" s="12" t="str">
        <f>IF(priority(Main[[#This Row],[Comments]])&lt;&gt;0, priority(Main[[#This Row],[Comments]]),"")</f>
        <v/>
      </c>
      <c r="B589" s="77" t="s">
        <v>1119</v>
      </c>
      <c r="C589" s="63" t="s">
        <v>4</v>
      </c>
      <c r="D589" s="72" t="s">
        <v>168</v>
      </c>
      <c r="E589" s="73"/>
      <c r="F589" s="73"/>
      <c r="G589" s="63" t="str">
        <f>IF(stdProdLT(Main[[#This Row],[Comments]])=0.1,"N/A",IF(stdProdLT(Main[[#This Row],[Comments]])=0,"",stdProdLT(Main[[#This Row],[Comments]])))</f>
        <v/>
      </c>
      <c r="H589" s="74" t="str">
        <f>IF(AND(Main[[#This Row],[In Stock Date]]&lt;&gt;"",Main[[#This Row],[Revised Due Date]]&lt;&gt;""),Main[[#This Row],[In Stock Date]]-Main[[#This Row],[Revised Due Date]],"")</f>
        <v/>
      </c>
      <c r="I589" s="63" t="s">
        <v>4</v>
      </c>
      <c r="J589" s="63" t="s">
        <v>4</v>
      </c>
      <c r="K589" s="63" t="s">
        <v>4</v>
      </c>
      <c r="L589" s="73"/>
      <c r="M589" s="69" t="str">
        <f>IF(Main[[#This Row],[Tech Start Date]]&lt;1/1/1990,"",IF(Main[[#This Row],[Class]]="C",WORKDAY(Main[[#This Row],[Tech Start Date]],9),IF(Main[[#This Row],[Class]]="B", WORKDAY(Main[[#This Row],[Tech Start Date]],6),IF(Main[[#This Row],[Class]]="A",WORKDAY(Main[[#This Row],[Tech Start Date]],2),""))))</f>
        <v/>
      </c>
      <c r="N589" s="69" t="str">
        <f>IF(Main[[#This Row],[Tech Start Date]]&lt;1/1/1990,"",IF(Main[[#This Row],[Class]]="C",WORKDAY(Main[[#This Row],[Tech Start Date]],19),IF(Main[[#This Row],[Class]]="B", WORKDAY(Main[[#This Row],[Tech Start Date]],12),IF(Main[[#This Row],[Class]]="A",WORKDAY(Main[[#This Row],[Tech Start Date]],4),""))))</f>
        <v/>
      </c>
      <c r="O589" s="69" t="str">
        <f>IF(Main[[#This Row],[Tech Start Date]]&lt;1/1/1990,"",IF(Main[[#This Row],[Class]]="C",WORKDAY(Main[[#This Row],[Tech Start Date]],23),IF(Main[[#This Row],[Class]]="B", WORKDAY(Main[[#This Row],[Tech Start Date]],15),IF(Main[[#This Row],[Class]]="A",WORKDAY(Main[[#This Row],[Tech Start Date]],5),""))))</f>
        <v/>
      </c>
      <c r="P589" s="69" t="str">
        <f>IF(Main[[#This Row],[Tech Start Date]]&lt;1/1/1990,"",IF(Main[[#This Row],[Class]]="C",WORKDAY(Main[[#This Row],[Tech Start Date]],28),IF(Main[[#This Row],[Class]]="B", WORKDAY(Main[[#This Row],[Tech Start Date]],19),IF(Main[[#This Row],[Class]]="A",WORKDAY(Main[[#This Row],[Tech Start Date]],9),""))))</f>
        <v/>
      </c>
      <c r="Q589" s="73">
        <v>40737</v>
      </c>
      <c r="R589" s="73"/>
      <c r="S589" s="63" t="s">
        <v>6</v>
      </c>
      <c r="T589" s="75" t="s">
        <v>4</v>
      </c>
      <c r="U589" s="63" t="s">
        <v>14</v>
      </c>
      <c r="V589" s="63" t="s">
        <v>1917</v>
      </c>
      <c r="W589" s="63" t="s">
        <v>1918</v>
      </c>
      <c r="X589" s="63" t="s">
        <v>2836</v>
      </c>
      <c r="Y589" s="63" t="s">
        <v>2965</v>
      </c>
      <c r="Z589" s="63" t="s">
        <v>4</v>
      </c>
      <c r="AA589" s="65" t="s">
        <v>2836</v>
      </c>
    </row>
    <row r="590" spans="1:27" ht="17.45" hidden="1" customHeight="1">
      <c r="A590" s="100" t="str">
        <f>IF(priority(Main[[#This Row],[Comments]])&lt;&gt;0, priority(Main[[#This Row],[Comments]]),"")</f>
        <v/>
      </c>
      <c r="B590" s="77" t="s">
        <v>1899</v>
      </c>
      <c r="C590" s="65" t="s">
        <v>72</v>
      </c>
      <c r="D590" s="66" t="s">
        <v>2094</v>
      </c>
      <c r="E590" s="67">
        <v>40469.931226851855</v>
      </c>
      <c r="F590" s="67">
        <v>40487</v>
      </c>
      <c r="G590" s="64" t="str">
        <f>IF(stdProdLT(Main[[#This Row],[Comments]])=0.1,"N/A",IF(stdProdLT(Main[[#This Row],[Comments]])=0,"",stdProdLT(Main[[#This Row],[Comments]])))</f>
        <v/>
      </c>
      <c r="H590" s="68">
        <f>IF(AND(Main[[#This Row],[In Stock Date]]&lt;&gt;"",Main[[#This Row],[Revised Due Date]]&lt;&gt;""),Main[[#This Row],[In Stock Date]]-Main[[#This Row],[Revised Due Date]],"")</f>
        <v>-294</v>
      </c>
      <c r="I590" s="65" t="s">
        <v>2053</v>
      </c>
      <c r="J590" s="65" t="s">
        <v>52</v>
      </c>
      <c r="K590" s="65" t="s">
        <v>1921</v>
      </c>
      <c r="L590" s="67"/>
      <c r="M590" s="69" t="str">
        <f>IF(Main[[#This Row],[Tech Start Date]]&lt;1/1/1990,"",IF(Main[[#This Row],[Class]]="C",WORKDAY(Main[[#This Row],[Tech Start Date]],9),IF(Main[[#This Row],[Class]]="B", WORKDAY(Main[[#This Row],[Tech Start Date]],6),IF(Main[[#This Row],[Class]]="A",WORKDAY(Main[[#This Row],[Tech Start Date]],2),""))))</f>
        <v/>
      </c>
      <c r="N590" s="69" t="str">
        <f>IF(Main[[#This Row],[Tech Start Date]]&lt;1/1/1990,"",IF(Main[[#This Row],[Class]]="C",WORKDAY(Main[[#This Row],[Tech Start Date]],19),IF(Main[[#This Row],[Class]]="B", WORKDAY(Main[[#This Row],[Tech Start Date]],12),IF(Main[[#This Row],[Class]]="A",WORKDAY(Main[[#This Row],[Tech Start Date]],4),""))))</f>
        <v/>
      </c>
      <c r="O590" s="69" t="str">
        <f>IF(Main[[#This Row],[Tech Start Date]]&lt;1/1/1990,"",IF(Main[[#This Row],[Class]]="C",WORKDAY(Main[[#This Row],[Tech Start Date]],23),IF(Main[[#This Row],[Class]]="B", WORKDAY(Main[[#This Row],[Tech Start Date]],15),IF(Main[[#This Row],[Class]]="A",WORKDAY(Main[[#This Row],[Tech Start Date]],5),""))))</f>
        <v/>
      </c>
      <c r="P590" s="69" t="str">
        <f>IF(Main[[#This Row],[Tech Start Date]]&lt;1/1/1990,"",IF(Main[[#This Row],[Class]]="C",WORKDAY(Main[[#This Row],[Tech Start Date]],28),IF(Main[[#This Row],[Class]]="B", WORKDAY(Main[[#This Row],[Tech Start Date]],19),IF(Main[[#This Row],[Class]]="A",WORKDAY(Main[[#This Row],[Tech Start Date]],9),""))))</f>
        <v/>
      </c>
      <c r="Q590" s="67"/>
      <c r="R590" s="67">
        <v>40781</v>
      </c>
      <c r="S590" s="65" t="s">
        <v>6</v>
      </c>
      <c r="T590" s="70" t="s">
        <v>2095</v>
      </c>
      <c r="U590" s="65" t="s">
        <v>29</v>
      </c>
      <c r="V590" s="65" t="s">
        <v>1915</v>
      </c>
      <c r="W590" s="65" t="s">
        <v>1916</v>
      </c>
      <c r="X590" s="65" t="s">
        <v>2901</v>
      </c>
      <c r="Y590" s="65" t="s">
        <v>3079</v>
      </c>
      <c r="Z590" s="65" t="s">
        <v>108</v>
      </c>
      <c r="AA590" s="65" t="s">
        <v>2901</v>
      </c>
    </row>
    <row r="591" spans="1:27" ht="17.45" hidden="1" customHeight="1">
      <c r="A591" s="100" t="str">
        <f>IF(priority(Main[[#This Row],[Comments]])&lt;&gt;0, priority(Main[[#This Row],[Comments]]),"")</f>
        <v/>
      </c>
      <c r="B591" s="77" t="s">
        <v>1547</v>
      </c>
      <c r="C591" s="65" t="s">
        <v>4</v>
      </c>
      <c r="D591" s="66" t="s">
        <v>39</v>
      </c>
      <c r="E591" s="67"/>
      <c r="F591" s="67"/>
      <c r="G591" s="64" t="str">
        <f>IF(stdProdLT(Main[[#This Row],[Comments]])=0.1,"N/A",IF(stdProdLT(Main[[#This Row],[Comments]])=0,"",stdProdLT(Main[[#This Row],[Comments]])))</f>
        <v/>
      </c>
      <c r="H591" s="68" t="str">
        <f>IF(AND(Main[[#This Row],[In Stock Date]]&lt;&gt;"",Main[[#This Row],[Revised Due Date]]&lt;&gt;""),Main[[#This Row],[In Stock Date]]-Main[[#This Row],[Revised Due Date]],"")</f>
        <v/>
      </c>
      <c r="I591" s="65" t="s">
        <v>4</v>
      </c>
      <c r="J591" s="65" t="s">
        <v>4</v>
      </c>
      <c r="K591" s="65" t="s">
        <v>4</v>
      </c>
      <c r="L591" s="67"/>
      <c r="M591" s="69" t="str">
        <f>IF(Main[[#This Row],[Tech Start Date]]&lt;1/1/1990,"",IF(Main[[#This Row],[Class]]="C",WORKDAY(Main[[#This Row],[Tech Start Date]],9),IF(Main[[#This Row],[Class]]="B", WORKDAY(Main[[#This Row],[Tech Start Date]],6),IF(Main[[#This Row],[Class]]="A",WORKDAY(Main[[#This Row],[Tech Start Date]],2),""))))</f>
        <v/>
      </c>
      <c r="N591" s="69" t="str">
        <f>IF(Main[[#This Row],[Tech Start Date]]&lt;1/1/1990,"",IF(Main[[#This Row],[Class]]="C",WORKDAY(Main[[#This Row],[Tech Start Date]],19),IF(Main[[#This Row],[Class]]="B", WORKDAY(Main[[#This Row],[Tech Start Date]],12),IF(Main[[#This Row],[Class]]="A",WORKDAY(Main[[#This Row],[Tech Start Date]],4),""))))</f>
        <v/>
      </c>
      <c r="O591" s="69" t="str">
        <f>IF(Main[[#This Row],[Tech Start Date]]&lt;1/1/1990,"",IF(Main[[#This Row],[Class]]="C",WORKDAY(Main[[#This Row],[Tech Start Date]],23),IF(Main[[#This Row],[Class]]="B", WORKDAY(Main[[#This Row],[Tech Start Date]],15),IF(Main[[#This Row],[Class]]="A",WORKDAY(Main[[#This Row],[Tech Start Date]],5),""))))</f>
        <v/>
      </c>
      <c r="P591" s="69" t="str">
        <f>IF(Main[[#This Row],[Tech Start Date]]&lt;1/1/1990,"",IF(Main[[#This Row],[Class]]="C",WORKDAY(Main[[#This Row],[Tech Start Date]],28),IF(Main[[#This Row],[Class]]="B", WORKDAY(Main[[#This Row],[Tech Start Date]],19),IF(Main[[#This Row],[Class]]="A",WORKDAY(Main[[#This Row],[Tech Start Date]],9),""))))</f>
        <v/>
      </c>
      <c r="Q591" s="67">
        <v>40669</v>
      </c>
      <c r="R591" s="67"/>
      <c r="S591" s="65" t="s">
        <v>6</v>
      </c>
      <c r="T591" s="70" t="s">
        <v>4</v>
      </c>
      <c r="U591" s="65" t="s">
        <v>14</v>
      </c>
      <c r="V591" s="65" t="s">
        <v>1917</v>
      </c>
      <c r="W591" s="65" t="s">
        <v>4</v>
      </c>
      <c r="X591" s="65" t="s">
        <v>2818</v>
      </c>
      <c r="Y591" s="65" t="s">
        <v>2929</v>
      </c>
      <c r="Z591" s="65" t="s">
        <v>4</v>
      </c>
      <c r="AA591" s="65" t="s">
        <v>2818</v>
      </c>
    </row>
    <row r="592" spans="1:27" ht="17.45" hidden="1" customHeight="1">
      <c r="A592" s="100" t="str">
        <f>IF(priority(Main[[#This Row],[Comments]])&lt;&gt;0, priority(Main[[#This Row],[Comments]]),"")</f>
        <v/>
      </c>
      <c r="B592" s="77" t="s">
        <v>2727</v>
      </c>
      <c r="C592" s="65" t="s">
        <v>4</v>
      </c>
      <c r="D592" s="66" t="s">
        <v>3228</v>
      </c>
      <c r="E592" s="67">
        <v>40917.478506944448</v>
      </c>
      <c r="F592" s="67"/>
      <c r="G592" s="64" t="str">
        <f>IF(stdProdLT(Main[[#This Row],[Comments]])=0.1,"N/A",IF(stdProdLT(Main[[#This Row],[Comments]])=0,"",stdProdLT(Main[[#This Row],[Comments]])))</f>
        <v/>
      </c>
      <c r="H592" s="68" t="str">
        <f>IF(AND(Main[[#This Row],[In Stock Date]]&lt;&gt;"",Main[[#This Row],[Revised Due Date]]&lt;&gt;""),Main[[#This Row],[In Stock Date]]-Main[[#This Row],[Revised Due Date]],"")</f>
        <v/>
      </c>
      <c r="I592" s="65" t="s">
        <v>4</v>
      </c>
      <c r="J592" s="65" t="s">
        <v>4</v>
      </c>
      <c r="K592" s="65" t="s">
        <v>4</v>
      </c>
      <c r="L592" s="67"/>
      <c r="M592" s="69" t="str">
        <f>IF(Main[[#This Row],[Tech Start Date]]&lt;1/1/1990,"",IF(Main[[#This Row],[Class]]="C",WORKDAY(Main[[#This Row],[Tech Start Date]],9),IF(Main[[#This Row],[Class]]="B", WORKDAY(Main[[#This Row],[Tech Start Date]],6),IF(Main[[#This Row],[Class]]="A",WORKDAY(Main[[#This Row],[Tech Start Date]],2),""))))</f>
        <v/>
      </c>
      <c r="N592" s="69" t="str">
        <f>IF(Main[[#This Row],[Tech Start Date]]&lt;1/1/1990,"",IF(Main[[#This Row],[Class]]="C",WORKDAY(Main[[#This Row],[Tech Start Date]],19),IF(Main[[#This Row],[Class]]="B", WORKDAY(Main[[#This Row],[Tech Start Date]],12),IF(Main[[#This Row],[Class]]="A",WORKDAY(Main[[#This Row],[Tech Start Date]],4),""))))</f>
        <v/>
      </c>
      <c r="O592" s="69" t="str">
        <f>IF(Main[[#This Row],[Tech Start Date]]&lt;1/1/1990,"",IF(Main[[#This Row],[Class]]="C",WORKDAY(Main[[#This Row],[Tech Start Date]],23),IF(Main[[#This Row],[Class]]="B", WORKDAY(Main[[#This Row],[Tech Start Date]],15),IF(Main[[#This Row],[Class]]="A",WORKDAY(Main[[#This Row],[Tech Start Date]],5),""))))</f>
        <v/>
      </c>
      <c r="P592" s="69" t="str">
        <f>IF(Main[[#This Row],[Tech Start Date]]&lt;1/1/1990,"",IF(Main[[#This Row],[Class]]="C",WORKDAY(Main[[#This Row],[Tech Start Date]],28),IF(Main[[#This Row],[Class]]="B", WORKDAY(Main[[#This Row],[Tech Start Date]],19),IF(Main[[#This Row],[Class]]="A",WORKDAY(Main[[#This Row],[Tech Start Date]],9),""))))</f>
        <v/>
      </c>
      <c r="Q592" s="67"/>
      <c r="R592" s="67"/>
      <c r="S592" s="65" t="s">
        <v>6</v>
      </c>
      <c r="T592" s="70" t="s">
        <v>4</v>
      </c>
      <c r="U592" s="65" t="s">
        <v>7</v>
      </c>
      <c r="V592" s="65" t="s">
        <v>1914</v>
      </c>
      <c r="W592" s="65" t="s">
        <v>1918</v>
      </c>
      <c r="X592" s="65" t="s">
        <v>102</v>
      </c>
      <c r="Y592" s="65" t="s">
        <v>3080</v>
      </c>
      <c r="Z592" s="65" t="s">
        <v>4</v>
      </c>
      <c r="AA592" s="65" t="s">
        <v>3386</v>
      </c>
    </row>
    <row r="593" spans="1:27" ht="17.45" hidden="1" customHeight="1">
      <c r="A593" s="100" t="str">
        <f>IF(priority(Main[[#This Row],[Comments]])&lt;&gt;0, priority(Main[[#This Row],[Comments]]),"")</f>
        <v/>
      </c>
      <c r="B593" s="77" t="s">
        <v>1549</v>
      </c>
      <c r="C593" s="65" t="s">
        <v>4</v>
      </c>
      <c r="D593" s="66" t="s">
        <v>630</v>
      </c>
      <c r="E593" s="67">
        <v>40371.35765046296</v>
      </c>
      <c r="F593" s="67"/>
      <c r="G593" s="64" t="str">
        <f>IF(stdProdLT(Main[[#This Row],[Comments]])=0.1,"N/A",IF(stdProdLT(Main[[#This Row],[Comments]])=0,"",stdProdLT(Main[[#This Row],[Comments]])))</f>
        <v/>
      </c>
      <c r="H593" s="68" t="str">
        <f>IF(AND(Main[[#This Row],[In Stock Date]]&lt;&gt;"",Main[[#This Row],[Revised Due Date]]&lt;&gt;""),Main[[#This Row],[In Stock Date]]-Main[[#This Row],[Revised Due Date]],"")</f>
        <v/>
      </c>
      <c r="I593" s="65" t="s">
        <v>4</v>
      </c>
      <c r="J593" s="65" t="s">
        <v>4</v>
      </c>
      <c r="K593" s="65" t="s">
        <v>4</v>
      </c>
      <c r="L593" s="67"/>
      <c r="M593" s="69" t="str">
        <f>IF(Main[[#This Row],[Tech Start Date]]&lt;1/1/1990,"",IF(Main[[#This Row],[Class]]="C",WORKDAY(Main[[#This Row],[Tech Start Date]],9),IF(Main[[#This Row],[Class]]="B", WORKDAY(Main[[#This Row],[Tech Start Date]],6),IF(Main[[#This Row],[Class]]="A",WORKDAY(Main[[#This Row],[Tech Start Date]],2),""))))</f>
        <v/>
      </c>
      <c r="N593" s="69" t="str">
        <f>IF(Main[[#This Row],[Tech Start Date]]&lt;1/1/1990,"",IF(Main[[#This Row],[Class]]="C",WORKDAY(Main[[#This Row],[Tech Start Date]],19),IF(Main[[#This Row],[Class]]="B", WORKDAY(Main[[#This Row],[Tech Start Date]],12),IF(Main[[#This Row],[Class]]="A",WORKDAY(Main[[#This Row],[Tech Start Date]],4),""))))</f>
        <v/>
      </c>
      <c r="O593" s="69" t="str">
        <f>IF(Main[[#This Row],[Tech Start Date]]&lt;1/1/1990,"",IF(Main[[#This Row],[Class]]="C",WORKDAY(Main[[#This Row],[Tech Start Date]],23),IF(Main[[#This Row],[Class]]="B", WORKDAY(Main[[#This Row],[Tech Start Date]],15),IF(Main[[#This Row],[Class]]="A",WORKDAY(Main[[#This Row],[Tech Start Date]],5),""))))</f>
        <v/>
      </c>
      <c r="P593" s="69" t="str">
        <f>IF(Main[[#This Row],[Tech Start Date]]&lt;1/1/1990,"",IF(Main[[#This Row],[Class]]="C",WORKDAY(Main[[#This Row],[Tech Start Date]],28),IF(Main[[#This Row],[Class]]="B", WORKDAY(Main[[#This Row],[Tech Start Date]],19),IF(Main[[#This Row],[Class]]="A",WORKDAY(Main[[#This Row],[Tech Start Date]],9),""))))</f>
        <v/>
      </c>
      <c r="Q593" s="67">
        <v>40385</v>
      </c>
      <c r="R593" s="67"/>
      <c r="S593" s="65" t="s">
        <v>6</v>
      </c>
      <c r="T593" s="70" t="s">
        <v>4</v>
      </c>
      <c r="U593" s="65" t="s">
        <v>7</v>
      </c>
      <c r="V593" s="65" t="s">
        <v>1914</v>
      </c>
      <c r="W593" s="65" t="s">
        <v>1916</v>
      </c>
      <c r="X593" s="65" t="s">
        <v>102</v>
      </c>
      <c r="Y593" s="65" t="s">
        <v>3032</v>
      </c>
      <c r="Z593" s="65" t="s">
        <v>4</v>
      </c>
      <c r="AA593" s="65" t="s">
        <v>3397</v>
      </c>
    </row>
    <row r="594" spans="1:27" ht="17.45" hidden="1" customHeight="1">
      <c r="A594" s="100" t="str">
        <f>IF(priority(Main[[#This Row],[Comments]])&lt;&gt;0, priority(Main[[#This Row],[Comments]]),"")</f>
        <v/>
      </c>
      <c r="B594" s="77" t="s">
        <v>1550</v>
      </c>
      <c r="C594" s="65" t="s">
        <v>4</v>
      </c>
      <c r="D594" s="66" t="s">
        <v>631</v>
      </c>
      <c r="E594" s="67">
        <v>40371.37263888889</v>
      </c>
      <c r="F594" s="67"/>
      <c r="G594" s="64" t="str">
        <f>IF(stdProdLT(Main[[#This Row],[Comments]])=0.1,"N/A",IF(stdProdLT(Main[[#This Row],[Comments]])=0,"",stdProdLT(Main[[#This Row],[Comments]])))</f>
        <v/>
      </c>
      <c r="H594" s="68" t="str">
        <f>IF(AND(Main[[#This Row],[In Stock Date]]&lt;&gt;"",Main[[#This Row],[Revised Due Date]]&lt;&gt;""),Main[[#This Row],[In Stock Date]]-Main[[#This Row],[Revised Due Date]],"")</f>
        <v/>
      </c>
      <c r="I594" s="65" t="s">
        <v>4</v>
      </c>
      <c r="J594" s="65" t="s">
        <v>4</v>
      </c>
      <c r="K594" s="65" t="s">
        <v>4</v>
      </c>
      <c r="L594" s="67"/>
      <c r="M594" s="69" t="str">
        <f>IF(Main[[#This Row],[Tech Start Date]]&lt;1/1/1990,"",IF(Main[[#This Row],[Class]]="C",WORKDAY(Main[[#This Row],[Tech Start Date]],9),IF(Main[[#This Row],[Class]]="B", WORKDAY(Main[[#This Row],[Tech Start Date]],6),IF(Main[[#This Row],[Class]]="A",WORKDAY(Main[[#This Row],[Tech Start Date]],2),""))))</f>
        <v/>
      </c>
      <c r="N594" s="69" t="str">
        <f>IF(Main[[#This Row],[Tech Start Date]]&lt;1/1/1990,"",IF(Main[[#This Row],[Class]]="C",WORKDAY(Main[[#This Row],[Tech Start Date]],19),IF(Main[[#This Row],[Class]]="B", WORKDAY(Main[[#This Row],[Tech Start Date]],12),IF(Main[[#This Row],[Class]]="A",WORKDAY(Main[[#This Row],[Tech Start Date]],4),""))))</f>
        <v/>
      </c>
      <c r="O594" s="69" t="str">
        <f>IF(Main[[#This Row],[Tech Start Date]]&lt;1/1/1990,"",IF(Main[[#This Row],[Class]]="C",WORKDAY(Main[[#This Row],[Tech Start Date]],23),IF(Main[[#This Row],[Class]]="B", WORKDAY(Main[[#This Row],[Tech Start Date]],15),IF(Main[[#This Row],[Class]]="A",WORKDAY(Main[[#This Row],[Tech Start Date]],5),""))))</f>
        <v/>
      </c>
      <c r="P594" s="69" t="str">
        <f>IF(Main[[#This Row],[Tech Start Date]]&lt;1/1/1990,"",IF(Main[[#This Row],[Class]]="C",WORKDAY(Main[[#This Row],[Tech Start Date]],28),IF(Main[[#This Row],[Class]]="B", WORKDAY(Main[[#This Row],[Tech Start Date]],19),IF(Main[[#This Row],[Class]]="A",WORKDAY(Main[[#This Row],[Tech Start Date]],9),""))))</f>
        <v/>
      </c>
      <c r="Q594" s="67">
        <v>40385</v>
      </c>
      <c r="R594" s="67"/>
      <c r="S594" s="65" t="s">
        <v>6</v>
      </c>
      <c r="T594" s="70" t="s">
        <v>4</v>
      </c>
      <c r="U594" s="65" t="s">
        <v>7</v>
      </c>
      <c r="V594" s="65" t="s">
        <v>1914</v>
      </c>
      <c r="W594" s="65" t="s">
        <v>1916</v>
      </c>
      <c r="X594" s="65" t="s">
        <v>102</v>
      </c>
      <c r="Y594" s="65" t="s">
        <v>3032</v>
      </c>
      <c r="Z594" s="65" t="s">
        <v>4</v>
      </c>
      <c r="AA594" s="65" t="s">
        <v>3397</v>
      </c>
    </row>
    <row r="595" spans="1:27" ht="17.45" hidden="1" customHeight="1">
      <c r="A595" s="100" t="str">
        <f>IF(priority(Main[[#This Row],[Comments]])&lt;&gt;0, priority(Main[[#This Row],[Comments]]),"")</f>
        <v/>
      </c>
      <c r="B595" s="77" t="s">
        <v>1396</v>
      </c>
      <c r="C595" s="65" t="s">
        <v>4</v>
      </c>
      <c r="D595" s="66" t="s">
        <v>480</v>
      </c>
      <c r="E595" s="67"/>
      <c r="F595" s="67"/>
      <c r="G595" s="64" t="str">
        <f>IF(stdProdLT(Main[[#This Row],[Comments]])=0.1,"N/A",IF(stdProdLT(Main[[#This Row],[Comments]])=0,"",stdProdLT(Main[[#This Row],[Comments]])))</f>
        <v/>
      </c>
      <c r="H595" s="68" t="str">
        <f>IF(AND(Main[[#This Row],[In Stock Date]]&lt;&gt;"",Main[[#This Row],[Revised Due Date]]&lt;&gt;""),Main[[#This Row],[In Stock Date]]-Main[[#This Row],[Revised Due Date]],"")</f>
        <v/>
      </c>
      <c r="I595" s="65" t="s">
        <v>4</v>
      </c>
      <c r="J595" s="65" t="s">
        <v>4</v>
      </c>
      <c r="K595" s="71" t="s">
        <v>4</v>
      </c>
      <c r="L595" s="67"/>
      <c r="M595" s="69" t="str">
        <f>IF(Main[[#This Row],[Tech Start Date]]&lt;1/1/1990,"",IF(Main[[#This Row],[Class]]="C",WORKDAY(Main[[#This Row],[Tech Start Date]],9),IF(Main[[#This Row],[Class]]="B", WORKDAY(Main[[#This Row],[Tech Start Date]],6),IF(Main[[#This Row],[Class]]="A",WORKDAY(Main[[#This Row],[Tech Start Date]],2),""))))</f>
        <v/>
      </c>
      <c r="N595" s="69" t="str">
        <f>IF(Main[[#This Row],[Tech Start Date]]&lt;1/1/1990,"",IF(Main[[#This Row],[Class]]="C",WORKDAY(Main[[#This Row],[Tech Start Date]],19),IF(Main[[#This Row],[Class]]="B", WORKDAY(Main[[#This Row],[Tech Start Date]],12),IF(Main[[#This Row],[Class]]="A",WORKDAY(Main[[#This Row],[Tech Start Date]],4),""))))</f>
        <v/>
      </c>
      <c r="O595" s="69" t="str">
        <f>IF(Main[[#This Row],[Tech Start Date]]&lt;1/1/1990,"",IF(Main[[#This Row],[Class]]="C",WORKDAY(Main[[#This Row],[Tech Start Date]],23),IF(Main[[#This Row],[Class]]="B", WORKDAY(Main[[#This Row],[Tech Start Date]],15),IF(Main[[#This Row],[Class]]="A",WORKDAY(Main[[#This Row],[Tech Start Date]],5),""))))</f>
        <v/>
      </c>
      <c r="P595" s="69" t="str">
        <f>IF(Main[[#This Row],[Tech Start Date]]&lt;1/1/1990,"",IF(Main[[#This Row],[Class]]="C",WORKDAY(Main[[#This Row],[Tech Start Date]],28),IF(Main[[#This Row],[Class]]="B", WORKDAY(Main[[#This Row],[Tech Start Date]],19),IF(Main[[#This Row],[Class]]="A",WORKDAY(Main[[#This Row],[Tech Start Date]],9),""))))</f>
        <v/>
      </c>
      <c r="Q595" s="67"/>
      <c r="R595" s="67"/>
      <c r="S595" s="65" t="s">
        <v>4</v>
      </c>
      <c r="T595" s="70" t="s">
        <v>4</v>
      </c>
      <c r="U595" s="65" t="s">
        <v>14</v>
      </c>
      <c r="V595" s="65" t="s">
        <v>1917</v>
      </c>
      <c r="W595" s="65" t="s">
        <v>4</v>
      </c>
      <c r="X595" s="65" t="s">
        <v>2819</v>
      </c>
      <c r="Y595" s="65" t="s">
        <v>2932</v>
      </c>
      <c r="Z595" s="65" t="s">
        <v>4</v>
      </c>
      <c r="AA595" s="65" t="s">
        <v>2819</v>
      </c>
    </row>
    <row r="596" spans="1:27" ht="17.45" hidden="1" customHeight="1">
      <c r="A596" s="100" t="str">
        <f>IF(priority(Main[[#This Row],[Comments]])&lt;&gt;0, priority(Main[[#This Row],[Comments]]),"")</f>
        <v/>
      </c>
      <c r="B596" s="77" t="s">
        <v>1151</v>
      </c>
      <c r="C596" s="65" t="s">
        <v>4</v>
      </c>
      <c r="D596" s="66" t="s">
        <v>208</v>
      </c>
      <c r="E596" s="67"/>
      <c r="F596" s="67"/>
      <c r="G596" s="64" t="str">
        <f>IF(stdProdLT(Main[[#This Row],[Comments]])=0.1,"N/A",IF(stdProdLT(Main[[#This Row],[Comments]])=0,"",stdProdLT(Main[[#This Row],[Comments]])))</f>
        <v/>
      </c>
      <c r="H596" s="68" t="str">
        <f>IF(AND(Main[[#This Row],[In Stock Date]]&lt;&gt;"",Main[[#This Row],[Revised Due Date]]&lt;&gt;""),Main[[#This Row],[In Stock Date]]-Main[[#This Row],[Revised Due Date]],"")</f>
        <v/>
      </c>
      <c r="I596" s="65" t="s">
        <v>4</v>
      </c>
      <c r="J596" s="65" t="s">
        <v>28</v>
      </c>
      <c r="K596" s="65" t="s">
        <v>4</v>
      </c>
      <c r="L596" s="67"/>
      <c r="M596" s="69" t="str">
        <f>IF(Main[[#This Row],[Tech Start Date]]&lt;1/1/1990,"",IF(Main[[#This Row],[Class]]="C",WORKDAY(Main[[#This Row],[Tech Start Date]],9),IF(Main[[#This Row],[Class]]="B", WORKDAY(Main[[#This Row],[Tech Start Date]],6),IF(Main[[#This Row],[Class]]="A",WORKDAY(Main[[#This Row],[Tech Start Date]],2),""))))</f>
        <v/>
      </c>
      <c r="N596" s="69" t="str">
        <f>IF(Main[[#This Row],[Tech Start Date]]&lt;1/1/1990,"",IF(Main[[#This Row],[Class]]="C",WORKDAY(Main[[#This Row],[Tech Start Date]],19),IF(Main[[#This Row],[Class]]="B", WORKDAY(Main[[#This Row],[Tech Start Date]],12),IF(Main[[#This Row],[Class]]="A",WORKDAY(Main[[#This Row],[Tech Start Date]],4),""))))</f>
        <v/>
      </c>
      <c r="O596" s="69" t="str">
        <f>IF(Main[[#This Row],[Tech Start Date]]&lt;1/1/1990,"",IF(Main[[#This Row],[Class]]="C",WORKDAY(Main[[#This Row],[Tech Start Date]],23),IF(Main[[#This Row],[Class]]="B", WORKDAY(Main[[#This Row],[Tech Start Date]],15),IF(Main[[#This Row],[Class]]="A",WORKDAY(Main[[#This Row],[Tech Start Date]],5),""))))</f>
        <v/>
      </c>
      <c r="P596" s="69" t="str">
        <f>IF(Main[[#This Row],[Tech Start Date]]&lt;1/1/1990,"",IF(Main[[#This Row],[Class]]="C",WORKDAY(Main[[#This Row],[Tech Start Date]],28),IF(Main[[#This Row],[Class]]="B", WORKDAY(Main[[#This Row],[Tech Start Date]],19),IF(Main[[#This Row],[Class]]="A",WORKDAY(Main[[#This Row],[Tech Start Date]],9),""))))</f>
        <v/>
      </c>
      <c r="Q596" s="67"/>
      <c r="R596" s="67"/>
      <c r="S596" s="65" t="s">
        <v>6</v>
      </c>
      <c r="T596" s="70" t="s">
        <v>4</v>
      </c>
      <c r="U596" s="65" t="s">
        <v>14</v>
      </c>
      <c r="V596" s="65" t="s">
        <v>1924</v>
      </c>
      <c r="W596" s="65" t="s">
        <v>1920</v>
      </c>
      <c r="X596" s="65" t="s">
        <v>50</v>
      </c>
      <c r="Y596" s="65" t="s">
        <v>2963</v>
      </c>
      <c r="Z596" s="65" t="s">
        <v>30</v>
      </c>
      <c r="AA596" s="65" t="s">
        <v>883</v>
      </c>
    </row>
    <row r="597" spans="1:27" ht="17.45" hidden="1" customHeight="1">
      <c r="A597" s="100" t="str">
        <f>IF(priority(Main[[#This Row],[Comments]])&lt;&gt;0, priority(Main[[#This Row],[Comments]]),"")</f>
        <v/>
      </c>
      <c r="B597" s="77" t="s">
        <v>1398</v>
      </c>
      <c r="C597" s="65" t="s">
        <v>47</v>
      </c>
      <c r="D597" s="66" t="s">
        <v>482</v>
      </c>
      <c r="E597" s="67">
        <v>39937.619513888887</v>
      </c>
      <c r="F597" s="67"/>
      <c r="G597" s="64" t="str">
        <f>IF(stdProdLT(Main[[#This Row],[Comments]])=0.1,"N/A",IF(stdProdLT(Main[[#This Row],[Comments]])=0,"",stdProdLT(Main[[#This Row],[Comments]])))</f>
        <v/>
      </c>
      <c r="H597" s="68" t="str">
        <f>IF(AND(Main[[#This Row],[In Stock Date]]&lt;&gt;"",Main[[#This Row],[Revised Due Date]]&lt;&gt;""),Main[[#This Row],[In Stock Date]]-Main[[#This Row],[Revised Due Date]],"")</f>
        <v/>
      </c>
      <c r="I597" s="65" t="s">
        <v>4</v>
      </c>
      <c r="J597" s="65" t="s">
        <v>4</v>
      </c>
      <c r="K597" s="65" t="s">
        <v>4</v>
      </c>
      <c r="L597" s="67"/>
      <c r="M597" s="69" t="str">
        <f>IF(Main[[#This Row],[Tech Start Date]]&lt;1/1/1990,"",IF(Main[[#This Row],[Class]]="C",WORKDAY(Main[[#This Row],[Tech Start Date]],9),IF(Main[[#This Row],[Class]]="B", WORKDAY(Main[[#This Row],[Tech Start Date]],6),IF(Main[[#This Row],[Class]]="A",WORKDAY(Main[[#This Row],[Tech Start Date]],2),""))))</f>
        <v/>
      </c>
      <c r="N597" s="69" t="str">
        <f>IF(Main[[#This Row],[Tech Start Date]]&lt;1/1/1990,"",IF(Main[[#This Row],[Class]]="C",WORKDAY(Main[[#This Row],[Tech Start Date]],19),IF(Main[[#This Row],[Class]]="B", WORKDAY(Main[[#This Row],[Tech Start Date]],12),IF(Main[[#This Row],[Class]]="A",WORKDAY(Main[[#This Row],[Tech Start Date]],4),""))))</f>
        <v/>
      </c>
      <c r="O597" s="69" t="str">
        <f>IF(Main[[#This Row],[Tech Start Date]]&lt;1/1/1990,"",IF(Main[[#This Row],[Class]]="C",WORKDAY(Main[[#This Row],[Tech Start Date]],23),IF(Main[[#This Row],[Class]]="B", WORKDAY(Main[[#This Row],[Tech Start Date]],15),IF(Main[[#This Row],[Class]]="A",WORKDAY(Main[[#This Row],[Tech Start Date]],5),""))))</f>
        <v/>
      </c>
      <c r="P597" s="69" t="str">
        <f>IF(Main[[#This Row],[Tech Start Date]]&lt;1/1/1990,"",IF(Main[[#This Row],[Class]]="C",WORKDAY(Main[[#This Row],[Tech Start Date]],28),IF(Main[[#This Row],[Class]]="B", WORKDAY(Main[[#This Row],[Tech Start Date]],19),IF(Main[[#This Row],[Class]]="A",WORKDAY(Main[[#This Row],[Tech Start Date]],9),""))))</f>
        <v/>
      </c>
      <c r="Q597" s="67"/>
      <c r="R597" s="67"/>
      <c r="S597" s="65" t="s">
        <v>17</v>
      </c>
      <c r="T597" s="70" t="s">
        <v>4</v>
      </c>
      <c r="U597" s="65" t="s">
        <v>7</v>
      </c>
      <c r="V597" s="65" t="s">
        <v>1917</v>
      </c>
      <c r="W597" s="65" t="s">
        <v>4</v>
      </c>
      <c r="X597" s="65" t="s">
        <v>2827</v>
      </c>
      <c r="Y597" s="65" t="s">
        <v>2948</v>
      </c>
      <c r="Z597" s="65" t="s">
        <v>4</v>
      </c>
      <c r="AA597" s="65" t="s">
        <v>2827</v>
      </c>
    </row>
    <row r="598" spans="1:27" ht="17.45" hidden="1" customHeight="1">
      <c r="A598" s="100" t="str">
        <f>IF(priority(Main[[#This Row],[Comments]])&lt;&gt;0, priority(Main[[#This Row],[Comments]]),"")</f>
        <v/>
      </c>
      <c r="B598" s="77" t="s">
        <v>1399</v>
      </c>
      <c r="C598" s="65" t="s">
        <v>93</v>
      </c>
      <c r="D598" s="66" t="s">
        <v>562</v>
      </c>
      <c r="E598" s="67"/>
      <c r="F598" s="67">
        <v>40210</v>
      </c>
      <c r="G598" s="64" t="str">
        <f>IF(stdProdLT(Main[[#This Row],[Comments]])=0.1,"N/A",IF(stdProdLT(Main[[#This Row],[Comments]])=0,"",stdProdLT(Main[[#This Row],[Comments]])))</f>
        <v/>
      </c>
      <c r="H598" s="68" t="str">
        <f>IF(AND(Main[[#This Row],[In Stock Date]]&lt;&gt;"",Main[[#This Row],[Revised Due Date]]&lt;&gt;""),Main[[#This Row],[In Stock Date]]-Main[[#This Row],[Revised Due Date]],"")</f>
        <v/>
      </c>
      <c r="I598" s="65" t="s">
        <v>4</v>
      </c>
      <c r="J598" s="65" t="s">
        <v>4</v>
      </c>
      <c r="K598" s="65" t="s">
        <v>4</v>
      </c>
      <c r="L598" s="67"/>
      <c r="M598" s="69" t="str">
        <f>IF(Main[[#This Row],[Tech Start Date]]&lt;1/1/1990,"",IF(Main[[#This Row],[Class]]="C",WORKDAY(Main[[#This Row],[Tech Start Date]],9),IF(Main[[#This Row],[Class]]="B", WORKDAY(Main[[#This Row],[Tech Start Date]],6),IF(Main[[#This Row],[Class]]="A",WORKDAY(Main[[#This Row],[Tech Start Date]],2),""))))</f>
        <v/>
      </c>
      <c r="N598" s="69" t="str">
        <f>IF(Main[[#This Row],[Tech Start Date]]&lt;1/1/1990,"",IF(Main[[#This Row],[Class]]="C",WORKDAY(Main[[#This Row],[Tech Start Date]],19),IF(Main[[#This Row],[Class]]="B", WORKDAY(Main[[#This Row],[Tech Start Date]],12),IF(Main[[#This Row],[Class]]="A",WORKDAY(Main[[#This Row],[Tech Start Date]],4),""))))</f>
        <v/>
      </c>
      <c r="O598" s="69" t="str">
        <f>IF(Main[[#This Row],[Tech Start Date]]&lt;1/1/1990,"",IF(Main[[#This Row],[Class]]="C",WORKDAY(Main[[#This Row],[Tech Start Date]],23),IF(Main[[#This Row],[Class]]="B", WORKDAY(Main[[#This Row],[Tech Start Date]],15),IF(Main[[#This Row],[Class]]="A",WORKDAY(Main[[#This Row],[Tech Start Date]],5),""))))</f>
        <v/>
      </c>
      <c r="P598" s="69" t="str">
        <f>IF(Main[[#This Row],[Tech Start Date]]&lt;1/1/1990,"",IF(Main[[#This Row],[Class]]="C",WORKDAY(Main[[#This Row],[Tech Start Date]],28),IF(Main[[#This Row],[Class]]="B", WORKDAY(Main[[#This Row],[Tech Start Date]],19),IF(Main[[#This Row],[Class]]="A",WORKDAY(Main[[#This Row],[Tech Start Date]],9),""))))</f>
        <v/>
      </c>
      <c r="Q598" s="67">
        <v>40195</v>
      </c>
      <c r="R598" s="67"/>
      <c r="S598" s="65" t="s">
        <v>11</v>
      </c>
      <c r="T598" s="70" t="s">
        <v>4</v>
      </c>
      <c r="U598" s="65" t="s">
        <v>12</v>
      </c>
      <c r="V598" s="65" t="s">
        <v>1924</v>
      </c>
      <c r="W598" s="65" t="s">
        <v>1925</v>
      </c>
      <c r="X598" s="65" t="s">
        <v>2845</v>
      </c>
      <c r="Y598" s="65" t="s">
        <v>4</v>
      </c>
      <c r="Z598" s="65" t="s">
        <v>4</v>
      </c>
      <c r="AA598" s="65" t="s">
        <v>2845</v>
      </c>
    </row>
    <row r="599" spans="1:27" ht="17.45" hidden="1" customHeight="1">
      <c r="A599" s="100" t="str">
        <f>IF(priority(Main[[#This Row],[Comments]])&lt;&gt;0, priority(Main[[#This Row],[Comments]]),"")</f>
        <v/>
      </c>
      <c r="B599" s="77" t="s">
        <v>1744</v>
      </c>
      <c r="C599" s="65" t="s">
        <v>4</v>
      </c>
      <c r="D599" s="66" t="s">
        <v>793</v>
      </c>
      <c r="E599" s="67">
        <v>40584.406446759262</v>
      </c>
      <c r="F599" s="67">
        <v>40602</v>
      </c>
      <c r="G599" s="64" t="str">
        <f>IF(stdProdLT(Main[[#This Row],[Comments]])=0.1,"N/A",IF(stdProdLT(Main[[#This Row],[Comments]])=0,"",stdProdLT(Main[[#This Row],[Comments]])))</f>
        <v/>
      </c>
      <c r="H599" s="68" t="str">
        <f>IF(AND(Main[[#This Row],[In Stock Date]]&lt;&gt;"",Main[[#This Row],[Revised Due Date]]&lt;&gt;""),Main[[#This Row],[In Stock Date]]-Main[[#This Row],[Revised Due Date]],"")</f>
        <v/>
      </c>
      <c r="I599" s="65" t="s">
        <v>4</v>
      </c>
      <c r="J599" s="65" t="s">
        <v>28</v>
      </c>
      <c r="K599" s="65" t="s">
        <v>1926</v>
      </c>
      <c r="L599" s="67"/>
      <c r="M599" s="69" t="str">
        <f>IF(Main[[#This Row],[Tech Start Date]]&lt;1/1/1990,"",IF(Main[[#This Row],[Class]]="C",WORKDAY(Main[[#This Row],[Tech Start Date]],9),IF(Main[[#This Row],[Class]]="B", WORKDAY(Main[[#This Row],[Tech Start Date]],6),IF(Main[[#This Row],[Class]]="A",WORKDAY(Main[[#This Row],[Tech Start Date]],2),""))))</f>
        <v/>
      </c>
      <c r="N599" s="69" t="str">
        <f>IF(Main[[#This Row],[Tech Start Date]]&lt;1/1/1990,"",IF(Main[[#This Row],[Class]]="C",WORKDAY(Main[[#This Row],[Tech Start Date]],19),IF(Main[[#This Row],[Class]]="B", WORKDAY(Main[[#This Row],[Tech Start Date]],12),IF(Main[[#This Row],[Class]]="A",WORKDAY(Main[[#This Row],[Tech Start Date]],4),""))))</f>
        <v/>
      </c>
      <c r="O599" s="69" t="str">
        <f>IF(Main[[#This Row],[Tech Start Date]]&lt;1/1/1990,"",IF(Main[[#This Row],[Class]]="C",WORKDAY(Main[[#This Row],[Tech Start Date]],23),IF(Main[[#This Row],[Class]]="B", WORKDAY(Main[[#This Row],[Tech Start Date]],15),IF(Main[[#This Row],[Class]]="A",WORKDAY(Main[[#This Row],[Tech Start Date]],5),""))))</f>
        <v/>
      </c>
      <c r="P599" s="69" t="str">
        <f>IF(Main[[#This Row],[Tech Start Date]]&lt;1/1/1990,"",IF(Main[[#This Row],[Class]]="C",WORKDAY(Main[[#This Row],[Tech Start Date]],28),IF(Main[[#This Row],[Class]]="B", WORKDAY(Main[[#This Row],[Tech Start Date]],19),IF(Main[[#This Row],[Class]]="A",WORKDAY(Main[[#This Row],[Tech Start Date]],9),""))))</f>
        <v/>
      </c>
      <c r="Q599" s="67">
        <v>40602</v>
      </c>
      <c r="R599" s="67"/>
      <c r="S599" s="65" t="s">
        <v>17</v>
      </c>
      <c r="T599" s="70" t="s">
        <v>4</v>
      </c>
      <c r="U599" s="65" t="s">
        <v>7</v>
      </c>
      <c r="V599" s="65" t="s">
        <v>1914</v>
      </c>
      <c r="W599" s="65" t="s">
        <v>1922</v>
      </c>
      <c r="X599" s="65" t="s">
        <v>2828</v>
      </c>
      <c r="Y599" s="65" t="s">
        <v>2950</v>
      </c>
      <c r="Z599" s="65" t="s">
        <v>129</v>
      </c>
      <c r="AA599" s="65" t="s">
        <v>2828</v>
      </c>
    </row>
    <row r="600" spans="1:27" ht="17.45" hidden="1" customHeight="1">
      <c r="A600" s="100" t="str">
        <f>IF(priority(Main[[#This Row],[Comments]])&lt;&gt;0, priority(Main[[#This Row],[Comments]]),"")</f>
        <v/>
      </c>
      <c r="B600" s="77" t="s">
        <v>1402</v>
      </c>
      <c r="C600" s="65" t="s">
        <v>31</v>
      </c>
      <c r="D600" s="66" t="s">
        <v>484</v>
      </c>
      <c r="E600" s="67"/>
      <c r="F600" s="67"/>
      <c r="G600" s="64" t="str">
        <f>IF(stdProdLT(Main[[#This Row],[Comments]])=0.1,"N/A",IF(stdProdLT(Main[[#This Row],[Comments]])=0,"",stdProdLT(Main[[#This Row],[Comments]])))</f>
        <v/>
      </c>
      <c r="H600" s="68" t="str">
        <f>IF(AND(Main[[#This Row],[In Stock Date]]&lt;&gt;"",Main[[#This Row],[Revised Due Date]]&lt;&gt;""),Main[[#This Row],[In Stock Date]]-Main[[#This Row],[Revised Due Date]],"")</f>
        <v/>
      </c>
      <c r="I600" s="65" t="s">
        <v>4</v>
      </c>
      <c r="J600" s="65" t="s">
        <v>4</v>
      </c>
      <c r="K600" s="71" t="s">
        <v>4</v>
      </c>
      <c r="L600" s="67"/>
      <c r="M600" s="69" t="str">
        <f>IF(Main[[#This Row],[Tech Start Date]]&lt;1/1/1990,"",IF(Main[[#This Row],[Class]]="C",WORKDAY(Main[[#This Row],[Tech Start Date]],9),IF(Main[[#This Row],[Class]]="B", WORKDAY(Main[[#This Row],[Tech Start Date]],6),IF(Main[[#This Row],[Class]]="A",WORKDAY(Main[[#This Row],[Tech Start Date]],2),""))))</f>
        <v/>
      </c>
      <c r="N600" s="69" t="str">
        <f>IF(Main[[#This Row],[Tech Start Date]]&lt;1/1/1990,"",IF(Main[[#This Row],[Class]]="C",WORKDAY(Main[[#This Row],[Tech Start Date]],19),IF(Main[[#This Row],[Class]]="B", WORKDAY(Main[[#This Row],[Tech Start Date]],12),IF(Main[[#This Row],[Class]]="A",WORKDAY(Main[[#This Row],[Tech Start Date]],4),""))))</f>
        <v/>
      </c>
      <c r="O600" s="69" t="str">
        <f>IF(Main[[#This Row],[Tech Start Date]]&lt;1/1/1990,"",IF(Main[[#This Row],[Class]]="C",WORKDAY(Main[[#This Row],[Tech Start Date]],23),IF(Main[[#This Row],[Class]]="B", WORKDAY(Main[[#This Row],[Tech Start Date]],15),IF(Main[[#This Row],[Class]]="A",WORKDAY(Main[[#This Row],[Tech Start Date]],5),""))))</f>
        <v/>
      </c>
      <c r="P600" s="69" t="str">
        <f>IF(Main[[#This Row],[Tech Start Date]]&lt;1/1/1990,"",IF(Main[[#This Row],[Class]]="C",WORKDAY(Main[[#This Row],[Tech Start Date]],28),IF(Main[[#This Row],[Class]]="B", WORKDAY(Main[[#This Row],[Tech Start Date]],19),IF(Main[[#This Row],[Class]]="A",WORKDAY(Main[[#This Row],[Tech Start Date]],9),""))))</f>
        <v/>
      </c>
      <c r="Q600" s="67">
        <v>40318</v>
      </c>
      <c r="R600" s="67"/>
      <c r="S600" s="65" t="s">
        <v>11</v>
      </c>
      <c r="T600" s="70" t="s">
        <v>4</v>
      </c>
      <c r="U600" s="65" t="s">
        <v>14</v>
      </c>
      <c r="V600" s="65" t="s">
        <v>1917</v>
      </c>
      <c r="W600" s="65" t="s">
        <v>1916</v>
      </c>
      <c r="X600" s="65" t="s">
        <v>2830</v>
      </c>
      <c r="Y600" s="65" t="s">
        <v>4</v>
      </c>
      <c r="Z600" s="65" t="s">
        <v>4</v>
      </c>
      <c r="AA600" s="65" t="s">
        <v>2830</v>
      </c>
    </row>
    <row r="601" spans="1:27" ht="17.45" hidden="1" customHeight="1">
      <c r="A601" s="100" t="str">
        <f>IF(priority(Main[[#This Row],[Comments]])&lt;&gt;0, priority(Main[[#This Row],[Comments]]),"")</f>
        <v/>
      </c>
      <c r="B601" s="77" t="s">
        <v>2190</v>
      </c>
      <c r="C601" s="65" t="s">
        <v>4</v>
      </c>
      <c r="D601" s="66" t="s">
        <v>2191</v>
      </c>
      <c r="E601" s="67">
        <v>40784.623067129629</v>
      </c>
      <c r="F601" s="67"/>
      <c r="G601" s="64" t="str">
        <f>IF(stdProdLT(Main[[#This Row],[Comments]])=0.1,"N/A",IF(stdProdLT(Main[[#This Row],[Comments]])=0,"",stdProdLT(Main[[#This Row],[Comments]])))</f>
        <v/>
      </c>
      <c r="H601" s="68" t="str">
        <f>IF(AND(Main[[#This Row],[In Stock Date]]&lt;&gt;"",Main[[#This Row],[Revised Due Date]]&lt;&gt;""),Main[[#This Row],[In Stock Date]]-Main[[#This Row],[Revised Due Date]],"")</f>
        <v/>
      </c>
      <c r="I601" s="65" t="s">
        <v>4</v>
      </c>
      <c r="J601" s="65" t="s">
        <v>4</v>
      </c>
      <c r="K601" s="65" t="s">
        <v>4</v>
      </c>
      <c r="L601" s="67"/>
      <c r="M601" s="69" t="str">
        <f>IF(Main[[#This Row],[Tech Start Date]]&lt;1/1/1990,"",IF(Main[[#This Row],[Class]]="C",WORKDAY(Main[[#This Row],[Tech Start Date]],9),IF(Main[[#This Row],[Class]]="B", WORKDAY(Main[[#This Row],[Tech Start Date]],6),IF(Main[[#This Row],[Class]]="A",WORKDAY(Main[[#This Row],[Tech Start Date]],2),""))))</f>
        <v/>
      </c>
      <c r="N601" s="69" t="str">
        <f>IF(Main[[#This Row],[Tech Start Date]]&lt;1/1/1990,"",IF(Main[[#This Row],[Class]]="C",WORKDAY(Main[[#This Row],[Tech Start Date]],19),IF(Main[[#This Row],[Class]]="B", WORKDAY(Main[[#This Row],[Tech Start Date]],12),IF(Main[[#This Row],[Class]]="A",WORKDAY(Main[[#This Row],[Tech Start Date]],4),""))))</f>
        <v/>
      </c>
      <c r="O601" s="69" t="str">
        <f>IF(Main[[#This Row],[Tech Start Date]]&lt;1/1/1990,"",IF(Main[[#This Row],[Class]]="C",WORKDAY(Main[[#This Row],[Tech Start Date]],23),IF(Main[[#This Row],[Class]]="B", WORKDAY(Main[[#This Row],[Tech Start Date]],15),IF(Main[[#This Row],[Class]]="A",WORKDAY(Main[[#This Row],[Tech Start Date]],5),""))))</f>
        <v/>
      </c>
      <c r="P601" s="69" t="str">
        <f>IF(Main[[#This Row],[Tech Start Date]]&lt;1/1/1990,"",IF(Main[[#This Row],[Class]]="C",WORKDAY(Main[[#This Row],[Tech Start Date]],28),IF(Main[[#This Row],[Class]]="B", WORKDAY(Main[[#This Row],[Tech Start Date]],19),IF(Main[[#This Row],[Class]]="A",WORKDAY(Main[[#This Row],[Tech Start Date]],9),""))))</f>
        <v/>
      </c>
      <c r="Q601" s="67"/>
      <c r="R601" s="67"/>
      <c r="S601" s="65" t="s">
        <v>17</v>
      </c>
      <c r="T601" s="70" t="s">
        <v>4</v>
      </c>
      <c r="U601" s="65" t="s">
        <v>7</v>
      </c>
      <c r="V601" s="65" t="s">
        <v>1917</v>
      </c>
      <c r="W601" s="65" t="s">
        <v>1919</v>
      </c>
      <c r="X601" s="65" t="s">
        <v>2885</v>
      </c>
      <c r="Y601" s="65" t="s">
        <v>3041</v>
      </c>
      <c r="Z601" s="65" t="s">
        <v>4</v>
      </c>
      <c r="AA601" s="65" t="s">
        <v>2885</v>
      </c>
    </row>
    <row r="602" spans="1:27" ht="17.45" hidden="1" customHeight="1">
      <c r="A602" s="100" t="str">
        <f>IF(priority(Main[[#This Row],[Comments]])&lt;&gt;0, priority(Main[[#This Row],[Comments]]),"")</f>
        <v/>
      </c>
      <c r="B602" s="77" t="s">
        <v>1404</v>
      </c>
      <c r="C602" s="65" t="s">
        <v>184</v>
      </c>
      <c r="D602" s="66" t="s">
        <v>486</v>
      </c>
      <c r="E602" s="67"/>
      <c r="F602" s="67"/>
      <c r="G602" s="64" t="str">
        <f>IF(stdProdLT(Main[[#This Row],[Comments]])=0.1,"N/A",IF(stdProdLT(Main[[#This Row],[Comments]])=0,"",stdProdLT(Main[[#This Row],[Comments]])))</f>
        <v/>
      </c>
      <c r="H602" s="68" t="str">
        <f>IF(AND(Main[[#This Row],[In Stock Date]]&lt;&gt;"",Main[[#This Row],[Revised Due Date]]&lt;&gt;""),Main[[#This Row],[In Stock Date]]-Main[[#This Row],[Revised Due Date]],"")</f>
        <v/>
      </c>
      <c r="I602" s="65" t="s">
        <v>4</v>
      </c>
      <c r="J602" s="65" t="s">
        <v>4</v>
      </c>
      <c r="K602" s="65" t="s">
        <v>4</v>
      </c>
      <c r="L602" s="67"/>
      <c r="M602" s="69" t="str">
        <f>IF(Main[[#This Row],[Tech Start Date]]&lt;1/1/1990,"",IF(Main[[#This Row],[Class]]="C",WORKDAY(Main[[#This Row],[Tech Start Date]],9),IF(Main[[#This Row],[Class]]="B", WORKDAY(Main[[#This Row],[Tech Start Date]],6),IF(Main[[#This Row],[Class]]="A",WORKDAY(Main[[#This Row],[Tech Start Date]],2),""))))</f>
        <v/>
      </c>
      <c r="N602" s="69" t="str">
        <f>IF(Main[[#This Row],[Tech Start Date]]&lt;1/1/1990,"",IF(Main[[#This Row],[Class]]="C",WORKDAY(Main[[#This Row],[Tech Start Date]],19),IF(Main[[#This Row],[Class]]="B", WORKDAY(Main[[#This Row],[Tech Start Date]],12),IF(Main[[#This Row],[Class]]="A",WORKDAY(Main[[#This Row],[Tech Start Date]],4),""))))</f>
        <v/>
      </c>
      <c r="O602" s="69" t="str">
        <f>IF(Main[[#This Row],[Tech Start Date]]&lt;1/1/1990,"",IF(Main[[#This Row],[Class]]="C",WORKDAY(Main[[#This Row],[Tech Start Date]],23),IF(Main[[#This Row],[Class]]="B", WORKDAY(Main[[#This Row],[Tech Start Date]],15),IF(Main[[#This Row],[Class]]="A",WORKDAY(Main[[#This Row],[Tech Start Date]],5),""))))</f>
        <v/>
      </c>
      <c r="P602" s="69" t="str">
        <f>IF(Main[[#This Row],[Tech Start Date]]&lt;1/1/1990,"",IF(Main[[#This Row],[Class]]="C",WORKDAY(Main[[#This Row],[Tech Start Date]],28),IF(Main[[#This Row],[Class]]="B", WORKDAY(Main[[#This Row],[Tech Start Date]],19),IF(Main[[#This Row],[Class]]="A",WORKDAY(Main[[#This Row],[Tech Start Date]],9),""))))</f>
        <v/>
      </c>
      <c r="Q602" s="67">
        <v>40116</v>
      </c>
      <c r="R602" s="67"/>
      <c r="S602" s="65" t="s">
        <v>11</v>
      </c>
      <c r="T602" s="70" t="s">
        <v>4</v>
      </c>
      <c r="U602" s="65" t="s">
        <v>14</v>
      </c>
      <c r="V602" s="65" t="s">
        <v>1917</v>
      </c>
      <c r="W602" s="65" t="s">
        <v>1916</v>
      </c>
      <c r="X602" s="65" t="s">
        <v>2863</v>
      </c>
      <c r="Y602" s="65" t="s">
        <v>4</v>
      </c>
      <c r="Z602" s="65" t="s">
        <v>4</v>
      </c>
      <c r="AA602" s="65" t="s">
        <v>2863</v>
      </c>
    </row>
    <row r="603" spans="1:27" ht="17.45" hidden="1" customHeight="1">
      <c r="A603" s="100" t="str">
        <f>IF(priority(Main[[#This Row],[Comments]])&lt;&gt;0, priority(Main[[#This Row],[Comments]]),"")</f>
        <v/>
      </c>
      <c r="B603" s="77" t="s">
        <v>1570</v>
      </c>
      <c r="C603" s="65" t="s">
        <v>650</v>
      </c>
      <c r="D603" s="66" t="s">
        <v>651</v>
      </c>
      <c r="E603" s="67">
        <v>40350.419861111113</v>
      </c>
      <c r="F603" s="67">
        <v>40444</v>
      </c>
      <c r="G603" s="64" t="str">
        <f>IF(stdProdLT(Main[[#This Row],[Comments]])=0.1,"N/A",IF(stdProdLT(Main[[#This Row],[Comments]])=0,"",stdProdLT(Main[[#This Row],[Comments]])))</f>
        <v/>
      </c>
      <c r="H603" s="68" t="str">
        <f>IF(AND(Main[[#This Row],[In Stock Date]]&lt;&gt;"",Main[[#This Row],[Revised Due Date]]&lt;&gt;""),Main[[#This Row],[In Stock Date]]-Main[[#This Row],[Revised Due Date]],"")</f>
        <v/>
      </c>
      <c r="I603" s="65" t="s">
        <v>652</v>
      </c>
      <c r="J603" s="65" t="s">
        <v>28</v>
      </c>
      <c r="K603" s="65" t="s">
        <v>1926</v>
      </c>
      <c r="L603" s="67"/>
      <c r="M603" s="69" t="str">
        <f>IF(Main[[#This Row],[Tech Start Date]]&lt;1/1/1990,"",IF(Main[[#This Row],[Class]]="C",WORKDAY(Main[[#This Row],[Tech Start Date]],9),IF(Main[[#This Row],[Class]]="B", WORKDAY(Main[[#This Row],[Tech Start Date]],6),IF(Main[[#This Row],[Class]]="A",WORKDAY(Main[[#This Row],[Tech Start Date]],2),""))))</f>
        <v/>
      </c>
      <c r="N603" s="69" t="str">
        <f>IF(Main[[#This Row],[Tech Start Date]]&lt;1/1/1990,"",IF(Main[[#This Row],[Class]]="C",WORKDAY(Main[[#This Row],[Tech Start Date]],19),IF(Main[[#This Row],[Class]]="B", WORKDAY(Main[[#This Row],[Tech Start Date]],12),IF(Main[[#This Row],[Class]]="A",WORKDAY(Main[[#This Row],[Tech Start Date]],4),""))))</f>
        <v/>
      </c>
      <c r="O603" s="69" t="str">
        <f>IF(Main[[#This Row],[Tech Start Date]]&lt;1/1/1990,"",IF(Main[[#This Row],[Class]]="C",WORKDAY(Main[[#This Row],[Tech Start Date]],23),IF(Main[[#This Row],[Class]]="B", WORKDAY(Main[[#This Row],[Tech Start Date]],15),IF(Main[[#This Row],[Class]]="A",WORKDAY(Main[[#This Row],[Tech Start Date]],5),""))))</f>
        <v/>
      </c>
      <c r="P603" s="69" t="str">
        <f>IF(Main[[#This Row],[Tech Start Date]]&lt;1/1/1990,"",IF(Main[[#This Row],[Class]]="C",WORKDAY(Main[[#This Row],[Tech Start Date]],28),IF(Main[[#This Row],[Class]]="B", WORKDAY(Main[[#This Row],[Tech Start Date]],19),IF(Main[[#This Row],[Class]]="A",WORKDAY(Main[[#This Row],[Tech Start Date]],9),""))))</f>
        <v/>
      </c>
      <c r="Q603" s="67">
        <v>40353</v>
      </c>
      <c r="R603" s="67"/>
      <c r="S603" s="65" t="s">
        <v>17</v>
      </c>
      <c r="T603" s="70" t="s">
        <v>4</v>
      </c>
      <c r="U603" s="65" t="s">
        <v>7</v>
      </c>
      <c r="V603" s="65" t="s">
        <v>1917</v>
      </c>
      <c r="W603" s="65" t="s">
        <v>1919</v>
      </c>
      <c r="X603" s="65" t="s">
        <v>2886</v>
      </c>
      <c r="Y603" s="65" t="s">
        <v>3042</v>
      </c>
      <c r="Z603" s="65" t="s">
        <v>530</v>
      </c>
      <c r="AA603" s="65" t="s">
        <v>3414</v>
      </c>
    </row>
    <row r="604" spans="1:27" ht="17.45" hidden="1" customHeight="1">
      <c r="A604" s="100" t="str">
        <f>IF(priority(Main[[#This Row],[Comments]])&lt;&gt;0, priority(Main[[#This Row],[Comments]]),"")</f>
        <v/>
      </c>
      <c r="B604" s="77" t="s">
        <v>1406</v>
      </c>
      <c r="C604" s="65" t="s">
        <v>67</v>
      </c>
      <c r="D604" s="66" t="s">
        <v>488</v>
      </c>
      <c r="E604" s="67"/>
      <c r="F604" s="67">
        <v>40561</v>
      </c>
      <c r="G604" s="64" t="str">
        <f>IF(stdProdLT(Main[[#This Row],[Comments]])=0.1,"N/A",IF(stdProdLT(Main[[#This Row],[Comments]])=0,"",stdProdLT(Main[[#This Row],[Comments]])))</f>
        <v/>
      </c>
      <c r="H604" s="68" t="str">
        <f>IF(AND(Main[[#This Row],[In Stock Date]]&lt;&gt;"",Main[[#This Row],[Revised Due Date]]&lt;&gt;""),Main[[#This Row],[In Stock Date]]-Main[[#This Row],[Revised Due Date]],"")</f>
        <v/>
      </c>
      <c r="I604" s="65" t="s">
        <v>4</v>
      </c>
      <c r="J604" s="65" t="s">
        <v>4</v>
      </c>
      <c r="K604" s="65" t="s">
        <v>4</v>
      </c>
      <c r="L604" s="67"/>
      <c r="M604" s="69" t="str">
        <f>IF(Main[[#This Row],[Tech Start Date]]&lt;1/1/1990,"",IF(Main[[#This Row],[Class]]="C",WORKDAY(Main[[#This Row],[Tech Start Date]],9),IF(Main[[#This Row],[Class]]="B", WORKDAY(Main[[#This Row],[Tech Start Date]],6),IF(Main[[#This Row],[Class]]="A",WORKDAY(Main[[#This Row],[Tech Start Date]],2),""))))</f>
        <v/>
      </c>
      <c r="N604" s="69" t="str">
        <f>IF(Main[[#This Row],[Tech Start Date]]&lt;1/1/1990,"",IF(Main[[#This Row],[Class]]="C",WORKDAY(Main[[#This Row],[Tech Start Date]],19),IF(Main[[#This Row],[Class]]="B", WORKDAY(Main[[#This Row],[Tech Start Date]],12),IF(Main[[#This Row],[Class]]="A",WORKDAY(Main[[#This Row],[Tech Start Date]],4),""))))</f>
        <v/>
      </c>
      <c r="O604" s="69" t="str">
        <f>IF(Main[[#This Row],[Tech Start Date]]&lt;1/1/1990,"",IF(Main[[#This Row],[Class]]="C",WORKDAY(Main[[#This Row],[Tech Start Date]],23),IF(Main[[#This Row],[Class]]="B", WORKDAY(Main[[#This Row],[Tech Start Date]],15),IF(Main[[#This Row],[Class]]="A",WORKDAY(Main[[#This Row],[Tech Start Date]],5),""))))</f>
        <v/>
      </c>
      <c r="P604" s="69" t="str">
        <f>IF(Main[[#This Row],[Tech Start Date]]&lt;1/1/1990,"",IF(Main[[#This Row],[Class]]="C",WORKDAY(Main[[#This Row],[Tech Start Date]],28),IF(Main[[#This Row],[Class]]="B", WORKDAY(Main[[#This Row],[Tech Start Date]],19),IF(Main[[#This Row],[Class]]="A",WORKDAY(Main[[#This Row],[Tech Start Date]],9),""))))</f>
        <v/>
      </c>
      <c r="Q604" s="67"/>
      <c r="R604" s="67"/>
      <c r="S604" s="65" t="s">
        <v>11</v>
      </c>
      <c r="T604" s="70" t="s">
        <v>4</v>
      </c>
      <c r="U604" s="65" t="s">
        <v>14</v>
      </c>
      <c r="V604" s="65" t="s">
        <v>1917</v>
      </c>
      <c r="W604" s="65" t="s">
        <v>1920</v>
      </c>
      <c r="X604" s="65" t="s">
        <v>50</v>
      </c>
      <c r="Y604" s="65" t="s">
        <v>4</v>
      </c>
      <c r="Z604" s="65" t="s">
        <v>4</v>
      </c>
      <c r="AA604" s="65" t="s">
        <v>4</v>
      </c>
    </row>
    <row r="605" spans="1:27" ht="17.45" hidden="1" customHeight="1">
      <c r="A605" s="100" t="str">
        <f>IF(priority(Main[[#This Row],[Comments]])&lt;&gt;0, priority(Main[[#This Row],[Comments]]),"")</f>
        <v/>
      </c>
      <c r="B605" s="77" t="s">
        <v>1408</v>
      </c>
      <c r="C605" s="65" t="s">
        <v>31</v>
      </c>
      <c r="D605" s="66" t="s">
        <v>490</v>
      </c>
      <c r="E605" s="67"/>
      <c r="F605" s="67">
        <v>40203</v>
      </c>
      <c r="G605" s="64" t="str">
        <f>IF(stdProdLT(Main[[#This Row],[Comments]])=0.1,"N/A",IF(stdProdLT(Main[[#This Row],[Comments]])=0,"",stdProdLT(Main[[#This Row],[Comments]])))</f>
        <v/>
      </c>
      <c r="H605" s="68" t="str">
        <f>IF(AND(Main[[#This Row],[In Stock Date]]&lt;&gt;"",Main[[#This Row],[Revised Due Date]]&lt;&gt;""),Main[[#This Row],[In Stock Date]]-Main[[#This Row],[Revised Due Date]],"")</f>
        <v/>
      </c>
      <c r="I605" s="65" t="s">
        <v>4</v>
      </c>
      <c r="J605" s="65" t="s">
        <v>4</v>
      </c>
      <c r="K605" s="65" t="s">
        <v>4</v>
      </c>
      <c r="L605" s="67"/>
      <c r="M605" s="69" t="str">
        <f>IF(Main[[#This Row],[Tech Start Date]]&lt;1/1/1990,"",IF(Main[[#This Row],[Class]]="C",WORKDAY(Main[[#This Row],[Tech Start Date]],9),IF(Main[[#This Row],[Class]]="B", WORKDAY(Main[[#This Row],[Tech Start Date]],6),IF(Main[[#This Row],[Class]]="A",WORKDAY(Main[[#This Row],[Tech Start Date]],2),""))))</f>
        <v/>
      </c>
      <c r="N605" s="69" t="str">
        <f>IF(Main[[#This Row],[Tech Start Date]]&lt;1/1/1990,"",IF(Main[[#This Row],[Class]]="C",WORKDAY(Main[[#This Row],[Tech Start Date]],19),IF(Main[[#This Row],[Class]]="B", WORKDAY(Main[[#This Row],[Tech Start Date]],12),IF(Main[[#This Row],[Class]]="A",WORKDAY(Main[[#This Row],[Tech Start Date]],4),""))))</f>
        <v/>
      </c>
      <c r="O605" s="69" t="str">
        <f>IF(Main[[#This Row],[Tech Start Date]]&lt;1/1/1990,"",IF(Main[[#This Row],[Class]]="C",WORKDAY(Main[[#This Row],[Tech Start Date]],23),IF(Main[[#This Row],[Class]]="B", WORKDAY(Main[[#This Row],[Tech Start Date]],15),IF(Main[[#This Row],[Class]]="A",WORKDAY(Main[[#This Row],[Tech Start Date]],5),""))))</f>
        <v/>
      </c>
      <c r="P605" s="69" t="str">
        <f>IF(Main[[#This Row],[Tech Start Date]]&lt;1/1/1990,"",IF(Main[[#This Row],[Class]]="C",WORKDAY(Main[[#This Row],[Tech Start Date]],28),IF(Main[[#This Row],[Class]]="B", WORKDAY(Main[[#This Row],[Tech Start Date]],19),IF(Main[[#This Row],[Class]]="A",WORKDAY(Main[[#This Row],[Tech Start Date]],9),""))))</f>
        <v/>
      </c>
      <c r="Q605" s="67">
        <v>40063</v>
      </c>
      <c r="R605" s="67"/>
      <c r="S605" s="65" t="s">
        <v>11</v>
      </c>
      <c r="T605" s="70" t="s">
        <v>4</v>
      </c>
      <c r="U605" s="65" t="s">
        <v>14</v>
      </c>
      <c r="V605" s="65" t="s">
        <v>1924</v>
      </c>
      <c r="W605" s="65" t="s">
        <v>1920</v>
      </c>
      <c r="X605" s="65" t="s">
        <v>2871</v>
      </c>
      <c r="Y605" s="65" t="s">
        <v>4</v>
      </c>
      <c r="Z605" s="65" t="s">
        <v>4</v>
      </c>
      <c r="AA605" s="65" t="s">
        <v>2871</v>
      </c>
    </row>
    <row r="606" spans="1:27" ht="17.45" hidden="1" customHeight="1">
      <c r="A606" s="100" t="str">
        <f>IF(priority(Main[[#This Row],[Comments]])&lt;&gt;0, priority(Main[[#This Row],[Comments]]),"")</f>
        <v/>
      </c>
      <c r="B606" s="77" t="s">
        <v>1409</v>
      </c>
      <c r="C606" s="65" t="s">
        <v>4</v>
      </c>
      <c r="D606" s="66" t="s">
        <v>491</v>
      </c>
      <c r="E606" s="67">
        <v>40381.391886574071</v>
      </c>
      <c r="F606" s="67"/>
      <c r="G606" s="64" t="str">
        <f>IF(stdProdLT(Main[[#This Row],[Comments]])=0.1,"N/A",IF(stdProdLT(Main[[#This Row],[Comments]])=0,"",stdProdLT(Main[[#This Row],[Comments]])))</f>
        <v/>
      </c>
      <c r="H606" s="68" t="str">
        <f>IF(AND(Main[[#This Row],[In Stock Date]]&lt;&gt;"",Main[[#This Row],[Revised Due Date]]&lt;&gt;""),Main[[#This Row],[In Stock Date]]-Main[[#This Row],[Revised Due Date]],"")</f>
        <v/>
      </c>
      <c r="I606" s="65" t="s">
        <v>4</v>
      </c>
      <c r="J606" s="65" t="s">
        <v>28</v>
      </c>
      <c r="K606" s="71" t="s">
        <v>4</v>
      </c>
      <c r="L606" s="67"/>
      <c r="M606" s="69" t="str">
        <f>IF(Main[[#This Row],[Tech Start Date]]&lt;1/1/1990,"",IF(Main[[#This Row],[Class]]="C",WORKDAY(Main[[#This Row],[Tech Start Date]],9),IF(Main[[#This Row],[Class]]="B", WORKDAY(Main[[#This Row],[Tech Start Date]],6),IF(Main[[#This Row],[Class]]="A",WORKDAY(Main[[#This Row],[Tech Start Date]],2),""))))</f>
        <v/>
      </c>
      <c r="N606" s="69" t="str">
        <f>IF(Main[[#This Row],[Tech Start Date]]&lt;1/1/1990,"",IF(Main[[#This Row],[Class]]="C",WORKDAY(Main[[#This Row],[Tech Start Date]],19),IF(Main[[#This Row],[Class]]="B", WORKDAY(Main[[#This Row],[Tech Start Date]],12),IF(Main[[#This Row],[Class]]="A",WORKDAY(Main[[#This Row],[Tech Start Date]],4),""))))</f>
        <v/>
      </c>
      <c r="O606" s="69" t="str">
        <f>IF(Main[[#This Row],[Tech Start Date]]&lt;1/1/1990,"",IF(Main[[#This Row],[Class]]="C",WORKDAY(Main[[#This Row],[Tech Start Date]],23),IF(Main[[#This Row],[Class]]="B", WORKDAY(Main[[#This Row],[Tech Start Date]],15),IF(Main[[#This Row],[Class]]="A",WORKDAY(Main[[#This Row],[Tech Start Date]],5),""))))</f>
        <v/>
      </c>
      <c r="P606" s="69" t="str">
        <f>IF(Main[[#This Row],[Tech Start Date]]&lt;1/1/1990,"",IF(Main[[#This Row],[Class]]="C",WORKDAY(Main[[#This Row],[Tech Start Date]],28),IF(Main[[#This Row],[Class]]="B", WORKDAY(Main[[#This Row],[Tech Start Date]],19),IF(Main[[#This Row],[Class]]="A",WORKDAY(Main[[#This Row],[Tech Start Date]],9),""))))</f>
        <v/>
      </c>
      <c r="Q606" s="67">
        <v>40451</v>
      </c>
      <c r="R606" s="67"/>
      <c r="S606" s="65" t="s">
        <v>6</v>
      </c>
      <c r="T606" s="70" t="s">
        <v>4</v>
      </c>
      <c r="U606" s="65" t="s">
        <v>7</v>
      </c>
      <c r="V606" s="65" t="s">
        <v>1914</v>
      </c>
      <c r="W606" s="65" t="s">
        <v>1916</v>
      </c>
      <c r="X606" s="65" t="s">
        <v>2887</v>
      </c>
      <c r="Y606" s="65" t="s">
        <v>3043</v>
      </c>
      <c r="Z606" s="65" t="s">
        <v>129</v>
      </c>
      <c r="AA606" s="65" t="s">
        <v>2887</v>
      </c>
    </row>
    <row r="607" spans="1:27" ht="17.45" hidden="1" customHeight="1">
      <c r="A607" s="100" t="str">
        <f>IF(priority(Main[[#This Row],[Comments]])&lt;&gt;0, priority(Main[[#This Row],[Comments]]),"")</f>
        <v/>
      </c>
      <c r="B607" s="77" t="s">
        <v>1463</v>
      </c>
      <c r="C607" s="65" t="s">
        <v>93</v>
      </c>
      <c r="D607" s="66" t="s">
        <v>557</v>
      </c>
      <c r="E607" s="67"/>
      <c r="F607" s="67">
        <v>40299</v>
      </c>
      <c r="G607" s="64" t="str">
        <f>IF(stdProdLT(Main[[#This Row],[Comments]])=0.1,"N/A",IF(stdProdLT(Main[[#This Row],[Comments]])=0,"",stdProdLT(Main[[#This Row],[Comments]])))</f>
        <v/>
      </c>
      <c r="H607" s="68" t="str">
        <f>IF(AND(Main[[#This Row],[In Stock Date]]&lt;&gt;"",Main[[#This Row],[Revised Due Date]]&lt;&gt;""),Main[[#This Row],[In Stock Date]]-Main[[#This Row],[Revised Due Date]],"")</f>
        <v/>
      </c>
      <c r="I607" s="65" t="s">
        <v>4</v>
      </c>
      <c r="J607" s="65" t="s">
        <v>4</v>
      </c>
      <c r="K607" s="65" t="s">
        <v>4</v>
      </c>
      <c r="L607" s="67"/>
      <c r="M607" s="69" t="str">
        <f>IF(Main[[#This Row],[Tech Start Date]]&lt;1/1/1990,"",IF(Main[[#This Row],[Class]]="C",WORKDAY(Main[[#This Row],[Tech Start Date]],9),IF(Main[[#This Row],[Class]]="B", WORKDAY(Main[[#This Row],[Tech Start Date]],6),IF(Main[[#This Row],[Class]]="A",WORKDAY(Main[[#This Row],[Tech Start Date]],2),""))))</f>
        <v/>
      </c>
      <c r="N607" s="69" t="str">
        <f>IF(Main[[#This Row],[Tech Start Date]]&lt;1/1/1990,"",IF(Main[[#This Row],[Class]]="C",WORKDAY(Main[[#This Row],[Tech Start Date]],19),IF(Main[[#This Row],[Class]]="B", WORKDAY(Main[[#This Row],[Tech Start Date]],12),IF(Main[[#This Row],[Class]]="A",WORKDAY(Main[[#This Row],[Tech Start Date]],4),""))))</f>
        <v/>
      </c>
      <c r="O607" s="69" t="str">
        <f>IF(Main[[#This Row],[Tech Start Date]]&lt;1/1/1990,"",IF(Main[[#This Row],[Class]]="C",WORKDAY(Main[[#This Row],[Tech Start Date]],23),IF(Main[[#This Row],[Class]]="B", WORKDAY(Main[[#This Row],[Tech Start Date]],15),IF(Main[[#This Row],[Class]]="A",WORKDAY(Main[[#This Row],[Tech Start Date]],5),""))))</f>
        <v/>
      </c>
      <c r="P607" s="69" t="str">
        <f>IF(Main[[#This Row],[Tech Start Date]]&lt;1/1/1990,"",IF(Main[[#This Row],[Class]]="C",WORKDAY(Main[[#This Row],[Tech Start Date]],28),IF(Main[[#This Row],[Class]]="B", WORKDAY(Main[[#This Row],[Tech Start Date]],19),IF(Main[[#This Row],[Class]]="A",WORKDAY(Main[[#This Row],[Tech Start Date]],9),""))))</f>
        <v/>
      </c>
      <c r="Q607" s="67">
        <v>40171</v>
      </c>
      <c r="R607" s="67"/>
      <c r="S607" s="65" t="s">
        <v>11</v>
      </c>
      <c r="T607" s="70" t="s">
        <v>4</v>
      </c>
      <c r="U607" s="65" t="s">
        <v>14</v>
      </c>
      <c r="V607" s="65" t="s">
        <v>1917</v>
      </c>
      <c r="W607" s="65" t="s">
        <v>1920</v>
      </c>
      <c r="X607" s="65" t="s">
        <v>530</v>
      </c>
      <c r="Y607" s="65" t="s">
        <v>3053</v>
      </c>
      <c r="Z607" s="65" t="s">
        <v>4</v>
      </c>
      <c r="AA607" s="65" t="s">
        <v>3417</v>
      </c>
    </row>
    <row r="608" spans="1:27" ht="17.45" hidden="1" customHeight="1">
      <c r="A608" s="100" t="str">
        <f>IF(priority(Main[[#This Row],[Comments]])&lt;&gt;0, priority(Main[[#This Row],[Comments]]),"")</f>
        <v/>
      </c>
      <c r="B608" s="77" t="s">
        <v>1464</v>
      </c>
      <c r="C608" s="65" t="s">
        <v>47</v>
      </c>
      <c r="D608" s="66" t="s">
        <v>558</v>
      </c>
      <c r="E608" s="67">
        <v>39937.590590277781</v>
      </c>
      <c r="F608" s="67"/>
      <c r="G608" s="64" t="str">
        <f>IF(stdProdLT(Main[[#This Row],[Comments]])=0.1,"N/A",IF(stdProdLT(Main[[#This Row],[Comments]])=0,"",stdProdLT(Main[[#This Row],[Comments]])))</f>
        <v/>
      </c>
      <c r="H608" s="68" t="str">
        <f>IF(AND(Main[[#This Row],[In Stock Date]]&lt;&gt;"",Main[[#This Row],[Revised Due Date]]&lt;&gt;""),Main[[#This Row],[In Stock Date]]-Main[[#This Row],[Revised Due Date]],"")</f>
        <v/>
      </c>
      <c r="I608" s="65" t="s">
        <v>4</v>
      </c>
      <c r="J608" s="65" t="s">
        <v>4</v>
      </c>
      <c r="K608" s="65" t="s">
        <v>4</v>
      </c>
      <c r="L608" s="67"/>
      <c r="M608" s="69" t="str">
        <f>IF(Main[[#This Row],[Tech Start Date]]&lt;1/1/1990,"",IF(Main[[#This Row],[Class]]="C",WORKDAY(Main[[#This Row],[Tech Start Date]],9),IF(Main[[#This Row],[Class]]="B", WORKDAY(Main[[#This Row],[Tech Start Date]],6),IF(Main[[#This Row],[Class]]="A",WORKDAY(Main[[#This Row],[Tech Start Date]],2),""))))</f>
        <v/>
      </c>
      <c r="N608" s="69" t="str">
        <f>IF(Main[[#This Row],[Tech Start Date]]&lt;1/1/1990,"",IF(Main[[#This Row],[Class]]="C",WORKDAY(Main[[#This Row],[Tech Start Date]],19),IF(Main[[#This Row],[Class]]="B", WORKDAY(Main[[#This Row],[Tech Start Date]],12),IF(Main[[#This Row],[Class]]="A",WORKDAY(Main[[#This Row],[Tech Start Date]],4),""))))</f>
        <v/>
      </c>
      <c r="O608" s="69" t="str">
        <f>IF(Main[[#This Row],[Tech Start Date]]&lt;1/1/1990,"",IF(Main[[#This Row],[Class]]="C",WORKDAY(Main[[#This Row],[Tech Start Date]],23),IF(Main[[#This Row],[Class]]="B", WORKDAY(Main[[#This Row],[Tech Start Date]],15),IF(Main[[#This Row],[Class]]="A",WORKDAY(Main[[#This Row],[Tech Start Date]],5),""))))</f>
        <v/>
      </c>
      <c r="P608" s="69" t="str">
        <f>IF(Main[[#This Row],[Tech Start Date]]&lt;1/1/1990,"",IF(Main[[#This Row],[Class]]="C",WORKDAY(Main[[#This Row],[Tech Start Date]],28),IF(Main[[#This Row],[Class]]="B", WORKDAY(Main[[#This Row],[Tech Start Date]],19),IF(Main[[#This Row],[Class]]="A",WORKDAY(Main[[#This Row],[Tech Start Date]],9),""))))</f>
        <v/>
      </c>
      <c r="Q608" s="67"/>
      <c r="R608" s="67"/>
      <c r="S608" s="65" t="s">
        <v>17</v>
      </c>
      <c r="T608" s="70" t="s">
        <v>4</v>
      </c>
      <c r="U608" s="65" t="s">
        <v>7</v>
      </c>
      <c r="V608" s="65" t="s">
        <v>1917</v>
      </c>
      <c r="W608" s="65" t="s">
        <v>4</v>
      </c>
      <c r="X608" s="65" t="s">
        <v>2827</v>
      </c>
      <c r="Y608" s="65" t="s">
        <v>2948</v>
      </c>
      <c r="Z608" s="65" t="s">
        <v>4</v>
      </c>
      <c r="AA608" s="65" t="s">
        <v>2827</v>
      </c>
    </row>
    <row r="609" spans="1:27" ht="17.45" hidden="1" customHeight="1">
      <c r="A609" s="100" t="str">
        <f>IF(priority(Main[[#This Row],[Comments]])&lt;&gt;0, priority(Main[[#This Row],[Comments]]),"")</f>
        <v/>
      </c>
      <c r="B609" s="77" t="s">
        <v>1465</v>
      </c>
      <c r="C609" s="65" t="s">
        <v>277</v>
      </c>
      <c r="D609" s="66" t="s">
        <v>559</v>
      </c>
      <c r="E609" s="67"/>
      <c r="F609" s="67">
        <v>40567</v>
      </c>
      <c r="G609" s="64" t="str">
        <f>IF(stdProdLT(Main[[#This Row],[Comments]])=0.1,"N/A",IF(stdProdLT(Main[[#This Row],[Comments]])=0,"",stdProdLT(Main[[#This Row],[Comments]])))</f>
        <v/>
      </c>
      <c r="H609" s="68" t="str">
        <f>IF(AND(Main[[#This Row],[In Stock Date]]&lt;&gt;"",Main[[#This Row],[Revised Due Date]]&lt;&gt;""),Main[[#This Row],[In Stock Date]]-Main[[#This Row],[Revised Due Date]],"")</f>
        <v/>
      </c>
      <c r="I609" s="65" t="s">
        <v>4</v>
      </c>
      <c r="J609" s="65" t="s">
        <v>4</v>
      </c>
      <c r="K609" s="65" t="s">
        <v>4</v>
      </c>
      <c r="L609" s="67"/>
      <c r="M609" s="69" t="str">
        <f>IF(Main[[#This Row],[Tech Start Date]]&lt;1/1/1990,"",IF(Main[[#This Row],[Class]]="C",WORKDAY(Main[[#This Row],[Tech Start Date]],9),IF(Main[[#This Row],[Class]]="B", WORKDAY(Main[[#This Row],[Tech Start Date]],6),IF(Main[[#This Row],[Class]]="A",WORKDAY(Main[[#This Row],[Tech Start Date]],2),""))))</f>
        <v/>
      </c>
      <c r="N609" s="69" t="str">
        <f>IF(Main[[#This Row],[Tech Start Date]]&lt;1/1/1990,"",IF(Main[[#This Row],[Class]]="C",WORKDAY(Main[[#This Row],[Tech Start Date]],19),IF(Main[[#This Row],[Class]]="B", WORKDAY(Main[[#This Row],[Tech Start Date]],12),IF(Main[[#This Row],[Class]]="A",WORKDAY(Main[[#This Row],[Tech Start Date]],4),""))))</f>
        <v/>
      </c>
      <c r="O609" s="69" t="str">
        <f>IF(Main[[#This Row],[Tech Start Date]]&lt;1/1/1990,"",IF(Main[[#This Row],[Class]]="C",WORKDAY(Main[[#This Row],[Tech Start Date]],23),IF(Main[[#This Row],[Class]]="B", WORKDAY(Main[[#This Row],[Tech Start Date]],15),IF(Main[[#This Row],[Class]]="A",WORKDAY(Main[[#This Row],[Tech Start Date]],5),""))))</f>
        <v/>
      </c>
      <c r="P609" s="69" t="str">
        <f>IF(Main[[#This Row],[Tech Start Date]]&lt;1/1/1990,"",IF(Main[[#This Row],[Class]]="C",WORKDAY(Main[[#This Row],[Tech Start Date]],28),IF(Main[[#This Row],[Class]]="B", WORKDAY(Main[[#This Row],[Tech Start Date]],19),IF(Main[[#This Row],[Class]]="A",WORKDAY(Main[[#This Row],[Tech Start Date]],9),""))))</f>
        <v/>
      </c>
      <c r="Q609" s="67">
        <v>40427</v>
      </c>
      <c r="R609" s="67"/>
      <c r="S609" s="65" t="s">
        <v>11</v>
      </c>
      <c r="T609" s="70" t="s">
        <v>4</v>
      </c>
      <c r="U609" s="65" t="s">
        <v>14</v>
      </c>
      <c r="V609" s="65" t="s">
        <v>1914</v>
      </c>
      <c r="W609" s="65" t="s">
        <v>1922</v>
      </c>
      <c r="X609" s="65" t="s">
        <v>2843</v>
      </c>
      <c r="Y609" s="65" t="s">
        <v>4</v>
      </c>
      <c r="Z609" s="65" t="s">
        <v>4</v>
      </c>
      <c r="AA609" s="65" t="s">
        <v>2843</v>
      </c>
    </row>
    <row r="610" spans="1:27" ht="17.45" hidden="1" customHeight="1">
      <c r="A610" s="100" t="str">
        <f>IF(priority(Main[[#This Row],[Comments]])&lt;&gt;0, priority(Main[[#This Row],[Comments]]),"")</f>
        <v/>
      </c>
      <c r="B610" s="77" t="s">
        <v>1466</v>
      </c>
      <c r="C610" s="65" t="s">
        <v>4</v>
      </c>
      <c r="D610" s="66" t="s">
        <v>560</v>
      </c>
      <c r="E610" s="67">
        <v>40414.808692129627</v>
      </c>
      <c r="F610" s="67"/>
      <c r="G610" s="64" t="str">
        <f>IF(stdProdLT(Main[[#This Row],[Comments]])=0.1,"N/A",IF(stdProdLT(Main[[#This Row],[Comments]])=0,"",stdProdLT(Main[[#This Row],[Comments]])))</f>
        <v/>
      </c>
      <c r="H610" s="68" t="str">
        <f>IF(AND(Main[[#This Row],[In Stock Date]]&lt;&gt;"",Main[[#This Row],[Revised Due Date]]&lt;&gt;""),Main[[#This Row],[In Stock Date]]-Main[[#This Row],[Revised Due Date]],"")</f>
        <v/>
      </c>
      <c r="I610" s="65" t="s">
        <v>4</v>
      </c>
      <c r="J610" s="65" t="s">
        <v>28</v>
      </c>
      <c r="K610" s="71" t="s">
        <v>4</v>
      </c>
      <c r="L610" s="67"/>
      <c r="M610" s="69" t="str">
        <f>IF(Main[[#This Row],[Tech Start Date]]&lt;1/1/1990,"",IF(Main[[#This Row],[Class]]="C",WORKDAY(Main[[#This Row],[Tech Start Date]],9),IF(Main[[#This Row],[Class]]="B", WORKDAY(Main[[#This Row],[Tech Start Date]],6),IF(Main[[#This Row],[Class]]="A",WORKDAY(Main[[#This Row],[Tech Start Date]],2),""))))</f>
        <v/>
      </c>
      <c r="N610" s="69" t="str">
        <f>IF(Main[[#This Row],[Tech Start Date]]&lt;1/1/1990,"",IF(Main[[#This Row],[Class]]="C",WORKDAY(Main[[#This Row],[Tech Start Date]],19),IF(Main[[#This Row],[Class]]="B", WORKDAY(Main[[#This Row],[Tech Start Date]],12),IF(Main[[#This Row],[Class]]="A",WORKDAY(Main[[#This Row],[Tech Start Date]],4),""))))</f>
        <v/>
      </c>
      <c r="O610" s="69" t="str">
        <f>IF(Main[[#This Row],[Tech Start Date]]&lt;1/1/1990,"",IF(Main[[#This Row],[Class]]="C",WORKDAY(Main[[#This Row],[Tech Start Date]],23),IF(Main[[#This Row],[Class]]="B", WORKDAY(Main[[#This Row],[Tech Start Date]],15),IF(Main[[#This Row],[Class]]="A",WORKDAY(Main[[#This Row],[Tech Start Date]],5),""))))</f>
        <v/>
      </c>
      <c r="P610" s="69" t="str">
        <f>IF(Main[[#This Row],[Tech Start Date]]&lt;1/1/1990,"",IF(Main[[#This Row],[Class]]="C",WORKDAY(Main[[#This Row],[Tech Start Date]],28),IF(Main[[#This Row],[Class]]="B", WORKDAY(Main[[#This Row],[Tech Start Date]],19),IF(Main[[#This Row],[Class]]="A",WORKDAY(Main[[#This Row],[Tech Start Date]],9),""))))</f>
        <v/>
      </c>
      <c r="Q610" s="67">
        <v>40429</v>
      </c>
      <c r="R610" s="67"/>
      <c r="S610" s="65" t="s">
        <v>318</v>
      </c>
      <c r="T610" s="70" t="s">
        <v>4</v>
      </c>
      <c r="U610" s="65" t="s">
        <v>7</v>
      </c>
      <c r="V610" s="65" t="s">
        <v>1914</v>
      </c>
      <c r="W610" s="65" t="s">
        <v>1918</v>
      </c>
      <c r="X610" s="65" t="s">
        <v>2821</v>
      </c>
      <c r="Y610" s="65" t="s">
        <v>2936</v>
      </c>
      <c r="Z610" s="65" t="s">
        <v>129</v>
      </c>
      <c r="AA610" s="65" t="s">
        <v>2821</v>
      </c>
    </row>
    <row r="611" spans="1:27" ht="17.45" hidden="1" customHeight="1">
      <c r="A611" s="100" t="str">
        <f>IF(priority(Main[[#This Row],[Comments]])&lt;&gt;0, priority(Main[[#This Row],[Comments]]),"")</f>
        <v/>
      </c>
      <c r="B611" s="77" t="s">
        <v>1502</v>
      </c>
      <c r="C611" s="65" t="s">
        <v>58</v>
      </c>
      <c r="D611" s="66" t="s">
        <v>576</v>
      </c>
      <c r="E611" s="67"/>
      <c r="F611" s="67">
        <v>40697</v>
      </c>
      <c r="G611" s="64" t="str">
        <f>IF(stdProdLT(Main[[#This Row],[Comments]])=0.1,"N/A",IF(stdProdLT(Main[[#This Row],[Comments]])=0,"",stdProdLT(Main[[#This Row],[Comments]])))</f>
        <v/>
      </c>
      <c r="H611" s="68" t="str">
        <f>IF(AND(Main[[#This Row],[In Stock Date]]&lt;&gt;"",Main[[#This Row],[Revised Due Date]]&lt;&gt;""),Main[[#This Row],[In Stock Date]]-Main[[#This Row],[Revised Due Date]],"")</f>
        <v/>
      </c>
      <c r="I611" s="65" t="s">
        <v>417</v>
      </c>
      <c r="J611" s="65" t="s">
        <v>75</v>
      </c>
      <c r="K611" s="65" t="s">
        <v>1921</v>
      </c>
      <c r="L611" s="67"/>
      <c r="M611" s="69" t="str">
        <f>IF(Main[[#This Row],[Tech Start Date]]&lt;1/1/1990,"",IF(Main[[#This Row],[Class]]="C",WORKDAY(Main[[#This Row],[Tech Start Date]],9),IF(Main[[#This Row],[Class]]="B", WORKDAY(Main[[#This Row],[Tech Start Date]],6),IF(Main[[#This Row],[Class]]="A",WORKDAY(Main[[#This Row],[Tech Start Date]],2),""))))</f>
        <v/>
      </c>
      <c r="N611" s="69" t="str">
        <f>IF(Main[[#This Row],[Tech Start Date]]&lt;1/1/1990,"",IF(Main[[#This Row],[Class]]="C",WORKDAY(Main[[#This Row],[Tech Start Date]],19),IF(Main[[#This Row],[Class]]="B", WORKDAY(Main[[#This Row],[Tech Start Date]],12),IF(Main[[#This Row],[Class]]="A",WORKDAY(Main[[#This Row],[Tech Start Date]],4),""))))</f>
        <v/>
      </c>
      <c r="O611" s="69" t="str">
        <f>IF(Main[[#This Row],[Tech Start Date]]&lt;1/1/1990,"",IF(Main[[#This Row],[Class]]="C",WORKDAY(Main[[#This Row],[Tech Start Date]],23),IF(Main[[#This Row],[Class]]="B", WORKDAY(Main[[#This Row],[Tech Start Date]],15),IF(Main[[#This Row],[Class]]="A",WORKDAY(Main[[#This Row],[Tech Start Date]],5),""))))</f>
        <v/>
      </c>
      <c r="P611" s="69" t="str">
        <f>IF(Main[[#This Row],[Tech Start Date]]&lt;1/1/1990,"",IF(Main[[#This Row],[Class]]="C",WORKDAY(Main[[#This Row],[Tech Start Date]],28),IF(Main[[#This Row],[Class]]="B", WORKDAY(Main[[#This Row],[Tech Start Date]],19),IF(Main[[#This Row],[Class]]="A",WORKDAY(Main[[#This Row],[Tech Start Date]],9),""))))</f>
        <v/>
      </c>
      <c r="Q611" s="67">
        <v>40539</v>
      </c>
      <c r="R611" s="67"/>
      <c r="S611" s="65" t="s">
        <v>11</v>
      </c>
      <c r="T611" s="70" t="s">
        <v>4</v>
      </c>
      <c r="U611" s="65" t="s">
        <v>14</v>
      </c>
      <c r="V611" s="65" t="s">
        <v>1924</v>
      </c>
      <c r="W611" s="65" t="s">
        <v>1920</v>
      </c>
      <c r="X611" s="65" t="s">
        <v>2829</v>
      </c>
      <c r="Y611" s="65" t="s">
        <v>2951</v>
      </c>
      <c r="Z611" s="65" t="s">
        <v>306</v>
      </c>
      <c r="AA611" s="65" t="s">
        <v>2829</v>
      </c>
    </row>
    <row r="612" spans="1:27" ht="17.45" hidden="1" customHeight="1">
      <c r="A612" s="100" t="str">
        <f>IF(priority(Main[[#This Row],[Comments]])&lt;&gt;0, priority(Main[[#This Row],[Comments]]),"")</f>
        <v/>
      </c>
      <c r="B612" s="77" t="s">
        <v>1504</v>
      </c>
      <c r="C612" s="65" t="s">
        <v>578</v>
      </c>
      <c r="D612" s="66" t="s">
        <v>579</v>
      </c>
      <c r="E612" s="67"/>
      <c r="F612" s="67">
        <v>40596</v>
      </c>
      <c r="G612" s="64" t="str">
        <f>IF(stdProdLT(Main[[#This Row],[Comments]])=0.1,"N/A",IF(stdProdLT(Main[[#This Row],[Comments]])=0,"",stdProdLT(Main[[#This Row],[Comments]])))</f>
        <v/>
      </c>
      <c r="H612" s="68" t="str">
        <f>IF(AND(Main[[#This Row],[In Stock Date]]&lt;&gt;"",Main[[#This Row],[Revised Due Date]]&lt;&gt;""),Main[[#This Row],[In Stock Date]]-Main[[#This Row],[Revised Due Date]],"")</f>
        <v/>
      </c>
      <c r="I612" s="65" t="s">
        <v>4</v>
      </c>
      <c r="J612" s="65" t="s">
        <v>28</v>
      </c>
      <c r="K612" s="65" t="s">
        <v>4</v>
      </c>
      <c r="L612" s="67"/>
      <c r="M612" s="69" t="str">
        <f>IF(Main[[#This Row],[Tech Start Date]]&lt;1/1/1990,"",IF(Main[[#This Row],[Class]]="C",WORKDAY(Main[[#This Row],[Tech Start Date]],9),IF(Main[[#This Row],[Class]]="B", WORKDAY(Main[[#This Row],[Tech Start Date]],6),IF(Main[[#This Row],[Class]]="A",WORKDAY(Main[[#This Row],[Tech Start Date]],2),""))))</f>
        <v/>
      </c>
      <c r="N612" s="69" t="str">
        <f>IF(Main[[#This Row],[Tech Start Date]]&lt;1/1/1990,"",IF(Main[[#This Row],[Class]]="C",WORKDAY(Main[[#This Row],[Tech Start Date]],19),IF(Main[[#This Row],[Class]]="B", WORKDAY(Main[[#This Row],[Tech Start Date]],12),IF(Main[[#This Row],[Class]]="A",WORKDAY(Main[[#This Row],[Tech Start Date]],4),""))))</f>
        <v/>
      </c>
      <c r="O612" s="69" t="str">
        <f>IF(Main[[#This Row],[Tech Start Date]]&lt;1/1/1990,"",IF(Main[[#This Row],[Class]]="C",WORKDAY(Main[[#This Row],[Tech Start Date]],23),IF(Main[[#This Row],[Class]]="B", WORKDAY(Main[[#This Row],[Tech Start Date]],15),IF(Main[[#This Row],[Class]]="A",WORKDAY(Main[[#This Row],[Tech Start Date]],5),""))))</f>
        <v/>
      </c>
      <c r="P612" s="69" t="str">
        <f>IF(Main[[#This Row],[Tech Start Date]]&lt;1/1/1990,"",IF(Main[[#This Row],[Class]]="C",WORKDAY(Main[[#This Row],[Tech Start Date]],28),IF(Main[[#This Row],[Class]]="B", WORKDAY(Main[[#This Row],[Tech Start Date]],19),IF(Main[[#This Row],[Class]]="A",WORKDAY(Main[[#This Row],[Tech Start Date]],9),""))))</f>
        <v/>
      </c>
      <c r="Q612" s="67">
        <v>40414</v>
      </c>
      <c r="R612" s="67"/>
      <c r="S612" s="65" t="s">
        <v>11</v>
      </c>
      <c r="T612" s="70" t="s">
        <v>4</v>
      </c>
      <c r="U612" s="65" t="s">
        <v>14</v>
      </c>
      <c r="V612" s="65" t="s">
        <v>1917</v>
      </c>
      <c r="W612" s="65" t="s">
        <v>1919</v>
      </c>
      <c r="X612" s="65" t="s">
        <v>2826</v>
      </c>
      <c r="Y612" s="65" t="s">
        <v>2946</v>
      </c>
      <c r="Z612" s="65" t="s">
        <v>530</v>
      </c>
      <c r="AA612" s="65" t="s">
        <v>2826</v>
      </c>
    </row>
    <row r="613" spans="1:27" ht="17.45" hidden="1" customHeight="1">
      <c r="A613" s="100" t="str">
        <f>IF(priority(Main[[#This Row],[Comments]])&lt;&gt;0, priority(Main[[#This Row],[Comments]]),"")</f>
        <v/>
      </c>
      <c r="B613" s="77" t="s">
        <v>1505</v>
      </c>
      <c r="C613" s="65" t="s">
        <v>580</v>
      </c>
      <c r="D613" s="66" t="s">
        <v>581</v>
      </c>
      <c r="E613" s="67"/>
      <c r="F613" s="67"/>
      <c r="G613" s="64" t="str">
        <f>IF(stdProdLT(Main[[#This Row],[Comments]])=0.1,"N/A",IF(stdProdLT(Main[[#This Row],[Comments]])=0,"",stdProdLT(Main[[#This Row],[Comments]])))</f>
        <v/>
      </c>
      <c r="H613" s="68" t="str">
        <f>IF(AND(Main[[#This Row],[In Stock Date]]&lt;&gt;"",Main[[#This Row],[Revised Due Date]]&lt;&gt;""),Main[[#This Row],[In Stock Date]]-Main[[#This Row],[Revised Due Date]],"")</f>
        <v/>
      </c>
      <c r="I613" s="65" t="s">
        <v>4</v>
      </c>
      <c r="J613" s="65" t="s">
        <v>4</v>
      </c>
      <c r="K613" s="65" t="s">
        <v>4</v>
      </c>
      <c r="L613" s="67"/>
      <c r="M613" s="69" t="str">
        <f>IF(Main[[#This Row],[Tech Start Date]]&lt;1/1/1990,"",IF(Main[[#This Row],[Class]]="C",WORKDAY(Main[[#This Row],[Tech Start Date]],9),IF(Main[[#This Row],[Class]]="B", WORKDAY(Main[[#This Row],[Tech Start Date]],6),IF(Main[[#This Row],[Class]]="A",WORKDAY(Main[[#This Row],[Tech Start Date]],2),""))))</f>
        <v/>
      </c>
      <c r="N613" s="69" t="str">
        <f>IF(Main[[#This Row],[Tech Start Date]]&lt;1/1/1990,"",IF(Main[[#This Row],[Class]]="C",WORKDAY(Main[[#This Row],[Tech Start Date]],19),IF(Main[[#This Row],[Class]]="B", WORKDAY(Main[[#This Row],[Tech Start Date]],12),IF(Main[[#This Row],[Class]]="A",WORKDAY(Main[[#This Row],[Tech Start Date]],4),""))))</f>
        <v/>
      </c>
      <c r="O613" s="69" t="str">
        <f>IF(Main[[#This Row],[Tech Start Date]]&lt;1/1/1990,"",IF(Main[[#This Row],[Class]]="C",WORKDAY(Main[[#This Row],[Tech Start Date]],23),IF(Main[[#This Row],[Class]]="B", WORKDAY(Main[[#This Row],[Tech Start Date]],15),IF(Main[[#This Row],[Class]]="A",WORKDAY(Main[[#This Row],[Tech Start Date]],5),""))))</f>
        <v/>
      </c>
      <c r="P613" s="69" t="str">
        <f>IF(Main[[#This Row],[Tech Start Date]]&lt;1/1/1990,"",IF(Main[[#This Row],[Class]]="C",WORKDAY(Main[[#This Row],[Tech Start Date]],28),IF(Main[[#This Row],[Class]]="B", WORKDAY(Main[[#This Row],[Tech Start Date]],19),IF(Main[[#This Row],[Class]]="A",WORKDAY(Main[[#This Row],[Tech Start Date]],9),""))))</f>
        <v/>
      </c>
      <c r="Q613" s="67">
        <v>40476</v>
      </c>
      <c r="R613" s="67"/>
      <c r="S613" s="65" t="s">
        <v>11</v>
      </c>
      <c r="T613" s="70" t="s">
        <v>4</v>
      </c>
      <c r="U613" s="65" t="s">
        <v>14</v>
      </c>
      <c r="V613" s="65" t="s">
        <v>1914</v>
      </c>
      <c r="W613" s="65" t="s">
        <v>1922</v>
      </c>
      <c r="X613" s="65" t="s">
        <v>2879</v>
      </c>
      <c r="Y613" s="65" t="s">
        <v>3027</v>
      </c>
      <c r="Z613" s="65" t="s">
        <v>4</v>
      </c>
      <c r="AA613" s="65" t="s">
        <v>2879</v>
      </c>
    </row>
    <row r="614" spans="1:27" ht="17.45" hidden="1" customHeight="1">
      <c r="A614" s="100" t="str">
        <f>IF(priority(Main[[#This Row],[Comments]])&lt;&gt;0, priority(Main[[#This Row],[Comments]]),"")</f>
        <v/>
      </c>
      <c r="B614" s="77" t="s">
        <v>1506</v>
      </c>
      <c r="C614" s="65" t="s">
        <v>31</v>
      </c>
      <c r="D614" s="66" t="s">
        <v>582</v>
      </c>
      <c r="E614" s="67"/>
      <c r="F614" s="67">
        <v>40330</v>
      </c>
      <c r="G614" s="64" t="str">
        <f>IF(stdProdLT(Main[[#This Row],[Comments]])=0.1,"N/A",IF(stdProdLT(Main[[#This Row],[Comments]])=0,"",stdProdLT(Main[[#This Row],[Comments]])))</f>
        <v/>
      </c>
      <c r="H614" s="68" t="str">
        <f>IF(AND(Main[[#This Row],[In Stock Date]]&lt;&gt;"",Main[[#This Row],[Revised Due Date]]&lt;&gt;""),Main[[#This Row],[In Stock Date]]-Main[[#This Row],[Revised Due Date]],"")</f>
        <v/>
      </c>
      <c r="I614" s="65" t="s">
        <v>4</v>
      </c>
      <c r="J614" s="65" t="s">
        <v>4</v>
      </c>
      <c r="K614" s="65" t="s">
        <v>4</v>
      </c>
      <c r="L614" s="67"/>
      <c r="M614" s="69" t="str">
        <f>IF(Main[[#This Row],[Tech Start Date]]&lt;1/1/1990,"",IF(Main[[#This Row],[Class]]="C",WORKDAY(Main[[#This Row],[Tech Start Date]],9),IF(Main[[#This Row],[Class]]="B", WORKDAY(Main[[#This Row],[Tech Start Date]],6),IF(Main[[#This Row],[Class]]="A",WORKDAY(Main[[#This Row],[Tech Start Date]],2),""))))</f>
        <v/>
      </c>
      <c r="N614" s="69" t="str">
        <f>IF(Main[[#This Row],[Tech Start Date]]&lt;1/1/1990,"",IF(Main[[#This Row],[Class]]="C",WORKDAY(Main[[#This Row],[Tech Start Date]],19),IF(Main[[#This Row],[Class]]="B", WORKDAY(Main[[#This Row],[Tech Start Date]],12),IF(Main[[#This Row],[Class]]="A",WORKDAY(Main[[#This Row],[Tech Start Date]],4),""))))</f>
        <v/>
      </c>
      <c r="O614" s="69" t="str">
        <f>IF(Main[[#This Row],[Tech Start Date]]&lt;1/1/1990,"",IF(Main[[#This Row],[Class]]="C",WORKDAY(Main[[#This Row],[Tech Start Date]],23),IF(Main[[#This Row],[Class]]="B", WORKDAY(Main[[#This Row],[Tech Start Date]],15),IF(Main[[#This Row],[Class]]="A",WORKDAY(Main[[#This Row],[Tech Start Date]],5),""))))</f>
        <v/>
      </c>
      <c r="P614" s="69" t="str">
        <f>IF(Main[[#This Row],[Tech Start Date]]&lt;1/1/1990,"",IF(Main[[#This Row],[Class]]="C",WORKDAY(Main[[#This Row],[Tech Start Date]],28),IF(Main[[#This Row],[Class]]="B", WORKDAY(Main[[#This Row],[Tech Start Date]],19),IF(Main[[#This Row],[Class]]="A",WORKDAY(Main[[#This Row],[Tech Start Date]],9),""))))</f>
        <v/>
      </c>
      <c r="Q614" s="67">
        <v>40210</v>
      </c>
      <c r="R614" s="67"/>
      <c r="S614" s="65" t="s">
        <v>11</v>
      </c>
      <c r="T614" s="70" t="s">
        <v>4</v>
      </c>
      <c r="U614" s="65" t="s">
        <v>14</v>
      </c>
      <c r="V614" s="65" t="s">
        <v>1915</v>
      </c>
      <c r="W614" s="65" t="s">
        <v>1920</v>
      </c>
      <c r="X614" s="65" t="s">
        <v>2824</v>
      </c>
      <c r="Y614" s="65" t="s">
        <v>2943</v>
      </c>
      <c r="Z614" s="65" t="s">
        <v>4</v>
      </c>
      <c r="AA614" s="65" t="s">
        <v>2824</v>
      </c>
    </row>
    <row r="615" spans="1:27" ht="17.45" hidden="1" customHeight="1">
      <c r="A615" s="100" t="str">
        <f>IF(priority(Main[[#This Row],[Comments]])&lt;&gt;0, priority(Main[[#This Row],[Comments]]),"")</f>
        <v/>
      </c>
      <c r="B615" s="77" t="s">
        <v>1507</v>
      </c>
      <c r="C615" s="65" t="s">
        <v>4</v>
      </c>
      <c r="D615" s="66" t="s">
        <v>583</v>
      </c>
      <c r="E615" s="67"/>
      <c r="F615" s="67"/>
      <c r="G615" s="64" t="str">
        <f>IF(stdProdLT(Main[[#This Row],[Comments]])=0.1,"N/A",IF(stdProdLT(Main[[#This Row],[Comments]])=0,"",stdProdLT(Main[[#This Row],[Comments]])))</f>
        <v/>
      </c>
      <c r="H615" s="68" t="str">
        <f>IF(AND(Main[[#This Row],[In Stock Date]]&lt;&gt;"",Main[[#This Row],[Revised Due Date]]&lt;&gt;""),Main[[#This Row],[In Stock Date]]-Main[[#This Row],[Revised Due Date]],"")</f>
        <v/>
      </c>
      <c r="I615" s="65" t="s">
        <v>4</v>
      </c>
      <c r="J615" s="65" t="s">
        <v>4</v>
      </c>
      <c r="K615" s="65" t="s">
        <v>4</v>
      </c>
      <c r="L615" s="67"/>
      <c r="M615" s="69" t="str">
        <f>IF(Main[[#This Row],[Tech Start Date]]&lt;1/1/1990,"",IF(Main[[#This Row],[Class]]="C",WORKDAY(Main[[#This Row],[Tech Start Date]],9),IF(Main[[#This Row],[Class]]="B", WORKDAY(Main[[#This Row],[Tech Start Date]],6),IF(Main[[#This Row],[Class]]="A",WORKDAY(Main[[#This Row],[Tech Start Date]],2),""))))</f>
        <v/>
      </c>
      <c r="N615" s="69" t="str">
        <f>IF(Main[[#This Row],[Tech Start Date]]&lt;1/1/1990,"",IF(Main[[#This Row],[Class]]="C",WORKDAY(Main[[#This Row],[Tech Start Date]],19),IF(Main[[#This Row],[Class]]="B", WORKDAY(Main[[#This Row],[Tech Start Date]],12),IF(Main[[#This Row],[Class]]="A",WORKDAY(Main[[#This Row],[Tech Start Date]],4),""))))</f>
        <v/>
      </c>
      <c r="O615" s="69" t="str">
        <f>IF(Main[[#This Row],[Tech Start Date]]&lt;1/1/1990,"",IF(Main[[#This Row],[Class]]="C",WORKDAY(Main[[#This Row],[Tech Start Date]],23),IF(Main[[#This Row],[Class]]="B", WORKDAY(Main[[#This Row],[Tech Start Date]],15),IF(Main[[#This Row],[Class]]="A",WORKDAY(Main[[#This Row],[Tech Start Date]],5),""))))</f>
        <v/>
      </c>
      <c r="P615" s="69" t="str">
        <f>IF(Main[[#This Row],[Tech Start Date]]&lt;1/1/1990,"",IF(Main[[#This Row],[Class]]="C",WORKDAY(Main[[#This Row],[Tech Start Date]],28),IF(Main[[#This Row],[Class]]="B", WORKDAY(Main[[#This Row],[Tech Start Date]],19),IF(Main[[#This Row],[Class]]="A",WORKDAY(Main[[#This Row],[Tech Start Date]],9),""))))</f>
        <v/>
      </c>
      <c r="Q615" s="67">
        <v>40543</v>
      </c>
      <c r="R615" s="67"/>
      <c r="S615" s="65" t="s">
        <v>17</v>
      </c>
      <c r="T615" s="70" t="s">
        <v>4</v>
      </c>
      <c r="U615" s="65" t="s">
        <v>14</v>
      </c>
      <c r="V615" s="65" t="s">
        <v>1929</v>
      </c>
      <c r="W615" s="65" t="s">
        <v>1916</v>
      </c>
      <c r="X615" s="65" t="s">
        <v>129</v>
      </c>
      <c r="Y615" s="65" t="s">
        <v>2933</v>
      </c>
      <c r="Z615" s="65" t="s">
        <v>4</v>
      </c>
      <c r="AA615" s="65" t="s">
        <v>129</v>
      </c>
    </row>
    <row r="616" spans="1:27" ht="17.45" hidden="1" customHeight="1">
      <c r="A616" s="100" t="str">
        <f>IF(priority(Main[[#This Row],[Comments]])&lt;&gt;0, priority(Main[[#This Row],[Comments]]),"")</f>
        <v/>
      </c>
      <c r="B616" s="77" t="s">
        <v>1508</v>
      </c>
      <c r="C616" s="65" t="s">
        <v>378</v>
      </c>
      <c r="D616" s="66" t="s">
        <v>584</v>
      </c>
      <c r="E616" s="67"/>
      <c r="F616" s="67">
        <v>40228</v>
      </c>
      <c r="G616" s="64" t="str">
        <f>IF(stdProdLT(Main[[#This Row],[Comments]])=0.1,"N/A",IF(stdProdLT(Main[[#This Row],[Comments]])=0,"",stdProdLT(Main[[#This Row],[Comments]])))</f>
        <v/>
      </c>
      <c r="H616" s="68" t="str">
        <f>IF(AND(Main[[#This Row],[In Stock Date]]&lt;&gt;"",Main[[#This Row],[Revised Due Date]]&lt;&gt;""),Main[[#This Row],[In Stock Date]]-Main[[#This Row],[Revised Due Date]],"")</f>
        <v/>
      </c>
      <c r="I616" s="65" t="s">
        <v>4</v>
      </c>
      <c r="J616" s="65" t="s">
        <v>4</v>
      </c>
      <c r="K616" s="65" t="s">
        <v>4</v>
      </c>
      <c r="L616" s="67"/>
      <c r="M616" s="69" t="str">
        <f>IF(Main[[#This Row],[Tech Start Date]]&lt;1/1/1990,"",IF(Main[[#This Row],[Class]]="C",WORKDAY(Main[[#This Row],[Tech Start Date]],9),IF(Main[[#This Row],[Class]]="B", WORKDAY(Main[[#This Row],[Tech Start Date]],6),IF(Main[[#This Row],[Class]]="A",WORKDAY(Main[[#This Row],[Tech Start Date]],2),""))))</f>
        <v/>
      </c>
      <c r="N616" s="69" t="str">
        <f>IF(Main[[#This Row],[Tech Start Date]]&lt;1/1/1990,"",IF(Main[[#This Row],[Class]]="C",WORKDAY(Main[[#This Row],[Tech Start Date]],19),IF(Main[[#This Row],[Class]]="B", WORKDAY(Main[[#This Row],[Tech Start Date]],12),IF(Main[[#This Row],[Class]]="A",WORKDAY(Main[[#This Row],[Tech Start Date]],4),""))))</f>
        <v/>
      </c>
      <c r="O616" s="69" t="str">
        <f>IF(Main[[#This Row],[Tech Start Date]]&lt;1/1/1990,"",IF(Main[[#This Row],[Class]]="C",WORKDAY(Main[[#This Row],[Tech Start Date]],23),IF(Main[[#This Row],[Class]]="B", WORKDAY(Main[[#This Row],[Tech Start Date]],15),IF(Main[[#This Row],[Class]]="A",WORKDAY(Main[[#This Row],[Tech Start Date]],5),""))))</f>
        <v/>
      </c>
      <c r="P616" s="69" t="str">
        <f>IF(Main[[#This Row],[Tech Start Date]]&lt;1/1/1990,"",IF(Main[[#This Row],[Class]]="C",WORKDAY(Main[[#This Row],[Tech Start Date]],28),IF(Main[[#This Row],[Class]]="B", WORKDAY(Main[[#This Row],[Tech Start Date]],19),IF(Main[[#This Row],[Class]]="A",WORKDAY(Main[[#This Row],[Tech Start Date]],9),""))))</f>
        <v/>
      </c>
      <c r="Q616" s="67">
        <v>40153</v>
      </c>
      <c r="R616" s="67"/>
      <c r="S616" s="65" t="s">
        <v>11</v>
      </c>
      <c r="T616" s="70" t="s">
        <v>4</v>
      </c>
      <c r="U616" s="65" t="s">
        <v>14</v>
      </c>
      <c r="V616" s="65" t="s">
        <v>1917</v>
      </c>
      <c r="W616" s="65" t="s">
        <v>1922</v>
      </c>
      <c r="X616" s="65" t="s">
        <v>2863</v>
      </c>
      <c r="Y616" s="65" t="s">
        <v>4</v>
      </c>
      <c r="Z616" s="65" t="s">
        <v>4</v>
      </c>
      <c r="AA616" s="65" t="s">
        <v>2863</v>
      </c>
    </row>
    <row r="617" spans="1:27" ht="17.45" hidden="1" customHeight="1">
      <c r="A617" s="100" t="str">
        <f>IF(priority(Main[[#This Row],[Comments]])&lt;&gt;0, priority(Main[[#This Row],[Comments]]),"")</f>
        <v/>
      </c>
      <c r="B617" s="77" t="s">
        <v>1509</v>
      </c>
      <c r="C617" s="65" t="s">
        <v>275</v>
      </c>
      <c r="D617" s="66" t="s">
        <v>585</v>
      </c>
      <c r="E617" s="67"/>
      <c r="F617" s="67">
        <v>40186</v>
      </c>
      <c r="G617" s="64" t="str">
        <f>IF(stdProdLT(Main[[#This Row],[Comments]])=0.1,"N/A",IF(stdProdLT(Main[[#This Row],[Comments]])=0,"",stdProdLT(Main[[#This Row],[Comments]])))</f>
        <v/>
      </c>
      <c r="H617" s="68" t="str">
        <f>IF(AND(Main[[#This Row],[In Stock Date]]&lt;&gt;"",Main[[#This Row],[Revised Due Date]]&lt;&gt;""),Main[[#This Row],[In Stock Date]]-Main[[#This Row],[Revised Due Date]],"")</f>
        <v/>
      </c>
      <c r="I617" s="65" t="s">
        <v>4</v>
      </c>
      <c r="J617" s="65" t="s">
        <v>4</v>
      </c>
      <c r="K617" s="65" t="s">
        <v>4</v>
      </c>
      <c r="L617" s="67"/>
      <c r="M617" s="69" t="str">
        <f>IF(Main[[#This Row],[Tech Start Date]]&lt;1/1/1990,"",IF(Main[[#This Row],[Class]]="C",WORKDAY(Main[[#This Row],[Tech Start Date]],9),IF(Main[[#This Row],[Class]]="B", WORKDAY(Main[[#This Row],[Tech Start Date]],6),IF(Main[[#This Row],[Class]]="A",WORKDAY(Main[[#This Row],[Tech Start Date]],2),""))))</f>
        <v/>
      </c>
      <c r="N617" s="69" t="str">
        <f>IF(Main[[#This Row],[Tech Start Date]]&lt;1/1/1990,"",IF(Main[[#This Row],[Class]]="C",WORKDAY(Main[[#This Row],[Tech Start Date]],19),IF(Main[[#This Row],[Class]]="B", WORKDAY(Main[[#This Row],[Tech Start Date]],12),IF(Main[[#This Row],[Class]]="A",WORKDAY(Main[[#This Row],[Tech Start Date]],4),""))))</f>
        <v/>
      </c>
      <c r="O617" s="69" t="str">
        <f>IF(Main[[#This Row],[Tech Start Date]]&lt;1/1/1990,"",IF(Main[[#This Row],[Class]]="C",WORKDAY(Main[[#This Row],[Tech Start Date]],23),IF(Main[[#This Row],[Class]]="B", WORKDAY(Main[[#This Row],[Tech Start Date]],15),IF(Main[[#This Row],[Class]]="A",WORKDAY(Main[[#This Row],[Tech Start Date]],5),""))))</f>
        <v/>
      </c>
      <c r="P617" s="69" t="str">
        <f>IF(Main[[#This Row],[Tech Start Date]]&lt;1/1/1990,"",IF(Main[[#This Row],[Class]]="C",WORKDAY(Main[[#This Row],[Tech Start Date]],28),IF(Main[[#This Row],[Class]]="B", WORKDAY(Main[[#This Row],[Tech Start Date]],19),IF(Main[[#This Row],[Class]]="A",WORKDAY(Main[[#This Row],[Tech Start Date]],9),""))))</f>
        <v/>
      </c>
      <c r="Q617" s="67">
        <v>40186</v>
      </c>
      <c r="R617" s="67"/>
      <c r="S617" s="65" t="s">
        <v>11</v>
      </c>
      <c r="T617" s="70" t="s">
        <v>4</v>
      </c>
      <c r="U617" s="65" t="s">
        <v>14</v>
      </c>
      <c r="V617" s="65" t="s">
        <v>1917</v>
      </c>
      <c r="W617" s="65" t="s">
        <v>1922</v>
      </c>
      <c r="X617" s="65" t="s">
        <v>2842</v>
      </c>
      <c r="Y617" s="65" t="s">
        <v>4</v>
      </c>
      <c r="Z617" s="65" t="s">
        <v>4</v>
      </c>
      <c r="AA617" s="65" t="s">
        <v>2842</v>
      </c>
    </row>
    <row r="618" spans="1:27" ht="17.45" hidden="1" customHeight="1">
      <c r="A618" s="100" t="str">
        <f>IF(priority(Main[[#This Row],[Comments]])&lt;&gt;0, priority(Main[[#This Row],[Comments]]),"")</f>
        <v/>
      </c>
      <c r="B618" s="77" t="s">
        <v>2258</v>
      </c>
      <c r="C618" s="65" t="s">
        <v>2254</v>
      </c>
      <c r="D618" s="66" t="s">
        <v>2255</v>
      </c>
      <c r="E618" s="67"/>
      <c r="F618" s="67"/>
      <c r="G618" s="64" t="str">
        <f>IF(stdProdLT(Main[[#This Row],[Comments]])=0.1,"N/A",IF(stdProdLT(Main[[#This Row],[Comments]])=0,"",stdProdLT(Main[[#This Row],[Comments]])))</f>
        <v/>
      </c>
      <c r="H618" s="68" t="str">
        <f>IF(AND(Main[[#This Row],[In Stock Date]]&lt;&gt;"",Main[[#This Row],[Revised Due Date]]&lt;&gt;""),Main[[#This Row],[In Stock Date]]-Main[[#This Row],[Revised Due Date]],"")</f>
        <v/>
      </c>
      <c r="I618" s="65" t="s">
        <v>4</v>
      </c>
      <c r="J618" s="65" t="s">
        <v>4</v>
      </c>
      <c r="K618" s="65" t="s">
        <v>4</v>
      </c>
      <c r="L618" s="67"/>
      <c r="M618" s="69" t="str">
        <f>IF(Main[[#This Row],[Tech Start Date]]&lt;1/1/1990,"",IF(Main[[#This Row],[Class]]="C",WORKDAY(Main[[#This Row],[Tech Start Date]],9),IF(Main[[#This Row],[Class]]="B", WORKDAY(Main[[#This Row],[Tech Start Date]],6),IF(Main[[#This Row],[Class]]="A",WORKDAY(Main[[#This Row],[Tech Start Date]],2),""))))</f>
        <v/>
      </c>
      <c r="N618" s="69" t="str">
        <f>IF(Main[[#This Row],[Tech Start Date]]&lt;1/1/1990,"",IF(Main[[#This Row],[Class]]="C",WORKDAY(Main[[#This Row],[Tech Start Date]],19),IF(Main[[#This Row],[Class]]="B", WORKDAY(Main[[#This Row],[Tech Start Date]],12),IF(Main[[#This Row],[Class]]="A",WORKDAY(Main[[#This Row],[Tech Start Date]],4),""))))</f>
        <v/>
      </c>
      <c r="O618" s="69" t="str">
        <f>IF(Main[[#This Row],[Tech Start Date]]&lt;1/1/1990,"",IF(Main[[#This Row],[Class]]="C",WORKDAY(Main[[#This Row],[Tech Start Date]],23),IF(Main[[#This Row],[Class]]="B", WORKDAY(Main[[#This Row],[Tech Start Date]],15),IF(Main[[#This Row],[Class]]="A",WORKDAY(Main[[#This Row],[Tech Start Date]],5),""))))</f>
        <v/>
      </c>
      <c r="P618" s="69" t="str">
        <f>IF(Main[[#This Row],[Tech Start Date]]&lt;1/1/1990,"",IF(Main[[#This Row],[Class]]="C",WORKDAY(Main[[#This Row],[Tech Start Date]],28),IF(Main[[#This Row],[Class]]="B", WORKDAY(Main[[#This Row],[Tech Start Date]],19),IF(Main[[#This Row],[Class]]="A",WORKDAY(Main[[#This Row],[Tech Start Date]],9),""))))</f>
        <v/>
      </c>
      <c r="Q618" s="67">
        <v>40806</v>
      </c>
      <c r="R618" s="67"/>
      <c r="S618" s="65" t="s">
        <v>6</v>
      </c>
      <c r="T618" s="70" t="s">
        <v>4</v>
      </c>
      <c r="U618" s="65" t="s">
        <v>12</v>
      </c>
      <c r="V618" s="65" t="s">
        <v>1915</v>
      </c>
      <c r="W618" s="65" t="s">
        <v>1922</v>
      </c>
      <c r="X618" s="65" t="s">
        <v>2879</v>
      </c>
      <c r="Y618" s="65" t="s">
        <v>3027</v>
      </c>
      <c r="Z618" s="65" t="s">
        <v>4</v>
      </c>
      <c r="AA618" s="65" t="s">
        <v>2879</v>
      </c>
    </row>
    <row r="619" spans="1:27" ht="17.45" hidden="1" customHeight="1">
      <c r="A619" s="100" t="str">
        <f>IF(priority(Main[[#This Row],[Comments]])&lt;&gt;0, priority(Main[[#This Row],[Comments]]),"")</f>
        <v/>
      </c>
      <c r="B619" s="77" t="s">
        <v>1510</v>
      </c>
      <c r="C619" s="65" t="s">
        <v>93</v>
      </c>
      <c r="D619" s="66" t="s">
        <v>586</v>
      </c>
      <c r="E619" s="67"/>
      <c r="F619" s="67">
        <v>40302</v>
      </c>
      <c r="G619" s="64" t="str">
        <f>IF(stdProdLT(Main[[#This Row],[Comments]])=0.1,"N/A",IF(stdProdLT(Main[[#This Row],[Comments]])=0,"",stdProdLT(Main[[#This Row],[Comments]])))</f>
        <v/>
      </c>
      <c r="H619" s="68" t="str">
        <f>IF(AND(Main[[#This Row],[In Stock Date]]&lt;&gt;"",Main[[#This Row],[Revised Due Date]]&lt;&gt;""),Main[[#This Row],[In Stock Date]]-Main[[#This Row],[Revised Due Date]],"")</f>
        <v/>
      </c>
      <c r="I619" s="65" t="s">
        <v>4</v>
      </c>
      <c r="J619" s="65" t="s">
        <v>4</v>
      </c>
      <c r="K619" s="65" t="s">
        <v>4</v>
      </c>
      <c r="L619" s="67"/>
      <c r="M619" s="69" t="str">
        <f>IF(Main[[#This Row],[Tech Start Date]]&lt;1/1/1990,"",IF(Main[[#This Row],[Class]]="C",WORKDAY(Main[[#This Row],[Tech Start Date]],9),IF(Main[[#This Row],[Class]]="B", WORKDAY(Main[[#This Row],[Tech Start Date]],6),IF(Main[[#This Row],[Class]]="A",WORKDAY(Main[[#This Row],[Tech Start Date]],2),""))))</f>
        <v/>
      </c>
      <c r="N619" s="69" t="str">
        <f>IF(Main[[#This Row],[Tech Start Date]]&lt;1/1/1990,"",IF(Main[[#This Row],[Class]]="C",WORKDAY(Main[[#This Row],[Tech Start Date]],19),IF(Main[[#This Row],[Class]]="B", WORKDAY(Main[[#This Row],[Tech Start Date]],12),IF(Main[[#This Row],[Class]]="A",WORKDAY(Main[[#This Row],[Tech Start Date]],4),""))))</f>
        <v/>
      </c>
      <c r="O619" s="69" t="str">
        <f>IF(Main[[#This Row],[Tech Start Date]]&lt;1/1/1990,"",IF(Main[[#This Row],[Class]]="C",WORKDAY(Main[[#This Row],[Tech Start Date]],23),IF(Main[[#This Row],[Class]]="B", WORKDAY(Main[[#This Row],[Tech Start Date]],15),IF(Main[[#This Row],[Class]]="A",WORKDAY(Main[[#This Row],[Tech Start Date]],5),""))))</f>
        <v/>
      </c>
      <c r="P619" s="69" t="str">
        <f>IF(Main[[#This Row],[Tech Start Date]]&lt;1/1/1990,"",IF(Main[[#This Row],[Class]]="C",WORKDAY(Main[[#This Row],[Tech Start Date]],28),IF(Main[[#This Row],[Class]]="B", WORKDAY(Main[[#This Row],[Tech Start Date]],19),IF(Main[[#This Row],[Class]]="A",WORKDAY(Main[[#This Row],[Tech Start Date]],9),""))))</f>
        <v/>
      </c>
      <c r="Q619" s="67">
        <v>40190</v>
      </c>
      <c r="R619" s="67"/>
      <c r="S619" s="65" t="s">
        <v>11</v>
      </c>
      <c r="T619" s="70" t="s">
        <v>4</v>
      </c>
      <c r="U619" s="65" t="s">
        <v>12</v>
      </c>
      <c r="V619" s="65" t="s">
        <v>1924</v>
      </c>
      <c r="W619" s="65" t="s">
        <v>1920</v>
      </c>
      <c r="X619" s="65" t="s">
        <v>2898</v>
      </c>
      <c r="Y619" s="65" t="s">
        <v>4</v>
      </c>
      <c r="Z619" s="65" t="s">
        <v>4</v>
      </c>
      <c r="AA619" s="65" t="s">
        <v>2898</v>
      </c>
    </row>
    <row r="620" spans="1:27" ht="17.45" hidden="1" customHeight="1">
      <c r="A620" s="100" t="str">
        <f>IF(priority(Main[[#This Row],[Comments]])&lt;&gt;0, priority(Main[[#This Row],[Comments]]),"")</f>
        <v/>
      </c>
      <c r="B620" s="77" t="s">
        <v>1511</v>
      </c>
      <c r="C620" s="65" t="s">
        <v>4</v>
      </c>
      <c r="D620" s="66" t="s">
        <v>587</v>
      </c>
      <c r="E620" s="67"/>
      <c r="F620" s="67">
        <v>40330</v>
      </c>
      <c r="G620" s="64" t="str">
        <f>IF(stdProdLT(Main[[#This Row],[Comments]])=0.1,"N/A",IF(stdProdLT(Main[[#This Row],[Comments]])=0,"",stdProdLT(Main[[#This Row],[Comments]])))</f>
        <v/>
      </c>
      <c r="H620" s="68" t="str">
        <f>IF(AND(Main[[#This Row],[In Stock Date]]&lt;&gt;"",Main[[#This Row],[Revised Due Date]]&lt;&gt;""),Main[[#This Row],[In Stock Date]]-Main[[#This Row],[Revised Due Date]],"")</f>
        <v/>
      </c>
      <c r="I620" s="65" t="s">
        <v>4</v>
      </c>
      <c r="J620" s="65" t="s">
        <v>4</v>
      </c>
      <c r="K620" s="71" t="s">
        <v>4</v>
      </c>
      <c r="L620" s="67"/>
      <c r="M620" s="69" t="str">
        <f>IF(Main[[#This Row],[Tech Start Date]]&lt;1/1/1990,"",IF(Main[[#This Row],[Class]]="C",WORKDAY(Main[[#This Row],[Tech Start Date]],9),IF(Main[[#This Row],[Class]]="B", WORKDAY(Main[[#This Row],[Tech Start Date]],6),IF(Main[[#This Row],[Class]]="A",WORKDAY(Main[[#This Row],[Tech Start Date]],2),""))))</f>
        <v/>
      </c>
      <c r="N620" s="69" t="str">
        <f>IF(Main[[#This Row],[Tech Start Date]]&lt;1/1/1990,"",IF(Main[[#This Row],[Class]]="C",WORKDAY(Main[[#This Row],[Tech Start Date]],19),IF(Main[[#This Row],[Class]]="B", WORKDAY(Main[[#This Row],[Tech Start Date]],12),IF(Main[[#This Row],[Class]]="A",WORKDAY(Main[[#This Row],[Tech Start Date]],4),""))))</f>
        <v/>
      </c>
      <c r="O620" s="69" t="str">
        <f>IF(Main[[#This Row],[Tech Start Date]]&lt;1/1/1990,"",IF(Main[[#This Row],[Class]]="C",WORKDAY(Main[[#This Row],[Tech Start Date]],23),IF(Main[[#This Row],[Class]]="B", WORKDAY(Main[[#This Row],[Tech Start Date]],15),IF(Main[[#This Row],[Class]]="A",WORKDAY(Main[[#This Row],[Tech Start Date]],5),""))))</f>
        <v/>
      </c>
      <c r="P620" s="69" t="str">
        <f>IF(Main[[#This Row],[Tech Start Date]]&lt;1/1/1990,"",IF(Main[[#This Row],[Class]]="C",WORKDAY(Main[[#This Row],[Tech Start Date]],28),IF(Main[[#This Row],[Class]]="B", WORKDAY(Main[[#This Row],[Tech Start Date]],19),IF(Main[[#This Row],[Class]]="A",WORKDAY(Main[[#This Row],[Tech Start Date]],9),""))))</f>
        <v/>
      </c>
      <c r="Q620" s="67">
        <v>40210</v>
      </c>
      <c r="R620" s="67"/>
      <c r="S620" s="65" t="s">
        <v>11</v>
      </c>
      <c r="T620" s="70" t="s">
        <v>4</v>
      </c>
      <c r="U620" s="65" t="s">
        <v>12</v>
      </c>
      <c r="V620" s="65" t="s">
        <v>1915</v>
      </c>
      <c r="W620" s="65" t="s">
        <v>1920</v>
      </c>
      <c r="X620" s="65" t="s">
        <v>2824</v>
      </c>
      <c r="Y620" s="65" t="s">
        <v>2943</v>
      </c>
      <c r="Z620" s="65" t="s">
        <v>4</v>
      </c>
      <c r="AA620" s="65" t="s">
        <v>2824</v>
      </c>
    </row>
    <row r="621" spans="1:27" ht="17.45" hidden="1" customHeight="1">
      <c r="A621" s="100" t="str">
        <f>IF(priority(Main[[#This Row],[Comments]])&lt;&gt;0, priority(Main[[#This Row],[Comments]]),"")</f>
        <v/>
      </c>
      <c r="B621" s="77" t="s">
        <v>1512</v>
      </c>
      <c r="C621" s="65" t="s">
        <v>4</v>
      </c>
      <c r="D621" s="66" t="s">
        <v>588</v>
      </c>
      <c r="E621" s="67">
        <v>40217.626817129632</v>
      </c>
      <c r="F621" s="67"/>
      <c r="G621" s="64" t="str">
        <f>IF(stdProdLT(Main[[#This Row],[Comments]])=0.1,"N/A",IF(stdProdLT(Main[[#This Row],[Comments]])=0,"",stdProdLT(Main[[#This Row],[Comments]])))</f>
        <v/>
      </c>
      <c r="H621" s="68" t="str">
        <f>IF(AND(Main[[#This Row],[In Stock Date]]&lt;&gt;"",Main[[#This Row],[Revised Due Date]]&lt;&gt;""),Main[[#This Row],[In Stock Date]]-Main[[#This Row],[Revised Due Date]],"")</f>
        <v/>
      </c>
      <c r="I621" s="65" t="s">
        <v>4</v>
      </c>
      <c r="J621" s="65" t="s">
        <v>4</v>
      </c>
      <c r="K621" s="65" t="s">
        <v>4</v>
      </c>
      <c r="L621" s="67"/>
      <c r="M621" s="69" t="str">
        <f>IF(Main[[#This Row],[Tech Start Date]]&lt;1/1/1990,"",IF(Main[[#This Row],[Class]]="C",WORKDAY(Main[[#This Row],[Tech Start Date]],9),IF(Main[[#This Row],[Class]]="B", WORKDAY(Main[[#This Row],[Tech Start Date]],6),IF(Main[[#This Row],[Class]]="A",WORKDAY(Main[[#This Row],[Tech Start Date]],2),""))))</f>
        <v/>
      </c>
      <c r="N621" s="69" t="str">
        <f>IF(Main[[#This Row],[Tech Start Date]]&lt;1/1/1990,"",IF(Main[[#This Row],[Class]]="C",WORKDAY(Main[[#This Row],[Tech Start Date]],19),IF(Main[[#This Row],[Class]]="B", WORKDAY(Main[[#This Row],[Tech Start Date]],12),IF(Main[[#This Row],[Class]]="A",WORKDAY(Main[[#This Row],[Tech Start Date]],4),""))))</f>
        <v/>
      </c>
      <c r="O621" s="69" t="str">
        <f>IF(Main[[#This Row],[Tech Start Date]]&lt;1/1/1990,"",IF(Main[[#This Row],[Class]]="C",WORKDAY(Main[[#This Row],[Tech Start Date]],23),IF(Main[[#This Row],[Class]]="B", WORKDAY(Main[[#This Row],[Tech Start Date]],15),IF(Main[[#This Row],[Class]]="A",WORKDAY(Main[[#This Row],[Tech Start Date]],5),""))))</f>
        <v/>
      </c>
      <c r="P621" s="69" t="str">
        <f>IF(Main[[#This Row],[Tech Start Date]]&lt;1/1/1990,"",IF(Main[[#This Row],[Class]]="C",WORKDAY(Main[[#This Row],[Tech Start Date]],28),IF(Main[[#This Row],[Class]]="B", WORKDAY(Main[[#This Row],[Tech Start Date]],19),IF(Main[[#This Row],[Class]]="A",WORKDAY(Main[[#This Row],[Tech Start Date]],9),""))))</f>
        <v/>
      </c>
      <c r="Q621" s="67">
        <v>40229</v>
      </c>
      <c r="R621" s="67"/>
      <c r="S621" s="65" t="s">
        <v>6</v>
      </c>
      <c r="T621" s="70" t="s">
        <v>4</v>
      </c>
      <c r="U621" s="65" t="s">
        <v>7</v>
      </c>
      <c r="V621" s="65" t="s">
        <v>1914</v>
      </c>
      <c r="W621" s="65" t="s">
        <v>1918</v>
      </c>
      <c r="X621" s="65" t="s">
        <v>2821</v>
      </c>
      <c r="Y621" s="65" t="s">
        <v>2936</v>
      </c>
      <c r="Z621" s="65" t="s">
        <v>4</v>
      </c>
      <c r="AA621" s="65" t="s">
        <v>2821</v>
      </c>
    </row>
    <row r="622" spans="1:27" ht="17.45" hidden="1" customHeight="1">
      <c r="A622" s="100" t="str">
        <f>IF(priority(Main[[#This Row],[Comments]])&lt;&gt;0, priority(Main[[#This Row],[Comments]]),"")</f>
        <v/>
      </c>
      <c r="B622" s="77" t="s">
        <v>1551</v>
      </c>
      <c r="C622" s="65" t="s">
        <v>95</v>
      </c>
      <c r="D622" s="66" t="s">
        <v>634</v>
      </c>
      <c r="E622" s="67"/>
      <c r="F622" s="67">
        <v>40195</v>
      </c>
      <c r="G622" s="64" t="str">
        <f>IF(stdProdLT(Main[[#This Row],[Comments]])=0.1,"N/A",IF(stdProdLT(Main[[#This Row],[Comments]])=0,"",stdProdLT(Main[[#This Row],[Comments]])))</f>
        <v/>
      </c>
      <c r="H622" s="68" t="str">
        <f>IF(AND(Main[[#This Row],[In Stock Date]]&lt;&gt;"",Main[[#This Row],[Revised Due Date]]&lt;&gt;""),Main[[#This Row],[In Stock Date]]-Main[[#This Row],[Revised Due Date]],"")</f>
        <v/>
      </c>
      <c r="I622" s="65" t="s">
        <v>4</v>
      </c>
      <c r="J622" s="65" t="s">
        <v>4</v>
      </c>
      <c r="K622" s="71" t="s">
        <v>4</v>
      </c>
      <c r="L622" s="67"/>
      <c r="M622" s="69" t="str">
        <f>IF(Main[[#This Row],[Tech Start Date]]&lt;1/1/1990,"",IF(Main[[#This Row],[Class]]="C",WORKDAY(Main[[#This Row],[Tech Start Date]],9),IF(Main[[#This Row],[Class]]="B", WORKDAY(Main[[#This Row],[Tech Start Date]],6),IF(Main[[#This Row],[Class]]="A",WORKDAY(Main[[#This Row],[Tech Start Date]],2),""))))</f>
        <v/>
      </c>
      <c r="N622" s="69" t="str">
        <f>IF(Main[[#This Row],[Tech Start Date]]&lt;1/1/1990,"",IF(Main[[#This Row],[Class]]="C",WORKDAY(Main[[#This Row],[Tech Start Date]],19),IF(Main[[#This Row],[Class]]="B", WORKDAY(Main[[#This Row],[Tech Start Date]],12),IF(Main[[#This Row],[Class]]="A",WORKDAY(Main[[#This Row],[Tech Start Date]],4),""))))</f>
        <v/>
      </c>
      <c r="O622" s="69" t="str">
        <f>IF(Main[[#This Row],[Tech Start Date]]&lt;1/1/1990,"",IF(Main[[#This Row],[Class]]="C",WORKDAY(Main[[#This Row],[Tech Start Date]],23),IF(Main[[#This Row],[Class]]="B", WORKDAY(Main[[#This Row],[Tech Start Date]],15),IF(Main[[#This Row],[Class]]="A",WORKDAY(Main[[#This Row],[Tech Start Date]],5),""))))</f>
        <v/>
      </c>
      <c r="P622" s="69" t="str">
        <f>IF(Main[[#This Row],[Tech Start Date]]&lt;1/1/1990,"",IF(Main[[#This Row],[Class]]="C",WORKDAY(Main[[#This Row],[Tech Start Date]],28),IF(Main[[#This Row],[Class]]="B", WORKDAY(Main[[#This Row],[Tech Start Date]],19),IF(Main[[#This Row],[Class]]="A",WORKDAY(Main[[#This Row],[Tech Start Date]],9),""))))</f>
        <v/>
      </c>
      <c r="Q622" s="67">
        <v>40070</v>
      </c>
      <c r="R622" s="67"/>
      <c r="S622" s="65" t="s">
        <v>11</v>
      </c>
      <c r="T622" s="70" t="s">
        <v>4</v>
      </c>
      <c r="U622" s="65" t="s">
        <v>14</v>
      </c>
      <c r="V622" s="65" t="s">
        <v>1917</v>
      </c>
      <c r="W622" s="65" t="s">
        <v>1920</v>
      </c>
      <c r="X622" s="65" t="s">
        <v>2876</v>
      </c>
      <c r="Y622" s="65" t="s">
        <v>4</v>
      </c>
      <c r="Z622" s="65" t="s">
        <v>4</v>
      </c>
      <c r="AA622" s="65" t="s">
        <v>3407</v>
      </c>
    </row>
    <row r="623" spans="1:27" ht="17.45" hidden="1" customHeight="1">
      <c r="A623" s="100" t="str">
        <f>IF(priority(Main[[#This Row],[Comments]])&lt;&gt;0, priority(Main[[#This Row],[Comments]]),"")</f>
        <v/>
      </c>
      <c r="B623" s="77" t="s">
        <v>1552</v>
      </c>
      <c r="C623" s="65" t="s">
        <v>4</v>
      </c>
      <c r="D623" s="66" t="s">
        <v>632</v>
      </c>
      <c r="E623" s="67"/>
      <c r="F623" s="67"/>
      <c r="G623" s="64" t="str">
        <f>IF(stdProdLT(Main[[#This Row],[Comments]])=0.1,"N/A",IF(stdProdLT(Main[[#This Row],[Comments]])=0,"",stdProdLT(Main[[#This Row],[Comments]])))</f>
        <v/>
      </c>
      <c r="H623" s="68" t="str">
        <f>IF(AND(Main[[#This Row],[In Stock Date]]&lt;&gt;"",Main[[#This Row],[Revised Due Date]]&lt;&gt;""),Main[[#This Row],[In Stock Date]]-Main[[#This Row],[Revised Due Date]],"")</f>
        <v/>
      </c>
      <c r="I623" s="65" t="s">
        <v>399</v>
      </c>
      <c r="J623" s="65" t="s">
        <v>75</v>
      </c>
      <c r="K623" s="65" t="s">
        <v>4</v>
      </c>
      <c r="L623" s="67"/>
      <c r="M623" s="69" t="str">
        <f>IF(Main[[#This Row],[Tech Start Date]]&lt;1/1/1990,"",IF(Main[[#This Row],[Class]]="C",WORKDAY(Main[[#This Row],[Tech Start Date]],9),IF(Main[[#This Row],[Class]]="B", WORKDAY(Main[[#This Row],[Tech Start Date]],6),IF(Main[[#This Row],[Class]]="A",WORKDAY(Main[[#This Row],[Tech Start Date]],2),""))))</f>
        <v/>
      </c>
      <c r="N623" s="69" t="str">
        <f>IF(Main[[#This Row],[Tech Start Date]]&lt;1/1/1990,"",IF(Main[[#This Row],[Class]]="C",WORKDAY(Main[[#This Row],[Tech Start Date]],19),IF(Main[[#This Row],[Class]]="B", WORKDAY(Main[[#This Row],[Tech Start Date]],12),IF(Main[[#This Row],[Class]]="A",WORKDAY(Main[[#This Row],[Tech Start Date]],4),""))))</f>
        <v/>
      </c>
      <c r="O623" s="69" t="str">
        <f>IF(Main[[#This Row],[Tech Start Date]]&lt;1/1/1990,"",IF(Main[[#This Row],[Class]]="C",WORKDAY(Main[[#This Row],[Tech Start Date]],23),IF(Main[[#This Row],[Class]]="B", WORKDAY(Main[[#This Row],[Tech Start Date]],15),IF(Main[[#This Row],[Class]]="A",WORKDAY(Main[[#This Row],[Tech Start Date]],5),""))))</f>
        <v/>
      </c>
      <c r="P623" s="69" t="str">
        <f>IF(Main[[#This Row],[Tech Start Date]]&lt;1/1/1990,"",IF(Main[[#This Row],[Class]]="C",WORKDAY(Main[[#This Row],[Tech Start Date]],28),IF(Main[[#This Row],[Class]]="B", WORKDAY(Main[[#This Row],[Tech Start Date]],19),IF(Main[[#This Row],[Class]]="A",WORKDAY(Main[[#This Row],[Tech Start Date]],9),""))))</f>
        <v/>
      </c>
      <c r="Q623" s="67">
        <v>40186</v>
      </c>
      <c r="R623" s="67"/>
      <c r="S623" s="65" t="s">
        <v>6</v>
      </c>
      <c r="T623" s="70" t="s">
        <v>4</v>
      </c>
      <c r="U623" s="65" t="s">
        <v>14</v>
      </c>
      <c r="V623" s="65" t="s">
        <v>1917</v>
      </c>
      <c r="W623" s="65" t="s">
        <v>1925</v>
      </c>
      <c r="X623" s="65" t="s">
        <v>883</v>
      </c>
      <c r="Y623" s="65" t="s">
        <v>2963</v>
      </c>
      <c r="Z623" s="65" t="s">
        <v>306</v>
      </c>
      <c r="AA623" s="65" t="s">
        <v>883</v>
      </c>
    </row>
    <row r="624" spans="1:27" ht="17.45" hidden="1" customHeight="1">
      <c r="A624" s="100" t="str">
        <f>IF(priority(Main[[#This Row],[Comments]])&lt;&gt;0, priority(Main[[#This Row],[Comments]]),"")</f>
        <v/>
      </c>
      <c r="B624" s="77" t="s">
        <v>1553</v>
      </c>
      <c r="C624" s="65" t="s">
        <v>4</v>
      </c>
      <c r="D624" s="66" t="s">
        <v>633</v>
      </c>
      <c r="E624" s="67"/>
      <c r="F624" s="67"/>
      <c r="G624" s="64" t="str">
        <f>IF(stdProdLT(Main[[#This Row],[Comments]])=0.1,"N/A",IF(stdProdLT(Main[[#This Row],[Comments]])=0,"",stdProdLT(Main[[#This Row],[Comments]])))</f>
        <v/>
      </c>
      <c r="H624" s="68" t="str">
        <f>IF(AND(Main[[#This Row],[In Stock Date]]&lt;&gt;"",Main[[#This Row],[Revised Due Date]]&lt;&gt;""),Main[[#This Row],[In Stock Date]]-Main[[#This Row],[Revised Due Date]],"")</f>
        <v/>
      </c>
      <c r="I624" s="65" t="s">
        <v>4</v>
      </c>
      <c r="J624" s="65" t="s">
        <v>4</v>
      </c>
      <c r="K624" s="65" t="s">
        <v>4</v>
      </c>
      <c r="L624" s="67"/>
      <c r="M624" s="69" t="str">
        <f>IF(Main[[#This Row],[Tech Start Date]]&lt;1/1/1990,"",IF(Main[[#This Row],[Class]]="C",WORKDAY(Main[[#This Row],[Tech Start Date]],9),IF(Main[[#This Row],[Class]]="B", WORKDAY(Main[[#This Row],[Tech Start Date]],6),IF(Main[[#This Row],[Class]]="A",WORKDAY(Main[[#This Row],[Tech Start Date]],2),""))))</f>
        <v/>
      </c>
      <c r="N624" s="69" t="str">
        <f>IF(Main[[#This Row],[Tech Start Date]]&lt;1/1/1990,"",IF(Main[[#This Row],[Class]]="C",WORKDAY(Main[[#This Row],[Tech Start Date]],19),IF(Main[[#This Row],[Class]]="B", WORKDAY(Main[[#This Row],[Tech Start Date]],12),IF(Main[[#This Row],[Class]]="A",WORKDAY(Main[[#This Row],[Tech Start Date]],4),""))))</f>
        <v/>
      </c>
      <c r="O624" s="69" t="str">
        <f>IF(Main[[#This Row],[Tech Start Date]]&lt;1/1/1990,"",IF(Main[[#This Row],[Class]]="C",WORKDAY(Main[[#This Row],[Tech Start Date]],23),IF(Main[[#This Row],[Class]]="B", WORKDAY(Main[[#This Row],[Tech Start Date]],15),IF(Main[[#This Row],[Class]]="A",WORKDAY(Main[[#This Row],[Tech Start Date]],5),""))))</f>
        <v/>
      </c>
      <c r="P624" s="69" t="str">
        <f>IF(Main[[#This Row],[Tech Start Date]]&lt;1/1/1990,"",IF(Main[[#This Row],[Class]]="C",WORKDAY(Main[[#This Row],[Tech Start Date]],28),IF(Main[[#This Row],[Class]]="B", WORKDAY(Main[[#This Row],[Tech Start Date]],19),IF(Main[[#This Row],[Class]]="A",WORKDAY(Main[[#This Row],[Tech Start Date]],9),""))))</f>
        <v/>
      </c>
      <c r="Q624" s="67">
        <v>40389</v>
      </c>
      <c r="R624" s="67"/>
      <c r="S624" s="65" t="s">
        <v>6</v>
      </c>
      <c r="T624" s="70" t="s">
        <v>4</v>
      </c>
      <c r="U624" s="65" t="s">
        <v>12</v>
      </c>
      <c r="V624" s="65" t="s">
        <v>1914</v>
      </c>
      <c r="W624" s="65" t="s">
        <v>4</v>
      </c>
      <c r="X624" s="65" t="s">
        <v>907</v>
      </c>
      <c r="Y624" s="65" t="s">
        <v>3017</v>
      </c>
      <c r="Z624" s="65" t="s">
        <v>4</v>
      </c>
      <c r="AA624" s="65" t="s">
        <v>907</v>
      </c>
    </row>
    <row r="625" spans="1:27" ht="17.45" hidden="1" customHeight="1">
      <c r="A625" s="100" t="str">
        <f>IF(priority(Main[[#This Row],[Comments]])&lt;&gt;0, priority(Main[[#This Row],[Comments]]),"")</f>
        <v/>
      </c>
      <c r="B625" s="77" t="s">
        <v>1578</v>
      </c>
      <c r="C625" s="65" t="s">
        <v>79</v>
      </c>
      <c r="D625" s="66" t="s">
        <v>657</v>
      </c>
      <c r="E625" s="67"/>
      <c r="F625" s="67"/>
      <c r="G625" s="64" t="str">
        <f>IF(stdProdLT(Main[[#This Row],[Comments]])=0.1,"N/A",IF(stdProdLT(Main[[#This Row],[Comments]])=0,"",stdProdLT(Main[[#This Row],[Comments]])))</f>
        <v/>
      </c>
      <c r="H625" s="68" t="str">
        <f>IF(AND(Main[[#This Row],[In Stock Date]]&lt;&gt;"",Main[[#This Row],[Revised Due Date]]&lt;&gt;""),Main[[#This Row],[In Stock Date]]-Main[[#This Row],[Revised Due Date]],"")</f>
        <v/>
      </c>
      <c r="I625" s="65" t="s">
        <v>4</v>
      </c>
      <c r="J625" s="65" t="s">
        <v>28</v>
      </c>
      <c r="K625" s="65" t="s">
        <v>4</v>
      </c>
      <c r="L625" s="67"/>
      <c r="M625" s="69" t="str">
        <f>IF(Main[[#This Row],[Tech Start Date]]&lt;1/1/1990,"",IF(Main[[#This Row],[Class]]="C",WORKDAY(Main[[#This Row],[Tech Start Date]],9),IF(Main[[#This Row],[Class]]="B", WORKDAY(Main[[#This Row],[Tech Start Date]],6),IF(Main[[#This Row],[Class]]="A",WORKDAY(Main[[#This Row],[Tech Start Date]],2),""))))</f>
        <v/>
      </c>
      <c r="N625" s="69" t="str">
        <f>IF(Main[[#This Row],[Tech Start Date]]&lt;1/1/1990,"",IF(Main[[#This Row],[Class]]="C",WORKDAY(Main[[#This Row],[Tech Start Date]],19),IF(Main[[#This Row],[Class]]="B", WORKDAY(Main[[#This Row],[Tech Start Date]],12),IF(Main[[#This Row],[Class]]="A",WORKDAY(Main[[#This Row],[Tech Start Date]],4),""))))</f>
        <v/>
      </c>
      <c r="O625" s="69" t="str">
        <f>IF(Main[[#This Row],[Tech Start Date]]&lt;1/1/1990,"",IF(Main[[#This Row],[Class]]="C",WORKDAY(Main[[#This Row],[Tech Start Date]],23),IF(Main[[#This Row],[Class]]="B", WORKDAY(Main[[#This Row],[Tech Start Date]],15),IF(Main[[#This Row],[Class]]="A",WORKDAY(Main[[#This Row],[Tech Start Date]],5),""))))</f>
        <v/>
      </c>
      <c r="P625" s="69" t="str">
        <f>IF(Main[[#This Row],[Tech Start Date]]&lt;1/1/1990,"",IF(Main[[#This Row],[Class]]="C",WORKDAY(Main[[#This Row],[Tech Start Date]],28),IF(Main[[#This Row],[Class]]="B", WORKDAY(Main[[#This Row],[Tech Start Date]],19),IF(Main[[#This Row],[Class]]="A",WORKDAY(Main[[#This Row],[Tech Start Date]],9),""))))</f>
        <v/>
      </c>
      <c r="Q625" s="67"/>
      <c r="R625" s="67"/>
      <c r="S625" s="65" t="s">
        <v>6</v>
      </c>
      <c r="T625" s="70" t="s">
        <v>658</v>
      </c>
      <c r="U625" s="65" t="s">
        <v>14</v>
      </c>
      <c r="V625" s="65" t="s">
        <v>1915</v>
      </c>
      <c r="W625" s="65" t="s">
        <v>1916</v>
      </c>
      <c r="X625" s="65" t="s">
        <v>2861</v>
      </c>
      <c r="Y625" s="65" t="s">
        <v>3005</v>
      </c>
      <c r="Z625" s="65" t="s">
        <v>108</v>
      </c>
      <c r="AA625" s="65" t="s">
        <v>2861</v>
      </c>
    </row>
    <row r="626" spans="1:27" ht="17.45" hidden="1" customHeight="1">
      <c r="A626" s="100" t="str">
        <f>IF(priority(Main[[#This Row],[Comments]])&lt;&gt;0, priority(Main[[#This Row],[Comments]]),"")</f>
        <v/>
      </c>
      <c r="B626" s="77" t="s">
        <v>1175</v>
      </c>
      <c r="C626" s="65" t="s">
        <v>4</v>
      </c>
      <c r="D626" s="66" t="s">
        <v>1000</v>
      </c>
      <c r="E626" s="67">
        <v>40718.691643518519</v>
      </c>
      <c r="F626" s="67"/>
      <c r="G626" s="64" t="str">
        <f>IF(stdProdLT(Main[[#This Row],[Comments]])=0.1,"N/A",IF(stdProdLT(Main[[#This Row],[Comments]])=0,"",stdProdLT(Main[[#This Row],[Comments]])))</f>
        <v/>
      </c>
      <c r="H626" s="68" t="str">
        <f>IF(AND(Main[[#This Row],[In Stock Date]]&lt;&gt;"",Main[[#This Row],[Revised Due Date]]&lt;&gt;""),Main[[#This Row],[In Stock Date]]-Main[[#This Row],[Revised Due Date]],"")</f>
        <v/>
      </c>
      <c r="I626" s="65" t="s">
        <v>130</v>
      </c>
      <c r="J626" s="65" t="s">
        <v>70</v>
      </c>
      <c r="K626" s="65" t="s">
        <v>1923</v>
      </c>
      <c r="L626" s="67"/>
      <c r="M626" s="69" t="str">
        <f>IF(Main[[#This Row],[Tech Start Date]]&lt;1/1/1990,"",IF(Main[[#This Row],[Class]]="C",WORKDAY(Main[[#This Row],[Tech Start Date]],9),IF(Main[[#This Row],[Class]]="B", WORKDAY(Main[[#This Row],[Tech Start Date]],6),IF(Main[[#This Row],[Class]]="A",WORKDAY(Main[[#This Row],[Tech Start Date]],2),""))))</f>
        <v/>
      </c>
      <c r="N626" s="69" t="str">
        <f>IF(Main[[#This Row],[Tech Start Date]]&lt;1/1/1990,"",IF(Main[[#This Row],[Class]]="C",WORKDAY(Main[[#This Row],[Tech Start Date]],19),IF(Main[[#This Row],[Class]]="B", WORKDAY(Main[[#This Row],[Tech Start Date]],12),IF(Main[[#This Row],[Class]]="A",WORKDAY(Main[[#This Row],[Tech Start Date]],4),""))))</f>
        <v/>
      </c>
      <c r="O626" s="69" t="str">
        <f>IF(Main[[#This Row],[Tech Start Date]]&lt;1/1/1990,"",IF(Main[[#This Row],[Class]]="C",WORKDAY(Main[[#This Row],[Tech Start Date]],23),IF(Main[[#This Row],[Class]]="B", WORKDAY(Main[[#This Row],[Tech Start Date]],15),IF(Main[[#This Row],[Class]]="A",WORKDAY(Main[[#This Row],[Tech Start Date]],5),""))))</f>
        <v/>
      </c>
      <c r="P626" s="69" t="str">
        <f>IF(Main[[#This Row],[Tech Start Date]]&lt;1/1/1990,"",IF(Main[[#This Row],[Class]]="C",WORKDAY(Main[[#This Row],[Tech Start Date]],28),IF(Main[[#This Row],[Class]]="B", WORKDAY(Main[[#This Row],[Tech Start Date]],19),IF(Main[[#This Row],[Class]]="A",WORKDAY(Main[[#This Row],[Tech Start Date]],9),""))))</f>
        <v/>
      </c>
      <c r="Q626" s="67">
        <v>40753</v>
      </c>
      <c r="R626" s="67"/>
      <c r="S626" s="65" t="s">
        <v>6</v>
      </c>
      <c r="T626" s="70" t="s">
        <v>4</v>
      </c>
      <c r="U626" s="65" t="s">
        <v>29</v>
      </c>
      <c r="V626" s="65" t="s">
        <v>1917</v>
      </c>
      <c r="W626" s="65" t="s">
        <v>1918</v>
      </c>
      <c r="X626" s="65" t="s">
        <v>2819</v>
      </c>
      <c r="Y626" s="65" t="s">
        <v>2932</v>
      </c>
      <c r="Z626" s="65" t="s">
        <v>44</v>
      </c>
      <c r="AA626" s="65" t="s">
        <v>2819</v>
      </c>
    </row>
    <row r="627" spans="1:27" ht="17.45" hidden="1" customHeight="1">
      <c r="A627" s="100" t="str">
        <f>IF(priority(Main[[#This Row],[Comments]])&lt;&gt;0, priority(Main[[#This Row],[Comments]]),"")</f>
        <v/>
      </c>
      <c r="B627" s="77" t="s">
        <v>1554</v>
      </c>
      <c r="C627" s="65" t="s">
        <v>211</v>
      </c>
      <c r="D627" s="66" t="s">
        <v>413</v>
      </c>
      <c r="E627" s="67"/>
      <c r="F627" s="67">
        <v>40452</v>
      </c>
      <c r="G627" s="64" t="str">
        <f>IF(stdProdLT(Main[[#This Row],[Comments]])=0.1,"N/A",IF(stdProdLT(Main[[#This Row],[Comments]])=0,"",stdProdLT(Main[[#This Row],[Comments]])))</f>
        <v/>
      </c>
      <c r="H627" s="68" t="str">
        <f>IF(AND(Main[[#This Row],[In Stock Date]]&lt;&gt;"",Main[[#This Row],[Revised Due Date]]&lt;&gt;""),Main[[#This Row],[In Stock Date]]-Main[[#This Row],[Revised Due Date]],"")</f>
        <v/>
      </c>
      <c r="I627" s="65" t="s">
        <v>4</v>
      </c>
      <c r="J627" s="65" t="s">
        <v>4</v>
      </c>
      <c r="K627" s="65" t="s">
        <v>4</v>
      </c>
      <c r="L627" s="67"/>
      <c r="M627" s="69" t="str">
        <f>IF(Main[[#This Row],[Tech Start Date]]&lt;1/1/1990,"",IF(Main[[#This Row],[Class]]="C",WORKDAY(Main[[#This Row],[Tech Start Date]],9),IF(Main[[#This Row],[Class]]="B", WORKDAY(Main[[#This Row],[Tech Start Date]],6),IF(Main[[#This Row],[Class]]="A",WORKDAY(Main[[#This Row],[Tech Start Date]],2),""))))</f>
        <v/>
      </c>
      <c r="N627" s="69" t="str">
        <f>IF(Main[[#This Row],[Tech Start Date]]&lt;1/1/1990,"",IF(Main[[#This Row],[Class]]="C",WORKDAY(Main[[#This Row],[Tech Start Date]],19),IF(Main[[#This Row],[Class]]="B", WORKDAY(Main[[#This Row],[Tech Start Date]],12),IF(Main[[#This Row],[Class]]="A",WORKDAY(Main[[#This Row],[Tech Start Date]],4),""))))</f>
        <v/>
      </c>
      <c r="O627" s="69" t="str">
        <f>IF(Main[[#This Row],[Tech Start Date]]&lt;1/1/1990,"",IF(Main[[#This Row],[Class]]="C",WORKDAY(Main[[#This Row],[Tech Start Date]],23),IF(Main[[#This Row],[Class]]="B", WORKDAY(Main[[#This Row],[Tech Start Date]],15),IF(Main[[#This Row],[Class]]="A",WORKDAY(Main[[#This Row],[Tech Start Date]],5),""))))</f>
        <v/>
      </c>
      <c r="P627" s="69" t="str">
        <f>IF(Main[[#This Row],[Tech Start Date]]&lt;1/1/1990,"",IF(Main[[#This Row],[Class]]="C",WORKDAY(Main[[#This Row],[Tech Start Date]],28),IF(Main[[#This Row],[Class]]="B", WORKDAY(Main[[#This Row],[Tech Start Date]],19),IF(Main[[#This Row],[Class]]="A",WORKDAY(Main[[#This Row],[Tech Start Date]],9),""))))</f>
        <v/>
      </c>
      <c r="Q627" s="67">
        <v>40357</v>
      </c>
      <c r="R627" s="67"/>
      <c r="S627" s="65" t="s">
        <v>11</v>
      </c>
      <c r="T627" s="70" t="s">
        <v>4</v>
      </c>
      <c r="U627" s="65" t="s">
        <v>12</v>
      </c>
      <c r="V627" s="65" t="s">
        <v>1914</v>
      </c>
      <c r="W627" s="65" t="s">
        <v>1922</v>
      </c>
      <c r="X627" s="65" t="s">
        <v>2833</v>
      </c>
      <c r="Y627" s="65" t="s">
        <v>4</v>
      </c>
      <c r="Z627" s="65" t="s">
        <v>4</v>
      </c>
      <c r="AA627" s="65" t="s">
        <v>2833</v>
      </c>
    </row>
    <row r="628" spans="1:27" ht="17.45" hidden="1" customHeight="1">
      <c r="A628" s="100" t="str">
        <f>IF(priority(Main[[#This Row],[Comments]])&lt;&gt;0, priority(Main[[#This Row],[Comments]]),"")</f>
        <v/>
      </c>
      <c r="B628" s="77" t="s">
        <v>1986</v>
      </c>
      <c r="C628" s="65" t="s">
        <v>4</v>
      </c>
      <c r="D628" s="66" t="s">
        <v>2378</v>
      </c>
      <c r="E628" s="67"/>
      <c r="F628" s="67"/>
      <c r="G628" s="64" t="str">
        <f>IF(stdProdLT(Main[[#This Row],[Comments]])=0.1,"N/A",IF(stdProdLT(Main[[#This Row],[Comments]])=0,"",stdProdLT(Main[[#This Row],[Comments]])))</f>
        <v/>
      </c>
      <c r="H628" s="68" t="str">
        <f>IF(AND(Main[[#This Row],[In Stock Date]]&lt;&gt;"",Main[[#This Row],[Revised Due Date]]&lt;&gt;""),Main[[#This Row],[In Stock Date]]-Main[[#This Row],[Revised Due Date]],"")</f>
        <v/>
      </c>
      <c r="I628" s="65" t="s">
        <v>4</v>
      </c>
      <c r="J628" s="65" t="s">
        <v>4</v>
      </c>
      <c r="K628" s="65" t="s">
        <v>4</v>
      </c>
      <c r="L628" s="67"/>
      <c r="M628" s="69" t="str">
        <f>IF(Main[[#This Row],[Tech Start Date]]&lt;1/1/1990,"",IF(Main[[#This Row],[Class]]="C",WORKDAY(Main[[#This Row],[Tech Start Date]],9),IF(Main[[#This Row],[Class]]="B", WORKDAY(Main[[#This Row],[Tech Start Date]],6),IF(Main[[#This Row],[Class]]="A",WORKDAY(Main[[#This Row],[Tech Start Date]],2),""))))</f>
        <v/>
      </c>
      <c r="N628" s="69" t="str">
        <f>IF(Main[[#This Row],[Tech Start Date]]&lt;1/1/1990,"",IF(Main[[#This Row],[Class]]="C",WORKDAY(Main[[#This Row],[Tech Start Date]],19),IF(Main[[#This Row],[Class]]="B", WORKDAY(Main[[#This Row],[Tech Start Date]],12),IF(Main[[#This Row],[Class]]="A",WORKDAY(Main[[#This Row],[Tech Start Date]],4),""))))</f>
        <v/>
      </c>
      <c r="O628" s="69" t="str">
        <f>IF(Main[[#This Row],[Tech Start Date]]&lt;1/1/1990,"",IF(Main[[#This Row],[Class]]="C",WORKDAY(Main[[#This Row],[Tech Start Date]],23),IF(Main[[#This Row],[Class]]="B", WORKDAY(Main[[#This Row],[Tech Start Date]],15),IF(Main[[#This Row],[Class]]="A",WORKDAY(Main[[#This Row],[Tech Start Date]],5),""))))</f>
        <v/>
      </c>
      <c r="P628" s="69" t="str">
        <f>IF(Main[[#This Row],[Tech Start Date]]&lt;1/1/1990,"",IF(Main[[#This Row],[Class]]="C",WORKDAY(Main[[#This Row],[Tech Start Date]],28),IF(Main[[#This Row],[Class]]="B", WORKDAY(Main[[#This Row],[Tech Start Date]],19),IF(Main[[#This Row],[Class]]="A",WORKDAY(Main[[#This Row],[Tech Start Date]],9),""))))</f>
        <v/>
      </c>
      <c r="Q628" s="67"/>
      <c r="R628" s="67"/>
      <c r="S628" s="65" t="s">
        <v>6</v>
      </c>
      <c r="T628" s="70" t="s">
        <v>4</v>
      </c>
      <c r="U628" s="65" t="s">
        <v>14</v>
      </c>
      <c r="V628" s="65" t="s">
        <v>1914</v>
      </c>
      <c r="W628" s="65" t="s">
        <v>1918</v>
      </c>
      <c r="X628" s="65" t="s">
        <v>922</v>
      </c>
      <c r="Y628" s="65" t="s">
        <v>2982</v>
      </c>
      <c r="Z628" s="65" t="s">
        <v>4</v>
      </c>
      <c r="AA628" s="65" t="s">
        <v>922</v>
      </c>
    </row>
    <row r="629" spans="1:27" ht="17.45" hidden="1" customHeight="1">
      <c r="A629" s="100" t="str">
        <f>IF(priority(Main[[#This Row],[Comments]])&lt;&gt;0, priority(Main[[#This Row],[Comments]]),"")</f>
        <v/>
      </c>
      <c r="B629" s="77" t="s">
        <v>1555</v>
      </c>
      <c r="C629" s="65" t="s">
        <v>4</v>
      </c>
      <c r="D629" s="66" t="s">
        <v>635</v>
      </c>
      <c r="E629" s="67">
        <v>40413.550520833334</v>
      </c>
      <c r="F629" s="67"/>
      <c r="G629" s="64" t="str">
        <f>IF(stdProdLT(Main[[#This Row],[Comments]])=0.1,"N/A",IF(stdProdLT(Main[[#This Row],[Comments]])=0,"",stdProdLT(Main[[#This Row],[Comments]])))</f>
        <v/>
      </c>
      <c r="H629" s="68" t="str">
        <f>IF(AND(Main[[#This Row],[In Stock Date]]&lt;&gt;"",Main[[#This Row],[Revised Due Date]]&lt;&gt;""),Main[[#This Row],[In Stock Date]]-Main[[#This Row],[Revised Due Date]],"")</f>
        <v/>
      </c>
      <c r="I629" s="65" t="s">
        <v>4</v>
      </c>
      <c r="J629" s="65" t="s">
        <v>28</v>
      </c>
      <c r="K629" s="71" t="s">
        <v>4</v>
      </c>
      <c r="L629" s="67"/>
      <c r="M629" s="69" t="str">
        <f>IF(Main[[#This Row],[Tech Start Date]]&lt;1/1/1990,"",IF(Main[[#This Row],[Class]]="C",WORKDAY(Main[[#This Row],[Tech Start Date]],9),IF(Main[[#This Row],[Class]]="B", WORKDAY(Main[[#This Row],[Tech Start Date]],6),IF(Main[[#This Row],[Class]]="A",WORKDAY(Main[[#This Row],[Tech Start Date]],2),""))))</f>
        <v/>
      </c>
      <c r="N629" s="69" t="str">
        <f>IF(Main[[#This Row],[Tech Start Date]]&lt;1/1/1990,"",IF(Main[[#This Row],[Class]]="C",WORKDAY(Main[[#This Row],[Tech Start Date]],19),IF(Main[[#This Row],[Class]]="B", WORKDAY(Main[[#This Row],[Tech Start Date]],12),IF(Main[[#This Row],[Class]]="A",WORKDAY(Main[[#This Row],[Tech Start Date]],4),""))))</f>
        <v/>
      </c>
      <c r="O629" s="69" t="str">
        <f>IF(Main[[#This Row],[Tech Start Date]]&lt;1/1/1990,"",IF(Main[[#This Row],[Class]]="C",WORKDAY(Main[[#This Row],[Tech Start Date]],23),IF(Main[[#This Row],[Class]]="B", WORKDAY(Main[[#This Row],[Tech Start Date]],15),IF(Main[[#This Row],[Class]]="A",WORKDAY(Main[[#This Row],[Tech Start Date]],5),""))))</f>
        <v/>
      </c>
      <c r="P629" s="69" t="str">
        <f>IF(Main[[#This Row],[Tech Start Date]]&lt;1/1/1990,"",IF(Main[[#This Row],[Class]]="C",WORKDAY(Main[[#This Row],[Tech Start Date]],28),IF(Main[[#This Row],[Class]]="B", WORKDAY(Main[[#This Row],[Tech Start Date]],19),IF(Main[[#This Row],[Class]]="A",WORKDAY(Main[[#This Row],[Tech Start Date]],9),""))))</f>
        <v/>
      </c>
      <c r="Q629" s="67">
        <v>40451</v>
      </c>
      <c r="R629" s="67"/>
      <c r="S629" s="65" t="s">
        <v>6</v>
      </c>
      <c r="T629" s="70" t="s">
        <v>4</v>
      </c>
      <c r="U629" s="65" t="s">
        <v>7</v>
      </c>
      <c r="V629" s="65" t="s">
        <v>1914</v>
      </c>
      <c r="W629" s="65" t="s">
        <v>1916</v>
      </c>
      <c r="X629" s="65" t="s">
        <v>2887</v>
      </c>
      <c r="Y629" s="65" t="s">
        <v>3043</v>
      </c>
      <c r="Z629" s="65" t="s">
        <v>129</v>
      </c>
      <c r="AA629" s="65" t="s">
        <v>2887</v>
      </c>
    </row>
    <row r="630" spans="1:27" ht="17.45" hidden="1" customHeight="1">
      <c r="A630" s="100" t="str">
        <f>IF(priority(Main[[#This Row],[Comments]])&lt;&gt;0, priority(Main[[#This Row],[Comments]]),"")</f>
        <v/>
      </c>
      <c r="B630" s="77" t="s">
        <v>1343</v>
      </c>
      <c r="C630" s="65" t="s">
        <v>4</v>
      </c>
      <c r="D630" s="66" t="s">
        <v>2017</v>
      </c>
      <c r="E630" s="67"/>
      <c r="F630" s="67"/>
      <c r="G630" s="64" t="str">
        <f>IF(stdProdLT(Main[[#This Row],[Comments]])=0.1,"N/A",IF(stdProdLT(Main[[#This Row],[Comments]])=0,"",stdProdLT(Main[[#This Row],[Comments]])))</f>
        <v/>
      </c>
      <c r="H630" s="68" t="str">
        <f>IF(AND(Main[[#This Row],[In Stock Date]]&lt;&gt;"",Main[[#This Row],[Revised Due Date]]&lt;&gt;""),Main[[#This Row],[In Stock Date]]-Main[[#This Row],[Revised Due Date]],"")</f>
        <v/>
      </c>
      <c r="I630" s="65" t="s">
        <v>429</v>
      </c>
      <c r="J630" s="65" t="s">
        <v>70</v>
      </c>
      <c r="K630" s="65" t="s">
        <v>1923</v>
      </c>
      <c r="L630" s="67"/>
      <c r="M630" s="69" t="str">
        <f>IF(Main[[#This Row],[Tech Start Date]]&lt;1/1/1990,"",IF(Main[[#This Row],[Class]]="C",WORKDAY(Main[[#This Row],[Tech Start Date]],9),IF(Main[[#This Row],[Class]]="B", WORKDAY(Main[[#This Row],[Tech Start Date]],6),IF(Main[[#This Row],[Class]]="A",WORKDAY(Main[[#This Row],[Tech Start Date]],2),""))))</f>
        <v/>
      </c>
      <c r="N630" s="69" t="str">
        <f>IF(Main[[#This Row],[Tech Start Date]]&lt;1/1/1990,"",IF(Main[[#This Row],[Class]]="C",WORKDAY(Main[[#This Row],[Tech Start Date]],19),IF(Main[[#This Row],[Class]]="B", WORKDAY(Main[[#This Row],[Tech Start Date]],12),IF(Main[[#This Row],[Class]]="A",WORKDAY(Main[[#This Row],[Tech Start Date]],4),""))))</f>
        <v/>
      </c>
      <c r="O630" s="69" t="str">
        <f>IF(Main[[#This Row],[Tech Start Date]]&lt;1/1/1990,"",IF(Main[[#This Row],[Class]]="C",WORKDAY(Main[[#This Row],[Tech Start Date]],23),IF(Main[[#This Row],[Class]]="B", WORKDAY(Main[[#This Row],[Tech Start Date]],15),IF(Main[[#This Row],[Class]]="A",WORKDAY(Main[[#This Row],[Tech Start Date]],5),""))))</f>
        <v/>
      </c>
      <c r="P630" s="69" t="str">
        <f>IF(Main[[#This Row],[Tech Start Date]]&lt;1/1/1990,"",IF(Main[[#This Row],[Class]]="C",WORKDAY(Main[[#This Row],[Tech Start Date]],28),IF(Main[[#This Row],[Class]]="B", WORKDAY(Main[[#This Row],[Tech Start Date]],19),IF(Main[[#This Row],[Class]]="A",WORKDAY(Main[[#This Row],[Tech Start Date]],9),""))))</f>
        <v/>
      </c>
      <c r="Q630" s="67">
        <v>40717</v>
      </c>
      <c r="R630" s="67"/>
      <c r="S630" s="65" t="s">
        <v>6</v>
      </c>
      <c r="T630" s="70" t="s">
        <v>4</v>
      </c>
      <c r="U630" s="65" t="s">
        <v>14</v>
      </c>
      <c r="V630" s="65" t="s">
        <v>1917</v>
      </c>
      <c r="W630" s="65" t="s">
        <v>1918</v>
      </c>
      <c r="X630" s="65" t="s">
        <v>2822</v>
      </c>
      <c r="Y630" s="65" t="s">
        <v>2938</v>
      </c>
      <c r="Z630" s="65" t="s">
        <v>30</v>
      </c>
      <c r="AA630" s="65" t="s">
        <v>2822</v>
      </c>
    </row>
    <row r="631" spans="1:27" ht="17.45" hidden="1" customHeight="1">
      <c r="A631" s="100" t="str">
        <f>IF(priority(Main[[#This Row],[Comments]])&lt;&gt;0, priority(Main[[#This Row],[Comments]]),"")</f>
        <v/>
      </c>
      <c r="B631" s="77" t="s">
        <v>1557</v>
      </c>
      <c r="C631" s="65" t="s">
        <v>180</v>
      </c>
      <c r="D631" s="66" t="s">
        <v>636</v>
      </c>
      <c r="E631" s="67"/>
      <c r="F631" s="67">
        <v>40389</v>
      </c>
      <c r="G631" s="64" t="str">
        <f>IF(stdProdLT(Main[[#This Row],[Comments]])=0.1,"N/A",IF(stdProdLT(Main[[#This Row],[Comments]])=0,"",stdProdLT(Main[[#This Row],[Comments]])))</f>
        <v/>
      </c>
      <c r="H631" s="68" t="str">
        <f>IF(AND(Main[[#This Row],[In Stock Date]]&lt;&gt;"",Main[[#This Row],[Revised Due Date]]&lt;&gt;""),Main[[#This Row],[In Stock Date]]-Main[[#This Row],[Revised Due Date]],"")</f>
        <v/>
      </c>
      <c r="I631" s="65" t="s">
        <v>4</v>
      </c>
      <c r="J631" s="65" t="s">
        <v>4</v>
      </c>
      <c r="K631" s="65" t="s">
        <v>4</v>
      </c>
      <c r="L631" s="67"/>
      <c r="M631" s="69" t="str">
        <f>IF(Main[[#This Row],[Tech Start Date]]&lt;1/1/1990,"",IF(Main[[#This Row],[Class]]="C",WORKDAY(Main[[#This Row],[Tech Start Date]],9),IF(Main[[#This Row],[Class]]="B", WORKDAY(Main[[#This Row],[Tech Start Date]],6),IF(Main[[#This Row],[Class]]="A",WORKDAY(Main[[#This Row],[Tech Start Date]],2),""))))</f>
        <v/>
      </c>
      <c r="N631" s="69" t="str">
        <f>IF(Main[[#This Row],[Tech Start Date]]&lt;1/1/1990,"",IF(Main[[#This Row],[Class]]="C",WORKDAY(Main[[#This Row],[Tech Start Date]],19),IF(Main[[#This Row],[Class]]="B", WORKDAY(Main[[#This Row],[Tech Start Date]],12),IF(Main[[#This Row],[Class]]="A",WORKDAY(Main[[#This Row],[Tech Start Date]],4),""))))</f>
        <v/>
      </c>
      <c r="O631" s="69" t="str">
        <f>IF(Main[[#This Row],[Tech Start Date]]&lt;1/1/1990,"",IF(Main[[#This Row],[Class]]="C",WORKDAY(Main[[#This Row],[Tech Start Date]],23),IF(Main[[#This Row],[Class]]="B", WORKDAY(Main[[#This Row],[Tech Start Date]],15),IF(Main[[#This Row],[Class]]="A",WORKDAY(Main[[#This Row],[Tech Start Date]],5),""))))</f>
        <v/>
      </c>
      <c r="P631" s="69" t="str">
        <f>IF(Main[[#This Row],[Tech Start Date]]&lt;1/1/1990,"",IF(Main[[#This Row],[Class]]="C",WORKDAY(Main[[#This Row],[Tech Start Date]],28),IF(Main[[#This Row],[Class]]="B", WORKDAY(Main[[#This Row],[Tech Start Date]],19),IF(Main[[#This Row],[Class]]="A",WORKDAY(Main[[#This Row],[Tech Start Date]],9),""))))</f>
        <v/>
      </c>
      <c r="Q631" s="67">
        <v>40298</v>
      </c>
      <c r="R631" s="67"/>
      <c r="S631" s="65" t="s">
        <v>11</v>
      </c>
      <c r="T631" s="70" t="s">
        <v>4</v>
      </c>
      <c r="U631" s="65" t="s">
        <v>12</v>
      </c>
      <c r="V631" s="65" t="s">
        <v>1914</v>
      </c>
      <c r="W631" s="65" t="s">
        <v>1920</v>
      </c>
      <c r="X631" s="65" t="s">
        <v>2824</v>
      </c>
      <c r="Y631" s="65" t="s">
        <v>2943</v>
      </c>
      <c r="Z631" s="65" t="s">
        <v>4</v>
      </c>
      <c r="AA631" s="65" t="s">
        <v>2824</v>
      </c>
    </row>
    <row r="632" spans="1:27" ht="17.45" hidden="1" customHeight="1">
      <c r="A632" s="100" t="str">
        <f>IF(priority(Main[[#This Row],[Comments]])&lt;&gt;0, priority(Main[[#This Row],[Comments]]),"")</f>
        <v/>
      </c>
      <c r="B632" s="77" t="s">
        <v>1558</v>
      </c>
      <c r="C632" s="65" t="s">
        <v>290</v>
      </c>
      <c r="D632" s="66" t="s">
        <v>637</v>
      </c>
      <c r="E632" s="67"/>
      <c r="F632" s="67"/>
      <c r="G632" s="64" t="str">
        <f>IF(stdProdLT(Main[[#This Row],[Comments]])=0.1,"N/A",IF(stdProdLT(Main[[#This Row],[Comments]])=0,"",stdProdLT(Main[[#This Row],[Comments]])))</f>
        <v/>
      </c>
      <c r="H632" s="68" t="str">
        <f>IF(AND(Main[[#This Row],[In Stock Date]]&lt;&gt;"",Main[[#This Row],[Revised Due Date]]&lt;&gt;""),Main[[#This Row],[In Stock Date]]-Main[[#This Row],[Revised Due Date]],"")</f>
        <v/>
      </c>
      <c r="I632" s="65" t="s">
        <v>4</v>
      </c>
      <c r="J632" s="65" t="s">
        <v>4</v>
      </c>
      <c r="K632" s="65" t="s">
        <v>4</v>
      </c>
      <c r="L632" s="67"/>
      <c r="M632" s="69" t="str">
        <f>IF(Main[[#This Row],[Tech Start Date]]&lt;1/1/1990,"",IF(Main[[#This Row],[Class]]="C",WORKDAY(Main[[#This Row],[Tech Start Date]],9),IF(Main[[#This Row],[Class]]="B", WORKDAY(Main[[#This Row],[Tech Start Date]],6),IF(Main[[#This Row],[Class]]="A",WORKDAY(Main[[#This Row],[Tech Start Date]],2),""))))</f>
        <v/>
      </c>
      <c r="N632" s="69" t="str">
        <f>IF(Main[[#This Row],[Tech Start Date]]&lt;1/1/1990,"",IF(Main[[#This Row],[Class]]="C",WORKDAY(Main[[#This Row],[Tech Start Date]],19),IF(Main[[#This Row],[Class]]="B", WORKDAY(Main[[#This Row],[Tech Start Date]],12),IF(Main[[#This Row],[Class]]="A",WORKDAY(Main[[#This Row],[Tech Start Date]],4),""))))</f>
        <v/>
      </c>
      <c r="O632" s="69" t="str">
        <f>IF(Main[[#This Row],[Tech Start Date]]&lt;1/1/1990,"",IF(Main[[#This Row],[Class]]="C",WORKDAY(Main[[#This Row],[Tech Start Date]],23),IF(Main[[#This Row],[Class]]="B", WORKDAY(Main[[#This Row],[Tech Start Date]],15),IF(Main[[#This Row],[Class]]="A",WORKDAY(Main[[#This Row],[Tech Start Date]],5),""))))</f>
        <v/>
      </c>
      <c r="P632" s="69" t="str">
        <f>IF(Main[[#This Row],[Tech Start Date]]&lt;1/1/1990,"",IF(Main[[#This Row],[Class]]="C",WORKDAY(Main[[#This Row],[Tech Start Date]],28),IF(Main[[#This Row],[Class]]="B", WORKDAY(Main[[#This Row],[Tech Start Date]],19),IF(Main[[#This Row],[Class]]="A",WORKDAY(Main[[#This Row],[Tech Start Date]],9),""))))</f>
        <v/>
      </c>
      <c r="Q632" s="67">
        <v>40052</v>
      </c>
      <c r="R632" s="67"/>
      <c r="S632" s="65" t="s">
        <v>11</v>
      </c>
      <c r="T632" s="70" t="s">
        <v>4</v>
      </c>
      <c r="U632" s="65" t="s">
        <v>14</v>
      </c>
      <c r="V632" s="65" t="s">
        <v>1917</v>
      </c>
      <c r="W632" s="65" t="s">
        <v>1916</v>
      </c>
      <c r="X632" s="65" t="s">
        <v>2834</v>
      </c>
      <c r="Y632" s="65" t="s">
        <v>4</v>
      </c>
      <c r="Z632" s="65" t="s">
        <v>4</v>
      </c>
      <c r="AA632" s="65" t="s">
        <v>2834</v>
      </c>
    </row>
    <row r="633" spans="1:27" ht="17.45" hidden="1" customHeight="1">
      <c r="A633" s="100" t="str">
        <f>IF(priority(Main[[#This Row],[Comments]])&lt;&gt;0, priority(Main[[#This Row],[Comments]]),"")</f>
        <v/>
      </c>
      <c r="B633" s="77" t="s">
        <v>1720</v>
      </c>
      <c r="C633" s="65" t="s">
        <v>4</v>
      </c>
      <c r="D633" s="66" t="s">
        <v>775</v>
      </c>
      <c r="E633" s="67"/>
      <c r="F633" s="67"/>
      <c r="G633" s="64" t="str">
        <f>IF(stdProdLT(Main[[#This Row],[Comments]])=0.1,"N/A",IF(stdProdLT(Main[[#This Row],[Comments]])=0,"",stdProdLT(Main[[#This Row],[Comments]])))</f>
        <v/>
      </c>
      <c r="H633" s="68" t="str">
        <f>IF(AND(Main[[#This Row],[In Stock Date]]&lt;&gt;"",Main[[#This Row],[Revised Due Date]]&lt;&gt;""),Main[[#This Row],[In Stock Date]]-Main[[#This Row],[Revised Due Date]],"")</f>
        <v/>
      </c>
      <c r="I633" s="65" t="s">
        <v>4</v>
      </c>
      <c r="J633" s="65" t="s">
        <v>4</v>
      </c>
      <c r="K633" s="65" t="s">
        <v>4</v>
      </c>
      <c r="L633" s="67"/>
      <c r="M633" s="69" t="str">
        <f>IF(Main[[#This Row],[Tech Start Date]]&lt;1/1/1990,"",IF(Main[[#This Row],[Class]]="C",WORKDAY(Main[[#This Row],[Tech Start Date]],9),IF(Main[[#This Row],[Class]]="B", WORKDAY(Main[[#This Row],[Tech Start Date]],6),IF(Main[[#This Row],[Class]]="A",WORKDAY(Main[[#This Row],[Tech Start Date]],2),""))))</f>
        <v/>
      </c>
      <c r="N633" s="69" t="str">
        <f>IF(Main[[#This Row],[Tech Start Date]]&lt;1/1/1990,"",IF(Main[[#This Row],[Class]]="C",WORKDAY(Main[[#This Row],[Tech Start Date]],19),IF(Main[[#This Row],[Class]]="B", WORKDAY(Main[[#This Row],[Tech Start Date]],12),IF(Main[[#This Row],[Class]]="A",WORKDAY(Main[[#This Row],[Tech Start Date]],4),""))))</f>
        <v/>
      </c>
      <c r="O633" s="69" t="str">
        <f>IF(Main[[#This Row],[Tech Start Date]]&lt;1/1/1990,"",IF(Main[[#This Row],[Class]]="C",WORKDAY(Main[[#This Row],[Tech Start Date]],23),IF(Main[[#This Row],[Class]]="B", WORKDAY(Main[[#This Row],[Tech Start Date]],15),IF(Main[[#This Row],[Class]]="A",WORKDAY(Main[[#This Row],[Tech Start Date]],5),""))))</f>
        <v/>
      </c>
      <c r="P633" s="69" t="str">
        <f>IF(Main[[#This Row],[Tech Start Date]]&lt;1/1/1990,"",IF(Main[[#This Row],[Class]]="C",WORKDAY(Main[[#This Row],[Tech Start Date]],28),IF(Main[[#This Row],[Class]]="B", WORKDAY(Main[[#This Row],[Tech Start Date]],19),IF(Main[[#This Row],[Class]]="A",WORKDAY(Main[[#This Row],[Tech Start Date]],9),""))))</f>
        <v/>
      </c>
      <c r="Q633" s="67"/>
      <c r="R633" s="67"/>
      <c r="S633" s="65" t="s">
        <v>4</v>
      </c>
      <c r="T633" s="76" t="s">
        <v>4</v>
      </c>
      <c r="U633" s="65" t="s">
        <v>14</v>
      </c>
      <c r="V633" s="65" t="s">
        <v>1917</v>
      </c>
      <c r="W633" s="65" t="s">
        <v>4</v>
      </c>
      <c r="X633" s="65" t="s">
        <v>50</v>
      </c>
      <c r="Y633" s="65" t="s">
        <v>4</v>
      </c>
      <c r="Z633" s="65" t="s">
        <v>4</v>
      </c>
      <c r="AA633" s="65" t="s">
        <v>4</v>
      </c>
    </row>
    <row r="634" spans="1:27" ht="17.45" hidden="1" customHeight="1">
      <c r="A634" s="100" t="str">
        <f>IF(priority(Main[[#This Row],[Comments]])&lt;&gt;0, priority(Main[[#This Row],[Comments]]),"")</f>
        <v/>
      </c>
      <c r="B634" s="77" t="s">
        <v>1565</v>
      </c>
      <c r="C634" s="65" t="s">
        <v>72</v>
      </c>
      <c r="D634" s="66" t="s">
        <v>645</v>
      </c>
      <c r="E634" s="67"/>
      <c r="F634" s="67"/>
      <c r="G634" s="64" t="str">
        <f>IF(stdProdLT(Main[[#This Row],[Comments]])=0.1,"N/A",IF(stdProdLT(Main[[#This Row],[Comments]])=0,"",stdProdLT(Main[[#This Row],[Comments]])))</f>
        <v/>
      </c>
      <c r="H634" s="68" t="str">
        <f>IF(AND(Main[[#This Row],[In Stock Date]]&lt;&gt;"",Main[[#This Row],[Revised Due Date]]&lt;&gt;""),Main[[#This Row],[In Stock Date]]-Main[[#This Row],[Revised Due Date]],"")</f>
        <v/>
      </c>
      <c r="I634" s="65" t="s">
        <v>4</v>
      </c>
      <c r="J634" s="65" t="s">
        <v>4</v>
      </c>
      <c r="K634" s="65" t="s">
        <v>4</v>
      </c>
      <c r="L634" s="67"/>
      <c r="M634" s="69" t="str">
        <f>IF(Main[[#This Row],[Tech Start Date]]&lt;1/1/1990,"",IF(Main[[#This Row],[Class]]="C",WORKDAY(Main[[#This Row],[Tech Start Date]],9),IF(Main[[#This Row],[Class]]="B", WORKDAY(Main[[#This Row],[Tech Start Date]],6),IF(Main[[#This Row],[Class]]="A",WORKDAY(Main[[#This Row],[Tech Start Date]],2),""))))</f>
        <v/>
      </c>
      <c r="N634" s="69" t="str">
        <f>IF(Main[[#This Row],[Tech Start Date]]&lt;1/1/1990,"",IF(Main[[#This Row],[Class]]="C",WORKDAY(Main[[#This Row],[Tech Start Date]],19),IF(Main[[#This Row],[Class]]="B", WORKDAY(Main[[#This Row],[Tech Start Date]],12),IF(Main[[#This Row],[Class]]="A",WORKDAY(Main[[#This Row],[Tech Start Date]],4),""))))</f>
        <v/>
      </c>
      <c r="O634" s="69" t="str">
        <f>IF(Main[[#This Row],[Tech Start Date]]&lt;1/1/1990,"",IF(Main[[#This Row],[Class]]="C",WORKDAY(Main[[#This Row],[Tech Start Date]],23),IF(Main[[#This Row],[Class]]="B", WORKDAY(Main[[#This Row],[Tech Start Date]],15),IF(Main[[#This Row],[Class]]="A",WORKDAY(Main[[#This Row],[Tech Start Date]],5),""))))</f>
        <v/>
      </c>
      <c r="P634" s="69" t="str">
        <f>IF(Main[[#This Row],[Tech Start Date]]&lt;1/1/1990,"",IF(Main[[#This Row],[Class]]="C",WORKDAY(Main[[#This Row],[Tech Start Date]],28),IF(Main[[#This Row],[Class]]="B", WORKDAY(Main[[#This Row],[Tech Start Date]],19),IF(Main[[#This Row],[Class]]="A",WORKDAY(Main[[#This Row],[Tech Start Date]],9),""))))</f>
        <v/>
      </c>
      <c r="Q634" s="67"/>
      <c r="R634" s="67"/>
      <c r="S634" s="65" t="s">
        <v>49</v>
      </c>
      <c r="T634" s="70" t="s">
        <v>4</v>
      </c>
      <c r="U634" s="65" t="s">
        <v>12</v>
      </c>
      <c r="V634" s="65" t="s">
        <v>1915</v>
      </c>
      <c r="W634" s="65" t="s">
        <v>1916</v>
      </c>
      <c r="X634" s="65" t="s">
        <v>2901</v>
      </c>
      <c r="Y634" s="65" t="s">
        <v>3079</v>
      </c>
      <c r="Z634" s="65" t="s">
        <v>4</v>
      </c>
      <c r="AA634" s="65" t="s">
        <v>2901</v>
      </c>
    </row>
    <row r="635" spans="1:27" ht="17.45" hidden="1" customHeight="1">
      <c r="A635" s="100" t="str">
        <f>IF(priority(Main[[#This Row],[Comments]])&lt;&gt;0, priority(Main[[#This Row],[Comments]]),"")</f>
        <v/>
      </c>
      <c r="B635" s="77" t="s">
        <v>1566</v>
      </c>
      <c r="C635" s="65" t="s">
        <v>72</v>
      </c>
      <c r="D635" s="66" t="s">
        <v>646</v>
      </c>
      <c r="E635" s="67"/>
      <c r="F635" s="67">
        <v>40313</v>
      </c>
      <c r="G635" s="64" t="str">
        <f>IF(stdProdLT(Main[[#This Row],[Comments]])=0.1,"N/A",IF(stdProdLT(Main[[#This Row],[Comments]])=0,"",stdProdLT(Main[[#This Row],[Comments]])))</f>
        <v/>
      </c>
      <c r="H635" s="68" t="str">
        <f>IF(AND(Main[[#This Row],[In Stock Date]]&lt;&gt;"",Main[[#This Row],[Revised Due Date]]&lt;&gt;""),Main[[#This Row],[In Stock Date]]-Main[[#This Row],[Revised Due Date]],"")</f>
        <v/>
      </c>
      <c r="I635" s="65" t="s">
        <v>4</v>
      </c>
      <c r="J635" s="65" t="s">
        <v>4</v>
      </c>
      <c r="K635" s="65" t="s">
        <v>4</v>
      </c>
      <c r="L635" s="67"/>
      <c r="M635" s="69" t="str">
        <f>IF(Main[[#This Row],[Tech Start Date]]&lt;1/1/1990,"",IF(Main[[#This Row],[Class]]="C",WORKDAY(Main[[#This Row],[Tech Start Date]],9),IF(Main[[#This Row],[Class]]="B", WORKDAY(Main[[#This Row],[Tech Start Date]],6),IF(Main[[#This Row],[Class]]="A",WORKDAY(Main[[#This Row],[Tech Start Date]],2),""))))</f>
        <v/>
      </c>
      <c r="N635" s="69" t="str">
        <f>IF(Main[[#This Row],[Tech Start Date]]&lt;1/1/1990,"",IF(Main[[#This Row],[Class]]="C",WORKDAY(Main[[#This Row],[Tech Start Date]],19),IF(Main[[#This Row],[Class]]="B", WORKDAY(Main[[#This Row],[Tech Start Date]],12),IF(Main[[#This Row],[Class]]="A",WORKDAY(Main[[#This Row],[Tech Start Date]],4),""))))</f>
        <v/>
      </c>
      <c r="O635" s="69" t="str">
        <f>IF(Main[[#This Row],[Tech Start Date]]&lt;1/1/1990,"",IF(Main[[#This Row],[Class]]="C",WORKDAY(Main[[#This Row],[Tech Start Date]],23),IF(Main[[#This Row],[Class]]="B", WORKDAY(Main[[#This Row],[Tech Start Date]],15),IF(Main[[#This Row],[Class]]="A",WORKDAY(Main[[#This Row],[Tech Start Date]],5),""))))</f>
        <v/>
      </c>
      <c r="P635" s="69" t="str">
        <f>IF(Main[[#This Row],[Tech Start Date]]&lt;1/1/1990,"",IF(Main[[#This Row],[Class]]="C",WORKDAY(Main[[#This Row],[Tech Start Date]],28),IF(Main[[#This Row],[Class]]="B", WORKDAY(Main[[#This Row],[Tech Start Date]],19),IF(Main[[#This Row],[Class]]="A",WORKDAY(Main[[#This Row],[Tech Start Date]],9),""))))</f>
        <v/>
      </c>
      <c r="Q635" s="67">
        <v>40233</v>
      </c>
      <c r="R635" s="67"/>
      <c r="S635" s="65" t="s">
        <v>11</v>
      </c>
      <c r="T635" s="70" t="s">
        <v>4</v>
      </c>
      <c r="U635" s="65" t="s">
        <v>14</v>
      </c>
      <c r="V635" s="65" t="s">
        <v>1917</v>
      </c>
      <c r="W635" s="65" t="s">
        <v>1922</v>
      </c>
      <c r="X635" s="65" t="s">
        <v>2824</v>
      </c>
      <c r="Y635" s="65" t="s">
        <v>2943</v>
      </c>
      <c r="Z635" s="65" t="s">
        <v>4</v>
      </c>
      <c r="AA635" s="65" t="s">
        <v>2824</v>
      </c>
    </row>
    <row r="636" spans="1:27" ht="17.45" hidden="1" customHeight="1">
      <c r="A636" s="100" t="str">
        <f>IF(priority(Main[[#This Row],[Comments]])&lt;&gt;0, priority(Main[[#This Row],[Comments]]),"")</f>
        <v/>
      </c>
      <c r="B636" s="77" t="s">
        <v>1567</v>
      </c>
      <c r="C636" s="65" t="s">
        <v>159</v>
      </c>
      <c r="D636" s="66" t="s">
        <v>647</v>
      </c>
      <c r="E636" s="67"/>
      <c r="F636" s="67">
        <v>40513</v>
      </c>
      <c r="G636" s="64" t="str">
        <f>IF(stdProdLT(Main[[#This Row],[Comments]])=0.1,"N/A",IF(stdProdLT(Main[[#This Row],[Comments]])=0,"",stdProdLT(Main[[#This Row],[Comments]])))</f>
        <v/>
      </c>
      <c r="H636" s="68" t="str">
        <f>IF(AND(Main[[#This Row],[In Stock Date]]&lt;&gt;"",Main[[#This Row],[Revised Due Date]]&lt;&gt;""),Main[[#This Row],[In Stock Date]]-Main[[#This Row],[Revised Due Date]],"")</f>
        <v/>
      </c>
      <c r="I636" s="65" t="s">
        <v>4</v>
      </c>
      <c r="J636" s="65" t="s">
        <v>28</v>
      </c>
      <c r="K636" s="65" t="s">
        <v>4</v>
      </c>
      <c r="L636" s="67"/>
      <c r="M636" s="69" t="str">
        <f>IF(Main[[#This Row],[Tech Start Date]]&lt;1/1/1990,"",IF(Main[[#This Row],[Class]]="C",WORKDAY(Main[[#This Row],[Tech Start Date]],9),IF(Main[[#This Row],[Class]]="B", WORKDAY(Main[[#This Row],[Tech Start Date]],6),IF(Main[[#This Row],[Class]]="A",WORKDAY(Main[[#This Row],[Tech Start Date]],2),""))))</f>
        <v/>
      </c>
      <c r="N636" s="69" t="str">
        <f>IF(Main[[#This Row],[Tech Start Date]]&lt;1/1/1990,"",IF(Main[[#This Row],[Class]]="C",WORKDAY(Main[[#This Row],[Tech Start Date]],19),IF(Main[[#This Row],[Class]]="B", WORKDAY(Main[[#This Row],[Tech Start Date]],12),IF(Main[[#This Row],[Class]]="A",WORKDAY(Main[[#This Row],[Tech Start Date]],4),""))))</f>
        <v/>
      </c>
      <c r="O636" s="69" t="str">
        <f>IF(Main[[#This Row],[Tech Start Date]]&lt;1/1/1990,"",IF(Main[[#This Row],[Class]]="C",WORKDAY(Main[[#This Row],[Tech Start Date]],23),IF(Main[[#This Row],[Class]]="B", WORKDAY(Main[[#This Row],[Tech Start Date]],15),IF(Main[[#This Row],[Class]]="A",WORKDAY(Main[[#This Row],[Tech Start Date]],5),""))))</f>
        <v/>
      </c>
      <c r="P636" s="69" t="str">
        <f>IF(Main[[#This Row],[Tech Start Date]]&lt;1/1/1990,"",IF(Main[[#This Row],[Class]]="C",WORKDAY(Main[[#This Row],[Tech Start Date]],28),IF(Main[[#This Row],[Class]]="B", WORKDAY(Main[[#This Row],[Tech Start Date]],19),IF(Main[[#This Row],[Class]]="A",WORKDAY(Main[[#This Row],[Tech Start Date]],9),""))))</f>
        <v/>
      </c>
      <c r="Q636" s="67">
        <v>40382</v>
      </c>
      <c r="R636" s="67"/>
      <c r="S636" s="65" t="s">
        <v>11</v>
      </c>
      <c r="T636" s="70" t="s">
        <v>4</v>
      </c>
      <c r="U636" s="65" t="s">
        <v>14</v>
      </c>
      <c r="V636" s="65" t="s">
        <v>1914</v>
      </c>
      <c r="W636" s="65" t="s">
        <v>1922</v>
      </c>
      <c r="X636" s="65" t="s">
        <v>2855</v>
      </c>
      <c r="Y636" s="65" t="s">
        <v>2994</v>
      </c>
      <c r="Z636" s="65" t="s">
        <v>129</v>
      </c>
      <c r="AA636" s="65" t="s">
        <v>2855</v>
      </c>
    </row>
    <row r="637" spans="1:27" ht="17.45" hidden="1" customHeight="1">
      <c r="A637" s="100" t="str">
        <f>IF(priority(Main[[#This Row],[Comments]])&lt;&gt;0, priority(Main[[#This Row],[Comments]]),"")</f>
        <v/>
      </c>
      <c r="B637" s="77" t="s">
        <v>1568</v>
      </c>
      <c r="C637" s="65" t="s">
        <v>4</v>
      </c>
      <c r="D637" s="66" t="s">
        <v>648</v>
      </c>
      <c r="E637" s="67">
        <v>40477.486574074072</v>
      </c>
      <c r="F637" s="67"/>
      <c r="G637" s="64" t="str">
        <f>IF(stdProdLT(Main[[#This Row],[Comments]])=0.1,"N/A",IF(stdProdLT(Main[[#This Row],[Comments]])=0,"",stdProdLT(Main[[#This Row],[Comments]])))</f>
        <v/>
      </c>
      <c r="H637" s="68" t="str">
        <f>IF(AND(Main[[#This Row],[In Stock Date]]&lt;&gt;"",Main[[#This Row],[Revised Due Date]]&lt;&gt;""),Main[[#This Row],[In Stock Date]]-Main[[#This Row],[Revised Due Date]],"")</f>
        <v/>
      </c>
      <c r="I637" s="65" t="s">
        <v>4</v>
      </c>
      <c r="J637" s="65" t="s">
        <v>4</v>
      </c>
      <c r="K637" s="65" t="s">
        <v>4</v>
      </c>
      <c r="L637" s="67"/>
      <c r="M637" s="69" t="str">
        <f>IF(Main[[#This Row],[Tech Start Date]]&lt;1/1/1990,"",IF(Main[[#This Row],[Class]]="C",WORKDAY(Main[[#This Row],[Tech Start Date]],9),IF(Main[[#This Row],[Class]]="B", WORKDAY(Main[[#This Row],[Tech Start Date]],6),IF(Main[[#This Row],[Class]]="A",WORKDAY(Main[[#This Row],[Tech Start Date]],2),""))))</f>
        <v/>
      </c>
      <c r="N637" s="69" t="str">
        <f>IF(Main[[#This Row],[Tech Start Date]]&lt;1/1/1990,"",IF(Main[[#This Row],[Class]]="C",WORKDAY(Main[[#This Row],[Tech Start Date]],19),IF(Main[[#This Row],[Class]]="B", WORKDAY(Main[[#This Row],[Tech Start Date]],12),IF(Main[[#This Row],[Class]]="A",WORKDAY(Main[[#This Row],[Tech Start Date]],4),""))))</f>
        <v/>
      </c>
      <c r="O637" s="69" t="str">
        <f>IF(Main[[#This Row],[Tech Start Date]]&lt;1/1/1990,"",IF(Main[[#This Row],[Class]]="C",WORKDAY(Main[[#This Row],[Tech Start Date]],23),IF(Main[[#This Row],[Class]]="B", WORKDAY(Main[[#This Row],[Tech Start Date]],15),IF(Main[[#This Row],[Class]]="A",WORKDAY(Main[[#This Row],[Tech Start Date]],5),""))))</f>
        <v/>
      </c>
      <c r="P637" s="69" t="str">
        <f>IF(Main[[#This Row],[Tech Start Date]]&lt;1/1/1990,"",IF(Main[[#This Row],[Class]]="C",WORKDAY(Main[[#This Row],[Tech Start Date]],28),IF(Main[[#This Row],[Class]]="B", WORKDAY(Main[[#This Row],[Tech Start Date]],19),IF(Main[[#This Row],[Class]]="A",WORKDAY(Main[[#This Row],[Tech Start Date]],9),""))))</f>
        <v/>
      </c>
      <c r="Q637" s="67">
        <v>40511</v>
      </c>
      <c r="R637" s="67"/>
      <c r="S637" s="65" t="s">
        <v>6</v>
      </c>
      <c r="T637" s="70" t="s">
        <v>4</v>
      </c>
      <c r="U637" s="65" t="s">
        <v>7</v>
      </c>
      <c r="V637" s="65" t="s">
        <v>1914</v>
      </c>
      <c r="W637" s="65" t="s">
        <v>4</v>
      </c>
      <c r="X637" s="65" t="s">
        <v>2818</v>
      </c>
      <c r="Y637" s="65" t="s">
        <v>2929</v>
      </c>
      <c r="Z637" s="65" t="s">
        <v>4</v>
      </c>
      <c r="AA637" s="65" t="s">
        <v>2818</v>
      </c>
    </row>
    <row r="638" spans="1:27" ht="17.45" hidden="1" customHeight="1">
      <c r="A638" s="100" t="str">
        <f>IF(priority(Main[[#This Row],[Comments]])&lt;&gt;0, priority(Main[[#This Row],[Comments]]),"")</f>
        <v/>
      </c>
      <c r="B638" s="77" t="s">
        <v>1569</v>
      </c>
      <c r="C638" s="65" t="s">
        <v>4</v>
      </c>
      <c r="D638" s="66" t="s">
        <v>649</v>
      </c>
      <c r="E638" s="67"/>
      <c r="F638" s="67"/>
      <c r="G638" s="64" t="str">
        <f>IF(stdProdLT(Main[[#This Row],[Comments]])=0.1,"N/A",IF(stdProdLT(Main[[#This Row],[Comments]])=0,"",stdProdLT(Main[[#This Row],[Comments]])))</f>
        <v/>
      </c>
      <c r="H638" s="68" t="str">
        <f>IF(AND(Main[[#This Row],[In Stock Date]]&lt;&gt;"",Main[[#This Row],[Revised Due Date]]&lt;&gt;""),Main[[#This Row],[In Stock Date]]-Main[[#This Row],[Revised Due Date]],"")</f>
        <v/>
      </c>
      <c r="I638" s="65" t="s">
        <v>4</v>
      </c>
      <c r="J638" s="65" t="s">
        <v>4</v>
      </c>
      <c r="K638" s="65" t="s">
        <v>4</v>
      </c>
      <c r="L638" s="67"/>
      <c r="M638" s="69" t="str">
        <f>IF(Main[[#This Row],[Tech Start Date]]&lt;1/1/1990,"",IF(Main[[#This Row],[Class]]="C",WORKDAY(Main[[#This Row],[Tech Start Date]],9),IF(Main[[#This Row],[Class]]="B", WORKDAY(Main[[#This Row],[Tech Start Date]],6),IF(Main[[#This Row],[Class]]="A",WORKDAY(Main[[#This Row],[Tech Start Date]],2),""))))</f>
        <v/>
      </c>
      <c r="N638" s="69" t="str">
        <f>IF(Main[[#This Row],[Tech Start Date]]&lt;1/1/1990,"",IF(Main[[#This Row],[Class]]="C",WORKDAY(Main[[#This Row],[Tech Start Date]],19),IF(Main[[#This Row],[Class]]="B", WORKDAY(Main[[#This Row],[Tech Start Date]],12),IF(Main[[#This Row],[Class]]="A",WORKDAY(Main[[#This Row],[Tech Start Date]],4),""))))</f>
        <v/>
      </c>
      <c r="O638" s="69" t="str">
        <f>IF(Main[[#This Row],[Tech Start Date]]&lt;1/1/1990,"",IF(Main[[#This Row],[Class]]="C",WORKDAY(Main[[#This Row],[Tech Start Date]],23),IF(Main[[#This Row],[Class]]="B", WORKDAY(Main[[#This Row],[Tech Start Date]],15),IF(Main[[#This Row],[Class]]="A",WORKDAY(Main[[#This Row],[Tech Start Date]],5),""))))</f>
        <v/>
      </c>
      <c r="P638" s="69" t="str">
        <f>IF(Main[[#This Row],[Tech Start Date]]&lt;1/1/1990,"",IF(Main[[#This Row],[Class]]="C",WORKDAY(Main[[#This Row],[Tech Start Date]],28),IF(Main[[#This Row],[Class]]="B", WORKDAY(Main[[#This Row],[Tech Start Date]],19),IF(Main[[#This Row],[Class]]="A",WORKDAY(Main[[#This Row],[Tech Start Date]],9),""))))</f>
        <v/>
      </c>
      <c r="Q638" s="67">
        <v>40619</v>
      </c>
      <c r="R638" s="67"/>
      <c r="S638" s="65" t="s">
        <v>6</v>
      </c>
      <c r="T638" s="70" t="s">
        <v>4</v>
      </c>
      <c r="U638" s="65" t="s">
        <v>14</v>
      </c>
      <c r="V638" s="65" t="s">
        <v>1924</v>
      </c>
      <c r="W638" s="65" t="s">
        <v>4</v>
      </c>
      <c r="X638" s="65" t="s">
        <v>2903</v>
      </c>
      <c r="Y638" s="65" t="s">
        <v>3083</v>
      </c>
      <c r="Z638" s="65" t="s">
        <v>4</v>
      </c>
      <c r="AA638" s="65" t="s">
        <v>2903</v>
      </c>
    </row>
    <row r="639" spans="1:27" ht="17.45" hidden="1" customHeight="1">
      <c r="A639" s="100" t="str">
        <f>IF(priority(Main[[#This Row],[Comments]])&lt;&gt;0, priority(Main[[#This Row],[Comments]]),"")</f>
        <v/>
      </c>
      <c r="B639" s="77" t="s">
        <v>2106</v>
      </c>
      <c r="C639" s="65" t="s">
        <v>4</v>
      </c>
      <c r="D639" s="66" t="s">
        <v>2107</v>
      </c>
      <c r="E639" s="67">
        <v>40772.421967592592</v>
      </c>
      <c r="F639" s="67"/>
      <c r="G639" s="64" t="str">
        <f>IF(stdProdLT(Main[[#This Row],[Comments]])=0.1,"N/A",IF(stdProdLT(Main[[#This Row],[Comments]])=0,"",stdProdLT(Main[[#This Row],[Comments]])))</f>
        <v/>
      </c>
      <c r="H639" s="68" t="str">
        <f>IF(AND(Main[[#This Row],[In Stock Date]]&lt;&gt;"",Main[[#This Row],[Revised Due Date]]&lt;&gt;""),Main[[#This Row],[In Stock Date]]-Main[[#This Row],[Revised Due Date]],"")</f>
        <v/>
      </c>
      <c r="I639" s="65" t="s">
        <v>912</v>
      </c>
      <c r="J639" s="65" t="s">
        <v>52</v>
      </c>
      <c r="K639" s="65" t="s">
        <v>4</v>
      </c>
      <c r="L639" s="67"/>
      <c r="M639" s="69" t="str">
        <f>IF(Main[[#This Row],[Tech Start Date]]&lt;1/1/1990,"",IF(Main[[#This Row],[Class]]="C",WORKDAY(Main[[#This Row],[Tech Start Date]],9),IF(Main[[#This Row],[Class]]="B", WORKDAY(Main[[#This Row],[Tech Start Date]],6),IF(Main[[#This Row],[Class]]="A",WORKDAY(Main[[#This Row],[Tech Start Date]],2),""))))</f>
        <v/>
      </c>
      <c r="N639" s="69" t="str">
        <f>IF(Main[[#This Row],[Tech Start Date]]&lt;1/1/1990,"",IF(Main[[#This Row],[Class]]="C",WORKDAY(Main[[#This Row],[Tech Start Date]],19),IF(Main[[#This Row],[Class]]="B", WORKDAY(Main[[#This Row],[Tech Start Date]],12),IF(Main[[#This Row],[Class]]="A",WORKDAY(Main[[#This Row],[Tech Start Date]],4),""))))</f>
        <v/>
      </c>
      <c r="O639" s="69" t="str">
        <f>IF(Main[[#This Row],[Tech Start Date]]&lt;1/1/1990,"",IF(Main[[#This Row],[Class]]="C",WORKDAY(Main[[#This Row],[Tech Start Date]],23),IF(Main[[#This Row],[Class]]="B", WORKDAY(Main[[#This Row],[Tech Start Date]],15),IF(Main[[#This Row],[Class]]="A",WORKDAY(Main[[#This Row],[Tech Start Date]],5),""))))</f>
        <v/>
      </c>
      <c r="P639" s="69" t="str">
        <f>IF(Main[[#This Row],[Tech Start Date]]&lt;1/1/1990,"",IF(Main[[#This Row],[Class]]="C",WORKDAY(Main[[#This Row],[Tech Start Date]],28),IF(Main[[#This Row],[Class]]="B", WORKDAY(Main[[#This Row],[Tech Start Date]],19),IF(Main[[#This Row],[Class]]="A",WORKDAY(Main[[#This Row],[Tech Start Date]],9),""))))</f>
        <v/>
      </c>
      <c r="Q639" s="67"/>
      <c r="R639" s="67"/>
      <c r="S639" s="65" t="s">
        <v>6</v>
      </c>
      <c r="T639" s="70" t="s">
        <v>4</v>
      </c>
      <c r="U639" s="65" t="s">
        <v>29</v>
      </c>
      <c r="V639" s="65" t="s">
        <v>1914</v>
      </c>
      <c r="W639" s="65" t="s">
        <v>1918</v>
      </c>
      <c r="X639" s="65" t="s">
        <v>937</v>
      </c>
      <c r="Y639" s="65" t="s">
        <v>2984</v>
      </c>
      <c r="Z639" s="65" t="s">
        <v>129</v>
      </c>
      <c r="AA639" s="65" t="s">
        <v>937</v>
      </c>
    </row>
    <row r="640" spans="1:27" ht="17.45" hidden="1" customHeight="1">
      <c r="A640" s="100" t="str">
        <f>IF(priority(Main[[#This Row],[Comments]])&lt;&gt;0, priority(Main[[#This Row],[Comments]]),"")</f>
        <v/>
      </c>
      <c r="B640" s="77" t="s">
        <v>2383</v>
      </c>
      <c r="C640" s="65" t="s">
        <v>47</v>
      </c>
      <c r="D640" s="66" t="s">
        <v>2384</v>
      </c>
      <c r="E640" s="67">
        <v>40847.703090277777</v>
      </c>
      <c r="F640" s="67"/>
      <c r="G640" s="64" t="str">
        <f>IF(stdProdLT(Main[[#This Row],[Comments]])=0.1,"N/A",IF(stdProdLT(Main[[#This Row],[Comments]])=0,"",stdProdLT(Main[[#This Row],[Comments]])))</f>
        <v/>
      </c>
      <c r="H640" s="68" t="str">
        <f>IF(AND(Main[[#This Row],[In Stock Date]]&lt;&gt;"",Main[[#This Row],[Revised Due Date]]&lt;&gt;""),Main[[#This Row],[In Stock Date]]-Main[[#This Row],[Revised Due Date]],"")</f>
        <v/>
      </c>
      <c r="I640" s="65" t="s">
        <v>69</v>
      </c>
      <c r="J640" s="65" t="s">
        <v>28</v>
      </c>
      <c r="K640" s="65" t="s">
        <v>1923</v>
      </c>
      <c r="L640" s="67"/>
      <c r="M640" s="69" t="str">
        <f>IF(Main[[#This Row],[Tech Start Date]]&lt;1/1/1990,"",IF(Main[[#This Row],[Class]]="C",WORKDAY(Main[[#This Row],[Tech Start Date]],9),IF(Main[[#This Row],[Class]]="B", WORKDAY(Main[[#This Row],[Tech Start Date]],6),IF(Main[[#This Row],[Class]]="A",WORKDAY(Main[[#This Row],[Tech Start Date]],2),""))))</f>
        <v/>
      </c>
      <c r="N640" s="69" t="str">
        <f>IF(Main[[#This Row],[Tech Start Date]]&lt;1/1/1990,"",IF(Main[[#This Row],[Class]]="C",WORKDAY(Main[[#This Row],[Tech Start Date]],19),IF(Main[[#This Row],[Class]]="B", WORKDAY(Main[[#This Row],[Tech Start Date]],12),IF(Main[[#This Row],[Class]]="A",WORKDAY(Main[[#This Row],[Tech Start Date]],4),""))))</f>
        <v/>
      </c>
      <c r="O640" s="69" t="str">
        <f>IF(Main[[#This Row],[Tech Start Date]]&lt;1/1/1990,"",IF(Main[[#This Row],[Class]]="C",WORKDAY(Main[[#This Row],[Tech Start Date]],23),IF(Main[[#This Row],[Class]]="B", WORKDAY(Main[[#This Row],[Tech Start Date]],15),IF(Main[[#This Row],[Class]]="A",WORKDAY(Main[[#This Row],[Tech Start Date]],5),""))))</f>
        <v/>
      </c>
      <c r="P640" s="69" t="str">
        <f>IF(Main[[#This Row],[Tech Start Date]]&lt;1/1/1990,"",IF(Main[[#This Row],[Class]]="C",WORKDAY(Main[[#This Row],[Tech Start Date]],28),IF(Main[[#This Row],[Class]]="B", WORKDAY(Main[[#This Row],[Tech Start Date]],19),IF(Main[[#This Row],[Class]]="A",WORKDAY(Main[[#This Row],[Tech Start Date]],9),""))))</f>
        <v/>
      </c>
      <c r="Q640" s="67">
        <v>40862</v>
      </c>
      <c r="R640" s="67"/>
      <c r="S640" s="65" t="s">
        <v>6</v>
      </c>
      <c r="T640" s="70" t="s">
        <v>4</v>
      </c>
      <c r="U640" s="65" t="s">
        <v>29</v>
      </c>
      <c r="V640" s="65" t="s">
        <v>1917</v>
      </c>
      <c r="W640" s="65" t="s">
        <v>1918</v>
      </c>
      <c r="X640" s="65" t="s">
        <v>2865</v>
      </c>
      <c r="Y640" s="65" t="s">
        <v>3010</v>
      </c>
      <c r="Z640" s="65" t="s">
        <v>30</v>
      </c>
      <c r="AA640" s="65" t="s">
        <v>2865</v>
      </c>
    </row>
    <row r="641" spans="1:27" ht="17.45" hidden="1" customHeight="1">
      <c r="A641" s="100" t="str">
        <f>IF(priority(Main[[#This Row],[Comments]])&lt;&gt;0, priority(Main[[#This Row],[Comments]]),"")</f>
        <v/>
      </c>
      <c r="B641" s="77" t="s">
        <v>1635</v>
      </c>
      <c r="C641" s="65" t="s">
        <v>4</v>
      </c>
      <c r="D641" s="66" t="s">
        <v>2114</v>
      </c>
      <c r="E641" s="67">
        <v>40696.439942129633</v>
      </c>
      <c r="F641" s="67"/>
      <c r="G641" s="64" t="str">
        <f>IF(stdProdLT(Main[[#This Row],[Comments]])=0.1,"N/A",IF(stdProdLT(Main[[#This Row],[Comments]])=0,"",stdProdLT(Main[[#This Row],[Comments]])))</f>
        <v/>
      </c>
      <c r="H641" s="68" t="str">
        <f>IF(AND(Main[[#This Row],[In Stock Date]]&lt;&gt;"",Main[[#This Row],[Revised Due Date]]&lt;&gt;""),Main[[#This Row],[In Stock Date]]-Main[[#This Row],[Revised Due Date]],"")</f>
        <v/>
      </c>
      <c r="I641" s="65" t="s">
        <v>941</v>
      </c>
      <c r="J641" s="65" t="s">
        <v>4</v>
      </c>
      <c r="K641" s="65" t="s">
        <v>4</v>
      </c>
      <c r="L641" s="67"/>
      <c r="M641" s="69" t="str">
        <f>IF(Main[[#This Row],[Tech Start Date]]&lt;1/1/1990,"",IF(Main[[#This Row],[Class]]="C",WORKDAY(Main[[#This Row],[Tech Start Date]],9),IF(Main[[#This Row],[Class]]="B", WORKDAY(Main[[#This Row],[Tech Start Date]],6),IF(Main[[#This Row],[Class]]="A",WORKDAY(Main[[#This Row],[Tech Start Date]],2),""))))</f>
        <v/>
      </c>
      <c r="N641" s="69" t="str">
        <f>IF(Main[[#This Row],[Tech Start Date]]&lt;1/1/1990,"",IF(Main[[#This Row],[Class]]="C",WORKDAY(Main[[#This Row],[Tech Start Date]],19),IF(Main[[#This Row],[Class]]="B", WORKDAY(Main[[#This Row],[Tech Start Date]],12),IF(Main[[#This Row],[Class]]="A",WORKDAY(Main[[#This Row],[Tech Start Date]],4),""))))</f>
        <v/>
      </c>
      <c r="O641" s="69" t="str">
        <f>IF(Main[[#This Row],[Tech Start Date]]&lt;1/1/1990,"",IF(Main[[#This Row],[Class]]="C",WORKDAY(Main[[#This Row],[Tech Start Date]],23),IF(Main[[#This Row],[Class]]="B", WORKDAY(Main[[#This Row],[Tech Start Date]],15),IF(Main[[#This Row],[Class]]="A",WORKDAY(Main[[#This Row],[Tech Start Date]],5),""))))</f>
        <v/>
      </c>
      <c r="P641" s="69" t="str">
        <f>IF(Main[[#This Row],[Tech Start Date]]&lt;1/1/1990,"",IF(Main[[#This Row],[Class]]="C",WORKDAY(Main[[#This Row],[Tech Start Date]],28),IF(Main[[#This Row],[Class]]="B", WORKDAY(Main[[#This Row],[Tech Start Date]],19),IF(Main[[#This Row],[Class]]="A",WORKDAY(Main[[#This Row],[Tech Start Date]],9),""))))</f>
        <v/>
      </c>
      <c r="Q641" s="67"/>
      <c r="R641" s="67">
        <v>40815</v>
      </c>
      <c r="S641" s="65" t="s">
        <v>6</v>
      </c>
      <c r="T641" s="70" t="s">
        <v>4</v>
      </c>
      <c r="U641" s="65" t="s">
        <v>29</v>
      </c>
      <c r="V641" s="65" t="s">
        <v>1915</v>
      </c>
      <c r="W641" s="65" t="s">
        <v>1922</v>
      </c>
      <c r="X641" s="65" t="s">
        <v>941</v>
      </c>
      <c r="Y641" s="65" t="s">
        <v>2995</v>
      </c>
      <c r="Z641" s="65" t="s">
        <v>2053</v>
      </c>
      <c r="AA641" s="65" t="s">
        <v>941</v>
      </c>
    </row>
    <row r="642" spans="1:27" ht="17.45" hidden="1" customHeight="1">
      <c r="A642" s="100" t="str">
        <f>IF(priority(Main[[#This Row],[Comments]])&lt;&gt;0, priority(Main[[#This Row],[Comments]]),"")</f>
        <v/>
      </c>
      <c r="B642" s="77" t="s">
        <v>1425</v>
      </c>
      <c r="C642" s="65" t="s">
        <v>4</v>
      </c>
      <c r="D642" s="66" t="s">
        <v>2385</v>
      </c>
      <c r="E642" s="67">
        <v>40561.285520833335</v>
      </c>
      <c r="F642" s="67"/>
      <c r="G642" s="64" t="str">
        <f>IF(stdProdLT(Main[[#This Row],[Comments]])=0.1,"N/A",IF(stdProdLT(Main[[#This Row],[Comments]])=0,"",stdProdLT(Main[[#This Row],[Comments]])))</f>
        <v/>
      </c>
      <c r="H642" s="68" t="str">
        <f>IF(AND(Main[[#This Row],[In Stock Date]]&lt;&gt;"",Main[[#This Row],[Revised Due Date]]&lt;&gt;""),Main[[#This Row],[In Stock Date]]-Main[[#This Row],[Revised Due Date]],"")</f>
        <v/>
      </c>
      <c r="I642" s="65" t="s">
        <v>912</v>
      </c>
      <c r="J642" s="65" t="s">
        <v>52</v>
      </c>
      <c r="K642" s="65" t="s">
        <v>1921</v>
      </c>
      <c r="L642" s="67"/>
      <c r="M642" s="69" t="str">
        <f>IF(Main[[#This Row],[Tech Start Date]]&lt;1/1/1990,"",IF(Main[[#This Row],[Class]]="C",WORKDAY(Main[[#This Row],[Tech Start Date]],9),IF(Main[[#This Row],[Class]]="B", WORKDAY(Main[[#This Row],[Tech Start Date]],6),IF(Main[[#This Row],[Class]]="A",WORKDAY(Main[[#This Row],[Tech Start Date]],2),""))))</f>
        <v/>
      </c>
      <c r="N642" s="69" t="str">
        <f>IF(Main[[#This Row],[Tech Start Date]]&lt;1/1/1990,"",IF(Main[[#This Row],[Class]]="C",WORKDAY(Main[[#This Row],[Tech Start Date]],19),IF(Main[[#This Row],[Class]]="B", WORKDAY(Main[[#This Row],[Tech Start Date]],12),IF(Main[[#This Row],[Class]]="A",WORKDAY(Main[[#This Row],[Tech Start Date]],4),""))))</f>
        <v/>
      </c>
      <c r="O642" s="69" t="str">
        <f>IF(Main[[#This Row],[Tech Start Date]]&lt;1/1/1990,"",IF(Main[[#This Row],[Class]]="C",WORKDAY(Main[[#This Row],[Tech Start Date]],23),IF(Main[[#This Row],[Class]]="B", WORKDAY(Main[[#This Row],[Tech Start Date]],15),IF(Main[[#This Row],[Class]]="A",WORKDAY(Main[[#This Row],[Tech Start Date]],5),""))))</f>
        <v/>
      </c>
      <c r="P642" s="69" t="str">
        <f>IF(Main[[#This Row],[Tech Start Date]]&lt;1/1/1990,"",IF(Main[[#This Row],[Class]]="C",WORKDAY(Main[[#This Row],[Tech Start Date]],28),IF(Main[[#This Row],[Class]]="B", WORKDAY(Main[[#This Row],[Tech Start Date]],19),IF(Main[[#This Row],[Class]]="A",WORKDAY(Main[[#This Row],[Tech Start Date]],9),""))))</f>
        <v/>
      </c>
      <c r="Q642" s="67">
        <v>40595</v>
      </c>
      <c r="R642" s="67"/>
      <c r="S642" s="65" t="s">
        <v>6</v>
      </c>
      <c r="T642" s="70" t="s">
        <v>4</v>
      </c>
      <c r="U642" s="65" t="s">
        <v>29</v>
      </c>
      <c r="V642" s="65" t="s">
        <v>1914</v>
      </c>
      <c r="W642" s="65" t="s">
        <v>1916</v>
      </c>
      <c r="X642" s="65" t="s">
        <v>2822</v>
      </c>
      <c r="Y642" s="65" t="s">
        <v>2938</v>
      </c>
      <c r="Z642" s="65" t="s">
        <v>129</v>
      </c>
      <c r="AA642" s="65" t="s">
        <v>2822</v>
      </c>
    </row>
    <row r="643" spans="1:27" ht="17.45" hidden="1" customHeight="1">
      <c r="A643" s="100" t="str">
        <f>IF(priority(Main[[#This Row],[Comments]])&lt;&gt;0, priority(Main[[#This Row],[Comments]]),"")</f>
        <v/>
      </c>
      <c r="B643" s="77" t="s">
        <v>1574</v>
      </c>
      <c r="C643" s="65" t="s">
        <v>4</v>
      </c>
      <c r="D643" s="66" t="s">
        <v>654</v>
      </c>
      <c r="E643" s="67"/>
      <c r="F643" s="67"/>
      <c r="G643" s="64" t="str">
        <f>IF(stdProdLT(Main[[#This Row],[Comments]])=0.1,"N/A",IF(stdProdLT(Main[[#This Row],[Comments]])=0,"",stdProdLT(Main[[#This Row],[Comments]])))</f>
        <v/>
      </c>
      <c r="H643" s="68" t="str">
        <f>IF(AND(Main[[#This Row],[In Stock Date]]&lt;&gt;"",Main[[#This Row],[Revised Due Date]]&lt;&gt;""),Main[[#This Row],[In Stock Date]]-Main[[#This Row],[Revised Due Date]],"")</f>
        <v/>
      </c>
      <c r="I643" s="65" t="s">
        <v>4</v>
      </c>
      <c r="J643" s="65" t="s">
        <v>4</v>
      </c>
      <c r="K643" s="65" t="s">
        <v>4</v>
      </c>
      <c r="L643" s="67"/>
      <c r="M643" s="69" t="str">
        <f>IF(Main[[#This Row],[Tech Start Date]]&lt;1/1/1990,"",IF(Main[[#This Row],[Class]]="C",WORKDAY(Main[[#This Row],[Tech Start Date]],9),IF(Main[[#This Row],[Class]]="B", WORKDAY(Main[[#This Row],[Tech Start Date]],6),IF(Main[[#This Row],[Class]]="A",WORKDAY(Main[[#This Row],[Tech Start Date]],2),""))))</f>
        <v/>
      </c>
      <c r="N643" s="69" t="str">
        <f>IF(Main[[#This Row],[Tech Start Date]]&lt;1/1/1990,"",IF(Main[[#This Row],[Class]]="C",WORKDAY(Main[[#This Row],[Tech Start Date]],19),IF(Main[[#This Row],[Class]]="B", WORKDAY(Main[[#This Row],[Tech Start Date]],12),IF(Main[[#This Row],[Class]]="A",WORKDAY(Main[[#This Row],[Tech Start Date]],4),""))))</f>
        <v/>
      </c>
      <c r="O643" s="69" t="str">
        <f>IF(Main[[#This Row],[Tech Start Date]]&lt;1/1/1990,"",IF(Main[[#This Row],[Class]]="C",WORKDAY(Main[[#This Row],[Tech Start Date]],23),IF(Main[[#This Row],[Class]]="B", WORKDAY(Main[[#This Row],[Tech Start Date]],15),IF(Main[[#This Row],[Class]]="A",WORKDAY(Main[[#This Row],[Tech Start Date]],5),""))))</f>
        <v/>
      </c>
      <c r="P643" s="69" t="str">
        <f>IF(Main[[#This Row],[Tech Start Date]]&lt;1/1/1990,"",IF(Main[[#This Row],[Class]]="C",WORKDAY(Main[[#This Row],[Tech Start Date]],28),IF(Main[[#This Row],[Class]]="B", WORKDAY(Main[[#This Row],[Tech Start Date]],19),IF(Main[[#This Row],[Class]]="A",WORKDAY(Main[[#This Row],[Tech Start Date]],9),""))))</f>
        <v/>
      </c>
      <c r="Q643" s="67"/>
      <c r="R643" s="67"/>
      <c r="S643" s="65" t="s">
        <v>6</v>
      </c>
      <c r="T643" s="70" t="s">
        <v>4</v>
      </c>
      <c r="U643" s="65" t="s">
        <v>12</v>
      </c>
      <c r="V643" s="65" t="s">
        <v>1914</v>
      </c>
      <c r="W643" s="65" t="s">
        <v>4</v>
      </c>
      <c r="X643" s="65" t="s">
        <v>708</v>
      </c>
      <c r="Y643" s="65" t="s">
        <v>3070</v>
      </c>
      <c r="Z643" s="65" t="s">
        <v>4</v>
      </c>
      <c r="AA643" s="65" t="s">
        <v>708</v>
      </c>
    </row>
    <row r="644" spans="1:27" ht="17.45" hidden="1" customHeight="1">
      <c r="A644" s="100" t="str">
        <f>IF(priority(Main[[#This Row],[Comments]])&lt;&gt;0, priority(Main[[#This Row],[Comments]]),"")</f>
        <v/>
      </c>
      <c r="B644" s="77" t="s">
        <v>1575</v>
      </c>
      <c r="C644" s="65" t="s">
        <v>4</v>
      </c>
      <c r="D644" s="66" t="s">
        <v>655</v>
      </c>
      <c r="E644" s="67"/>
      <c r="F644" s="67"/>
      <c r="G644" s="64" t="str">
        <f>IF(stdProdLT(Main[[#This Row],[Comments]])=0.1,"N/A",IF(stdProdLT(Main[[#This Row],[Comments]])=0,"",stdProdLT(Main[[#This Row],[Comments]])))</f>
        <v/>
      </c>
      <c r="H644" s="68" t="str">
        <f>IF(AND(Main[[#This Row],[In Stock Date]]&lt;&gt;"",Main[[#This Row],[Revised Due Date]]&lt;&gt;""),Main[[#This Row],[In Stock Date]]-Main[[#This Row],[Revised Due Date]],"")</f>
        <v/>
      </c>
      <c r="I644" s="65" t="s">
        <v>4</v>
      </c>
      <c r="J644" s="65" t="s">
        <v>4</v>
      </c>
      <c r="K644" s="65" t="s">
        <v>4</v>
      </c>
      <c r="L644" s="67"/>
      <c r="M644" s="69" t="str">
        <f>IF(Main[[#This Row],[Tech Start Date]]&lt;1/1/1990,"",IF(Main[[#This Row],[Class]]="C",WORKDAY(Main[[#This Row],[Tech Start Date]],9),IF(Main[[#This Row],[Class]]="B", WORKDAY(Main[[#This Row],[Tech Start Date]],6),IF(Main[[#This Row],[Class]]="A",WORKDAY(Main[[#This Row],[Tech Start Date]],2),""))))</f>
        <v/>
      </c>
      <c r="N644" s="69" t="str">
        <f>IF(Main[[#This Row],[Tech Start Date]]&lt;1/1/1990,"",IF(Main[[#This Row],[Class]]="C",WORKDAY(Main[[#This Row],[Tech Start Date]],19),IF(Main[[#This Row],[Class]]="B", WORKDAY(Main[[#This Row],[Tech Start Date]],12),IF(Main[[#This Row],[Class]]="A",WORKDAY(Main[[#This Row],[Tech Start Date]],4),""))))</f>
        <v/>
      </c>
      <c r="O644" s="69" t="str">
        <f>IF(Main[[#This Row],[Tech Start Date]]&lt;1/1/1990,"",IF(Main[[#This Row],[Class]]="C",WORKDAY(Main[[#This Row],[Tech Start Date]],23),IF(Main[[#This Row],[Class]]="B", WORKDAY(Main[[#This Row],[Tech Start Date]],15),IF(Main[[#This Row],[Class]]="A",WORKDAY(Main[[#This Row],[Tech Start Date]],5),""))))</f>
        <v/>
      </c>
      <c r="P644" s="69" t="str">
        <f>IF(Main[[#This Row],[Tech Start Date]]&lt;1/1/1990,"",IF(Main[[#This Row],[Class]]="C",WORKDAY(Main[[#This Row],[Tech Start Date]],28),IF(Main[[#This Row],[Class]]="B", WORKDAY(Main[[#This Row],[Tech Start Date]],19),IF(Main[[#This Row],[Class]]="A",WORKDAY(Main[[#This Row],[Tech Start Date]],9),""))))</f>
        <v/>
      </c>
      <c r="Q644" s="67"/>
      <c r="R644" s="67"/>
      <c r="S644" s="65" t="s">
        <v>6</v>
      </c>
      <c r="T644" s="70" t="s">
        <v>4</v>
      </c>
      <c r="U644" s="65" t="s">
        <v>14</v>
      </c>
      <c r="V644" s="65" t="s">
        <v>1914</v>
      </c>
      <c r="W644" s="65" t="s">
        <v>1922</v>
      </c>
      <c r="X644" s="65" t="s">
        <v>708</v>
      </c>
      <c r="Y644" s="65" t="s">
        <v>3084</v>
      </c>
      <c r="Z644" s="65" t="s">
        <v>4</v>
      </c>
      <c r="AA644" s="65" t="s">
        <v>3426</v>
      </c>
    </row>
    <row r="645" spans="1:27" ht="17.45" hidden="1" customHeight="1">
      <c r="A645" s="100" t="str">
        <f>IF(priority(Main[[#This Row],[Comments]])&lt;&gt;0, priority(Main[[#This Row],[Comments]]),"")</f>
        <v/>
      </c>
      <c r="B645" s="77" t="s">
        <v>1576</v>
      </c>
      <c r="C645" s="65" t="s">
        <v>4</v>
      </c>
      <c r="D645" s="66" t="s">
        <v>656</v>
      </c>
      <c r="E645" s="67"/>
      <c r="F645" s="67"/>
      <c r="G645" s="64" t="str">
        <f>IF(stdProdLT(Main[[#This Row],[Comments]])=0.1,"N/A",IF(stdProdLT(Main[[#This Row],[Comments]])=0,"",stdProdLT(Main[[#This Row],[Comments]])))</f>
        <v/>
      </c>
      <c r="H645" s="68" t="str">
        <f>IF(AND(Main[[#This Row],[In Stock Date]]&lt;&gt;"",Main[[#This Row],[Revised Due Date]]&lt;&gt;""),Main[[#This Row],[In Stock Date]]-Main[[#This Row],[Revised Due Date]],"")</f>
        <v/>
      </c>
      <c r="I645" s="65" t="s">
        <v>4</v>
      </c>
      <c r="J645" s="65" t="s">
        <v>4</v>
      </c>
      <c r="K645" s="65" t="s">
        <v>4</v>
      </c>
      <c r="L645" s="67"/>
      <c r="M645" s="69" t="str">
        <f>IF(Main[[#This Row],[Tech Start Date]]&lt;1/1/1990,"",IF(Main[[#This Row],[Class]]="C",WORKDAY(Main[[#This Row],[Tech Start Date]],9),IF(Main[[#This Row],[Class]]="B", WORKDAY(Main[[#This Row],[Tech Start Date]],6),IF(Main[[#This Row],[Class]]="A",WORKDAY(Main[[#This Row],[Tech Start Date]],2),""))))</f>
        <v/>
      </c>
      <c r="N645" s="69" t="str">
        <f>IF(Main[[#This Row],[Tech Start Date]]&lt;1/1/1990,"",IF(Main[[#This Row],[Class]]="C",WORKDAY(Main[[#This Row],[Tech Start Date]],19),IF(Main[[#This Row],[Class]]="B", WORKDAY(Main[[#This Row],[Tech Start Date]],12),IF(Main[[#This Row],[Class]]="A",WORKDAY(Main[[#This Row],[Tech Start Date]],4),""))))</f>
        <v/>
      </c>
      <c r="O645" s="69" t="str">
        <f>IF(Main[[#This Row],[Tech Start Date]]&lt;1/1/1990,"",IF(Main[[#This Row],[Class]]="C",WORKDAY(Main[[#This Row],[Tech Start Date]],23),IF(Main[[#This Row],[Class]]="B", WORKDAY(Main[[#This Row],[Tech Start Date]],15),IF(Main[[#This Row],[Class]]="A",WORKDAY(Main[[#This Row],[Tech Start Date]],5),""))))</f>
        <v/>
      </c>
      <c r="P645" s="69" t="str">
        <f>IF(Main[[#This Row],[Tech Start Date]]&lt;1/1/1990,"",IF(Main[[#This Row],[Class]]="C",WORKDAY(Main[[#This Row],[Tech Start Date]],28),IF(Main[[#This Row],[Class]]="B", WORKDAY(Main[[#This Row],[Tech Start Date]],19),IF(Main[[#This Row],[Class]]="A",WORKDAY(Main[[#This Row],[Tech Start Date]],9),""))))</f>
        <v/>
      </c>
      <c r="Q645" s="67"/>
      <c r="R645" s="67"/>
      <c r="S645" s="65" t="s">
        <v>11</v>
      </c>
      <c r="T645" s="70" t="s">
        <v>4</v>
      </c>
      <c r="U645" s="65" t="s">
        <v>12</v>
      </c>
      <c r="V645" s="65" t="s">
        <v>1914</v>
      </c>
      <c r="W645" s="65" t="s">
        <v>1918</v>
      </c>
      <c r="X645" s="65" t="s">
        <v>922</v>
      </c>
      <c r="Y645" s="65" t="s">
        <v>2992</v>
      </c>
      <c r="Z645" s="65" t="s">
        <v>4</v>
      </c>
      <c r="AA645" s="65" t="s">
        <v>3427</v>
      </c>
    </row>
    <row r="646" spans="1:27" ht="17.45" hidden="1" customHeight="1">
      <c r="A646" s="100" t="str">
        <f>IF(priority(Main[[#This Row],[Comments]])&lt;&gt;0, priority(Main[[#This Row],[Comments]]),"")</f>
        <v/>
      </c>
      <c r="B646" s="77" t="s">
        <v>1577</v>
      </c>
      <c r="C646" s="65" t="s">
        <v>4</v>
      </c>
      <c r="D646" s="66" t="s">
        <v>97</v>
      </c>
      <c r="E646" s="67"/>
      <c r="F646" s="67"/>
      <c r="G646" s="64" t="str">
        <f>IF(stdProdLT(Main[[#This Row],[Comments]])=0.1,"N/A",IF(stdProdLT(Main[[#This Row],[Comments]])=0,"",stdProdLT(Main[[#This Row],[Comments]])))</f>
        <v/>
      </c>
      <c r="H646" s="68" t="str">
        <f>IF(AND(Main[[#This Row],[In Stock Date]]&lt;&gt;"",Main[[#This Row],[Revised Due Date]]&lt;&gt;""),Main[[#This Row],[In Stock Date]]-Main[[#This Row],[Revised Due Date]],"")</f>
        <v/>
      </c>
      <c r="I646" s="65" t="s">
        <v>4</v>
      </c>
      <c r="J646" s="65" t="s">
        <v>4</v>
      </c>
      <c r="K646" s="65" t="s">
        <v>4</v>
      </c>
      <c r="L646" s="67"/>
      <c r="M646" s="69" t="str">
        <f>IF(Main[[#This Row],[Tech Start Date]]&lt;1/1/1990,"",IF(Main[[#This Row],[Class]]="C",WORKDAY(Main[[#This Row],[Tech Start Date]],9),IF(Main[[#This Row],[Class]]="B", WORKDAY(Main[[#This Row],[Tech Start Date]],6),IF(Main[[#This Row],[Class]]="A",WORKDAY(Main[[#This Row],[Tech Start Date]],2),""))))</f>
        <v/>
      </c>
      <c r="N646" s="69" t="str">
        <f>IF(Main[[#This Row],[Tech Start Date]]&lt;1/1/1990,"",IF(Main[[#This Row],[Class]]="C",WORKDAY(Main[[#This Row],[Tech Start Date]],19),IF(Main[[#This Row],[Class]]="B", WORKDAY(Main[[#This Row],[Tech Start Date]],12),IF(Main[[#This Row],[Class]]="A",WORKDAY(Main[[#This Row],[Tech Start Date]],4),""))))</f>
        <v/>
      </c>
      <c r="O646" s="69" t="str">
        <f>IF(Main[[#This Row],[Tech Start Date]]&lt;1/1/1990,"",IF(Main[[#This Row],[Class]]="C",WORKDAY(Main[[#This Row],[Tech Start Date]],23),IF(Main[[#This Row],[Class]]="B", WORKDAY(Main[[#This Row],[Tech Start Date]],15),IF(Main[[#This Row],[Class]]="A",WORKDAY(Main[[#This Row],[Tech Start Date]],5),""))))</f>
        <v/>
      </c>
      <c r="P646" s="69" t="str">
        <f>IF(Main[[#This Row],[Tech Start Date]]&lt;1/1/1990,"",IF(Main[[#This Row],[Class]]="C",WORKDAY(Main[[#This Row],[Tech Start Date]],28),IF(Main[[#This Row],[Class]]="B", WORKDAY(Main[[#This Row],[Tech Start Date]],19),IF(Main[[#This Row],[Class]]="A",WORKDAY(Main[[#This Row],[Tech Start Date]],9),""))))</f>
        <v/>
      </c>
      <c r="Q646" s="67">
        <v>40858</v>
      </c>
      <c r="R646" s="67"/>
      <c r="S646" s="65" t="s">
        <v>17</v>
      </c>
      <c r="T646" s="70" t="s">
        <v>4</v>
      </c>
      <c r="U646" s="65" t="s">
        <v>14</v>
      </c>
      <c r="V646" s="65" t="s">
        <v>1914</v>
      </c>
      <c r="W646" s="65" t="s">
        <v>1919</v>
      </c>
      <c r="X646" s="65" t="s">
        <v>50</v>
      </c>
      <c r="Y646" s="65" t="s">
        <v>2959</v>
      </c>
      <c r="Z646" s="65" t="s">
        <v>4</v>
      </c>
      <c r="AA646" s="65" t="s">
        <v>2828</v>
      </c>
    </row>
    <row r="647" spans="1:27" ht="17.45" hidden="1" customHeight="1">
      <c r="A647" s="100" t="str">
        <f>IF(priority(Main[[#This Row],[Comments]])&lt;&gt;0, priority(Main[[#This Row],[Comments]]),"")</f>
        <v/>
      </c>
      <c r="B647" s="77" t="s">
        <v>1850</v>
      </c>
      <c r="C647" s="65" t="s">
        <v>67</v>
      </c>
      <c r="D647" s="66" t="s">
        <v>906</v>
      </c>
      <c r="E647" s="67">
        <v>39981.49428240741</v>
      </c>
      <c r="F647" s="67"/>
      <c r="G647" s="64" t="str">
        <f>IF(stdProdLT(Main[[#This Row],[Comments]])=0.1,"N/A",IF(stdProdLT(Main[[#This Row],[Comments]])=0,"",stdProdLT(Main[[#This Row],[Comments]])))</f>
        <v/>
      </c>
      <c r="H647" s="68" t="str">
        <f>IF(AND(Main[[#This Row],[In Stock Date]]&lt;&gt;"",Main[[#This Row],[Revised Due Date]]&lt;&gt;""),Main[[#This Row],[In Stock Date]]-Main[[#This Row],[Revised Due Date]],"")</f>
        <v/>
      </c>
      <c r="I647" s="65" t="s">
        <v>974</v>
      </c>
      <c r="J647" s="65" t="s">
        <v>4</v>
      </c>
      <c r="K647" s="65" t="s">
        <v>1926</v>
      </c>
      <c r="L647" s="67"/>
      <c r="M647" s="69" t="str">
        <f>IF(Main[[#This Row],[Tech Start Date]]&lt;1/1/1990,"",IF(Main[[#This Row],[Class]]="C",WORKDAY(Main[[#This Row],[Tech Start Date]],9),IF(Main[[#This Row],[Class]]="B", WORKDAY(Main[[#This Row],[Tech Start Date]],6),IF(Main[[#This Row],[Class]]="A",WORKDAY(Main[[#This Row],[Tech Start Date]],2),""))))</f>
        <v/>
      </c>
      <c r="N647" s="69" t="str">
        <f>IF(Main[[#This Row],[Tech Start Date]]&lt;1/1/1990,"",IF(Main[[#This Row],[Class]]="C",WORKDAY(Main[[#This Row],[Tech Start Date]],19),IF(Main[[#This Row],[Class]]="B", WORKDAY(Main[[#This Row],[Tech Start Date]],12),IF(Main[[#This Row],[Class]]="A",WORKDAY(Main[[#This Row],[Tech Start Date]],4),""))))</f>
        <v/>
      </c>
      <c r="O647" s="69" t="str">
        <f>IF(Main[[#This Row],[Tech Start Date]]&lt;1/1/1990,"",IF(Main[[#This Row],[Class]]="C",WORKDAY(Main[[#This Row],[Tech Start Date]],23),IF(Main[[#This Row],[Class]]="B", WORKDAY(Main[[#This Row],[Tech Start Date]],15),IF(Main[[#This Row],[Class]]="A",WORKDAY(Main[[#This Row],[Tech Start Date]],5),""))))</f>
        <v/>
      </c>
      <c r="P647" s="69" t="str">
        <f>IF(Main[[#This Row],[Tech Start Date]]&lt;1/1/1990,"",IF(Main[[#This Row],[Class]]="C",WORKDAY(Main[[#This Row],[Tech Start Date]],28),IF(Main[[#This Row],[Class]]="B", WORKDAY(Main[[#This Row],[Tech Start Date]],19),IF(Main[[#This Row],[Class]]="A",WORKDAY(Main[[#This Row],[Tech Start Date]],9),""))))</f>
        <v/>
      </c>
      <c r="Q647" s="67">
        <v>40057</v>
      </c>
      <c r="R647" s="67">
        <v>40908</v>
      </c>
      <c r="S647" s="65" t="s">
        <v>17</v>
      </c>
      <c r="T647" s="70" t="s">
        <v>4</v>
      </c>
      <c r="U647" s="65" t="s">
        <v>29</v>
      </c>
      <c r="V647" s="65" t="s">
        <v>1917</v>
      </c>
      <c r="W647" s="65" t="s">
        <v>1919</v>
      </c>
      <c r="X647" s="65" t="s">
        <v>2820</v>
      </c>
      <c r="Y647" s="65" t="s">
        <v>3028</v>
      </c>
      <c r="Z647" s="65" t="s">
        <v>415</v>
      </c>
      <c r="AA647" s="65" t="s">
        <v>2858</v>
      </c>
    </row>
    <row r="648" spans="1:27" ht="17.45" hidden="1" customHeight="1">
      <c r="A648" s="100" t="str">
        <f>IF(priority(Main[[#This Row],[Comments]])&lt;&gt;0, priority(Main[[#This Row],[Comments]]),"")</f>
        <v/>
      </c>
      <c r="B648" s="77" t="s">
        <v>1832</v>
      </c>
      <c r="C648" s="65" t="s">
        <v>4</v>
      </c>
      <c r="D648" s="66" t="s">
        <v>885</v>
      </c>
      <c r="E648" s="67">
        <v>40045.443194444444</v>
      </c>
      <c r="F648" s="67"/>
      <c r="G648" s="64" t="str">
        <f>IF(stdProdLT(Main[[#This Row],[Comments]])=0.1,"N/A",IF(stdProdLT(Main[[#This Row],[Comments]])=0,"",stdProdLT(Main[[#This Row],[Comments]])))</f>
        <v/>
      </c>
      <c r="H648" s="68" t="str">
        <f>IF(AND(Main[[#This Row],[In Stock Date]]&lt;&gt;"",Main[[#This Row],[Revised Due Date]]&lt;&gt;""),Main[[#This Row],[In Stock Date]]-Main[[#This Row],[Revised Due Date]],"")</f>
        <v/>
      </c>
      <c r="I648" s="65" t="s">
        <v>886</v>
      </c>
      <c r="J648" s="65" t="s">
        <v>4</v>
      </c>
      <c r="K648" s="65" t="s">
        <v>1926</v>
      </c>
      <c r="L648" s="67"/>
      <c r="M648" s="69" t="str">
        <f>IF(Main[[#This Row],[Tech Start Date]]&lt;1/1/1990,"",IF(Main[[#This Row],[Class]]="C",WORKDAY(Main[[#This Row],[Tech Start Date]],9),IF(Main[[#This Row],[Class]]="B", WORKDAY(Main[[#This Row],[Tech Start Date]],6),IF(Main[[#This Row],[Class]]="A",WORKDAY(Main[[#This Row],[Tech Start Date]],2),""))))</f>
        <v/>
      </c>
      <c r="N648" s="69" t="str">
        <f>IF(Main[[#This Row],[Tech Start Date]]&lt;1/1/1990,"",IF(Main[[#This Row],[Class]]="C",WORKDAY(Main[[#This Row],[Tech Start Date]],19),IF(Main[[#This Row],[Class]]="B", WORKDAY(Main[[#This Row],[Tech Start Date]],12),IF(Main[[#This Row],[Class]]="A",WORKDAY(Main[[#This Row],[Tech Start Date]],4),""))))</f>
        <v/>
      </c>
      <c r="O648" s="69" t="str">
        <f>IF(Main[[#This Row],[Tech Start Date]]&lt;1/1/1990,"",IF(Main[[#This Row],[Class]]="C",WORKDAY(Main[[#This Row],[Tech Start Date]],23),IF(Main[[#This Row],[Class]]="B", WORKDAY(Main[[#This Row],[Tech Start Date]],15),IF(Main[[#This Row],[Class]]="A",WORKDAY(Main[[#This Row],[Tech Start Date]],5),""))))</f>
        <v/>
      </c>
      <c r="P648" s="69" t="str">
        <f>IF(Main[[#This Row],[Tech Start Date]]&lt;1/1/1990,"",IF(Main[[#This Row],[Class]]="C",WORKDAY(Main[[#This Row],[Tech Start Date]],28),IF(Main[[#This Row],[Class]]="B", WORKDAY(Main[[#This Row],[Tech Start Date]],19),IF(Main[[#This Row],[Class]]="A",WORKDAY(Main[[#This Row],[Tech Start Date]],9),""))))</f>
        <v/>
      </c>
      <c r="Q648" s="67">
        <v>40359</v>
      </c>
      <c r="R648" s="67">
        <v>40420</v>
      </c>
      <c r="S648" s="65" t="s">
        <v>6</v>
      </c>
      <c r="T648" s="70" t="s">
        <v>4</v>
      </c>
      <c r="U648" s="65" t="s">
        <v>29</v>
      </c>
      <c r="V648" s="65" t="s">
        <v>1914</v>
      </c>
      <c r="W648" s="65" t="s">
        <v>1918</v>
      </c>
      <c r="X648" s="65" t="s">
        <v>969</v>
      </c>
      <c r="Y648" s="65" t="s">
        <v>3085</v>
      </c>
      <c r="Z648" s="65" t="s">
        <v>4</v>
      </c>
      <c r="AA648" s="65" t="s">
        <v>969</v>
      </c>
    </row>
    <row r="649" spans="1:27" ht="17.45" hidden="1" customHeight="1">
      <c r="A649" s="100" t="str">
        <f>IF(priority(Main[[#This Row],[Comments]])&lt;&gt;0, priority(Main[[#This Row],[Comments]]),"")</f>
        <v/>
      </c>
      <c r="B649" s="77" t="s">
        <v>1579</v>
      </c>
      <c r="C649" s="65" t="s">
        <v>47</v>
      </c>
      <c r="D649" s="66" t="s">
        <v>659</v>
      </c>
      <c r="E649" s="67"/>
      <c r="F649" s="67"/>
      <c r="G649" s="64" t="str">
        <f>IF(stdProdLT(Main[[#This Row],[Comments]])=0.1,"N/A",IF(stdProdLT(Main[[#This Row],[Comments]])=0,"",stdProdLT(Main[[#This Row],[Comments]])))</f>
        <v/>
      </c>
      <c r="H649" s="68" t="str">
        <f>IF(AND(Main[[#This Row],[In Stock Date]]&lt;&gt;"",Main[[#This Row],[Revised Due Date]]&lt;&gt;""),Main[[#This Row],[In Stock Date]]-Main[[#This Row],[Revised Due Date]],"")</f>
        <v/>
      </c>
      <c r="I649" s="65" t="s">
        <v>4</v>
      </c>
      <c r="J649" s="65" t="s">
        <v>4</v>
      </c>
      <c r="K649" s="65" t="s">
        <v>4</v>
      </c>
      <c r="L649" s="67"/>
      <c r="M649" s="69" t="str">
        <f>IF(Main[[#This Row],[Tech Start Date]]&lt;1/1/1990,"",IF(Main[[#This Row],[Class]]="C",WORKDAY(Main[[#This Row],[Tech Start Date]],9),IF(Main[[#This Row],[Class]]="B", WORKDAY(Main[[#This Row],[Tech Start Date]],6),IF(Main[[#This Row],[Class]]="A",WORKDAY(Main[[#This Row],[Tech Start Date]],2),""))))</f>
        <v/>
      </c>
      <c r="N649" s="69" t="str">
        <f>IF(Main[[#This Row],[Tech Start Date]]&lt;1/1/1990,"",IF(Main[[#This Row],[Class]]="C",WORKDAY(Main[[#This Row],[Tech Start Date]],19),IF(Main[[#This Row],[Class]]="B", WORKDAY(Main[[#This Row],[Tech Start Date]],12),IF(Main[[#This Row],[Class]]="A",WORKDAY(Main[[#This Row],[Tech Start Date]],4),""))))</f>
        <v/>
      </c>
      <c r="O649" s="69" t="str">
        <f>IF(Main[[#This Row],[Tech Start Date]]&lt;1/1/1990,"",IF(Main[[#This Row],[Class]]="C",WORKDAY(Main[[#This Row],[Tech Start Date]],23),IF(Main[[#This Row],[Class]]="B", WORKDAY(Main[[#This Row],[Tech Start Date]],15),IF(Main[[#This Row],[Class]]="A",WORKDAY(Main[[#This Row],[Tech Start Date]],5),""))))</f>
        <v/>
      </c>
      <c r="P649" s="69" t="str">
        <f>IF(Main[[#This Row],[Tech Start Date]]&lt;1/1/1990,"",IF(Main[[#This Row],[Class]]="C",WORKDAY(Main[[#This Row],[Tech Start Date]],28),IF(Main[[#This Row],[Class]]="B", WORKDAY(Main[[#This Row],[Tech Start Date]],19),IF(Main[[#This Row],[Class]]="A",WORKDAY(Main[[#This Row],[Tech Start Date]],9),""))))</f>
        <v/>
      </c>
      <c r="Q649" s="67"/>
      <c r="R649" s="67"/>
      <c r="S649" s="65" t="s">
        <v>17</v>
      </c>
      <c r="T649" s="70" t="s">
        <v>4</v>
      </c>
      <c r="U649" s="65" t="s">
        <v>14</v>
      </c>
      <c r="V649" s="65" t="s">
        <v>1917</v>
      </c>
      <c r="W649" s="65" t="s">
        <v>4</v>
      </c>
      <c r="X649" s="65" t="s">
        <v>2859</v>
      </c>
      <c r="Y649" s="65" t="s">
        <v>2948</v>
      </c>
      <c r="Z649" s="65" t="s">
        <v>4</v>
      </c>
      <c r="AA649" s="65" t="s">
        <v>2859</v>
      </c>
    </row>
    <row r="650" spans="1:27" ht="17.45" hidden="1" customHeight="1">
      <c r="A650" s="100" t="str">
        <f>IF(priority(Main[[#This Row],[Comments]])&lt;&gt;0, priority(Main[[#This Row],[Comments]]),"")</f>
        <v/>
      </c>
      <c r="B650" s="77" t="s">
        <v>1580</v>
      </c>
      <c r="C650" s="65" t="s">
        <v>277</v>
      </c>
      <c r="D650" s="66" t="s">
        <v>660</v>
      </c>
      <c r="E650" s="67"/>
      <c r="F650" s="67">
        <v>40567</v>
      </c>
      <c r="G650" s="64" t="str">
        <f>IF(stdProdLT(Main[[#This Row],[Comments]])=0.1,"N/A",IF(stdProdLT(Main[[#This Row],[Comments]])=0,"",stdProdLT(Main[[#This Row],[Comments]])))</f>
        <v/>
      </c>
      <c r="H650" s="68" t="str">
        <f>IF(AND(Main[[#This Row],[In Stock Date]]&lt;&gt;"",Main[[#This Row],[Revised Due Date]]&lt;&gt;""),Main[[#This Row],[In Stock Date]]-Main[[#This Row],[Revised Due Date]],"")</f>
        <v/>
      </c>
      <c r="I650" s="65" t="s">
        <v>4</v>
      </c>
      <c r="J650" s="65" t="s">
        <v>4</v>
      </c>
      <c r="K650" s="65" t="s">
        <v>4</v>
      </c>
      <c r="L650" s="67"/>
      <c r="M650" s="69" t="str">
        <f>IF(Main[[#This Row],[Tech Start Date]]&lt;1/1/1990,"",IF(Main[[#This Row],[Class]]="C",WORKDAY(Main[[#This Row],[Tech Start Date]],9),IF(Main[[#This Row],[Class]]="B", WORKDAY(Main[[#This Row],[Tech Start Date]],6),IF(Main[[#This Row],[Class]]="A",WORKDAY(Main[[#This Row],[Tech Start Date]],2),""))))</f>
        <v/>
      </c>
      <c r="N650" s="69" t="str">
        <f>IF(Main[[#This Row],[Tech Start Date]]&lt;1/1/1990,"",IF(Main[[#This Row],[Class]]="C",WORKDAY(Main[[#This Row],[Tech Start Date]],19),IF(Main[[#This Row],[Class]]="B", WORKDAY(Main[[#This Row],[Tech Start Date]],12),IF(Main[[#This Row],[Class]]="A",WORKDAY(Main[[#This Row],[Tech Start Date]],4),""))))</f>
        <v/>
      </c>
      <c r="O650" s="69" t="str">
        <f>IF(Main[[#This Row],[Tech Start Date]]&lt;1/1/1990,"",IF(Main[[#This Row],[Class]]="C",WORKDAY(Main[[#This Row],[Tech Start Date]],23),IF(Main[[#This Row],[Class]]="B", WORKDAY(Main[[#This Row],[Tech Start Date]],15),IF(Main[[#This Row],[Class]]="A",WORKDAY(Main[[#This Row],[Tech Start Date]],5),""))))</f>
        <v/>
      </c>
      <c r="P650" s="69" t="str">
        <f>IF(Main[[#This Row],[Tech Start Date]]&lt;1/1/1990,"",IF(Main[[#This Row],[Class]]="C",WORKDAY(Main[[#This Row],[Tech Start Date]],28),IF(Main[[#This Row],[Class]]="B", WORKDAY(Main[[#This Row],[Tech Start Date]],19),IF(Main[[#This Row],[Class]]="A",WORKDAY(Main[[#This Row],[Tech Start Date]],9),""))))</f>
        <v/>
      </c>
      <c r="Q650" s="67">
        <v>40427</v>
      </c>
      <c r="R650" s="67"/>
      <c r="S650" s="65" t="s">
        <v>11</v>
      </c>
      <c r="T650" s="70" t="s">
        <v>4</v>
      </c>
      <c r="U650" s="65" t="s">
        <v>12</v>
      </c>
      <c r="V650" s="65" t="s">
        <v>1914</v>
      </c>
      <c r="W650" s="65" t="s">
        <v>1922</v>
      </c>
      <c r="X650" s="65" t="s">
        <v>2843</v>
      </c>
      <c r="Y650" s="65" t="s">
        <v>4</v>
      </c>
      <c r="Z650" s="65" t="s">
        <v>4</v>
      </c>
      <c r="AA650" s="65" t="s">
        <v>2843</v>
      </c>
    </row>
    <row r="651" spans="1:27" ht="17.45" hidden="1" customHeight="1">
      <c r="A651" s="100" t="str">
        <f>IF(priority(Main[[#This Row],[Comments]])&lt;&gt;0, priority(Main[[#This Row],[Comments]]),"")</f>
        <v/>
      </c>
      <c r="B651" s="77" t="s">
        <v>2405</v>
      </c>
      <c r="C651" s="65" t="s">
        <v>4</v>
      </c>
      <c r="D651" s="66" t="s">
        <v>2731</v>
      </c>
      <c r="E651" s="67">
        <v>40905.580543981479</v>
      </c>
      <c r="F651" s="67"/>
      <c r="G651" s="64" t="str">
        <f>IF(stdProdLT(Main[[#This Row],[Comments]])=0.1,"N/A",IF(stdProdLT(Main[[#This Row],[Comments]])=0,"",stdProdLT(Main[[#This Row],[Comments]])))</f>
        <v/>
      </c>
      <c r="H651" s="68" t="str">
        <f>IF(AND(Main[[#This Row],[In Stock Date]]&lt;&gt;"",Main[[#This Row],[Revised Due Date]]&lt;&gt;""),Main[[#This Row],[In Stock Date]]-Main[[#This Row],[Revised Due Date]],"")</f>
        <v/>
      </c>
      <c r="I651" s="65" t="s">
        <v>2044</v>
      </c>
      <c r="J651" s="65" t="s">
        <v>28</v>
      </c>
      <c r="K651" s="65" t="s">
        <v>1923</v>
      </c>
      <c r="L651" s="67"/>
      <c r="M651" s="69" t="str">
        <f>IF(Main[[#This Row],[Tech Start Date]]&lt;1/1/1990,"",IF(Main[[#This Row],[Class]]="C",WORKDAY(Main[[#This Row],[Tech Start Date]],9),IF(Main[[#This Row],[Class]]="B", WORKDAY(Main[[#This Row],[Tech Start Date]],6),IF(Main[[#This Row],[Class]]="A",WORKDAY(Main[[#This Row],[Tech Start Date]],2),""))))</f>
        <v/>
      </c>
      <c r="N651" s="69" t="str">
        <f>IF(Main[[#This Row],[Tech Start Date]]&lt;1/1/1990,"",IF(Main[[#This Row],[Class]]="C",WORKDAY(Main[[#This Row],[Tech Start Date]],19),IF(Main[[#This Row],[Class]]="B", WORKDAY(Main[[#This Row],[Tech Start Date]],12),IF(Main[[#This Row],[Class]]="A",WORKDAY(Main[[#This Row],[Tech Start Date]],4),""))))</f>
        <v/>
      </c>
      <c r="O651" s="69" t="str">
        <f>IF(Main[[#This Row],[Tech Start Date]]&lt;1/1/1990,"",IF(Main[[#This Row],[Class]]="C",WORKDAY(Main[[#This Row],[Tech Start Date]],23),IF(Main[[#This Row],[Class]]="B", WORKDAY(Main[[#This Row],[Tech Start Date]],15),IF(Main[[#This Row],[Class]]="A",WORKDAY(Main[[#This Row],[Tech Start Date]],5),""))))</f>
        <v/>
      </c>
      <c r="P651" s="69" t="str">
        <f>IF(Main[[#This Row],[Tech Start Date]]&lt;1/1/1990,"",IF(Main[[#This Row],[Class]]="C",WORKDAY(Main[[#This Row],[Tech Start Date]],28),IF(Main[[#This Row],[Class]]="B", WORKDAY(Main[[#This Row],[Tech Start Date]],19),IF(Main[[#This Row],[Class]]="A",WORKDAY(Main[[#This Row],[Tech Start Date]],9),""))))</f>
        <v/>
      </c>
      <c r="Q651" s="67">
        <v>40967</v>
      </c>
      <c r="R651" s="67"/>
      <c r="S651" s="65" t="s">
        <v>6</v>
      </c>
      <c r="T651" s="70" t="s">
        <v>4</v>
      </c>
      <c r="U651" s="65" t="s">
        <v>29</v>
      </c>
      <c r="V651" s="65" t="s">
        <v>1917</v>
      </c>
      <c r="W651" s="65" t="s">
        <v>1918</v>
      </c>
      <c r="X651" s="65" t="s">
        <v>30</v>
      </c>
      <c r="Y651" s="65" t="s">
        <v>2940</v>
      </c>
      <c r="Z651" s="65" t="s">
        <v>30</v>
      </c>
      <c r="AA651" s="65" t="s">
        <v>30</v>
      </c>
    </row>
    <row r="652" spans="1:27" ht="17.45" hidden="1" customHeight="1">
      <c r="A652" s="100" t="str">
        <f>IF(priority(Main[[#This Row],[Comments]])&lt;&gt;0, priority(Main[[#This Row],[Comments]]),"")</f>
        <v/>
      </c>
      <c r="B652" s="77" t="s">
        <v>1583</v>
      </c>
      <c r="C652" s="65" t="s">
        <v>72</v>
      </c>
      <c r="D652" s="66" t="s">
        <v>662</v>
      </c>
      <c r="E652" s="67"/>
      <c r="F652" s="67"/>
      <c r="G652" s="64" t="str">
        <f>IF(stdProdLT(Main[[#This Row],[Comments]])=0.1,"N/A",IF(stdProdLT(Main[[#This Row],[Comments]])=0,"",stdProdLT(Main[[#This Row],[Comments]])))</f>
        <v/>
      </c>
      <c r="H652" s="68" t="str">
        <f>IF(AND(Main[[#This Row],[In Stock Date]]&lt;&gt;"",Main[[#This Row],[Revised Due Date]]&lt;&gt;""),Main[[#This Row],[In Stock Date]]-Main[[#This Row],[Revised Due Date]],"")</f>
        <v/>
      </c>
      <c r="I652" s="65" t="s">
        <v>4</v>
      </c>
      <c r="J652" s="65" t="s">
        <v>4</v>
      </c>
      <c r="K652" s="65" t="s">
        <v>4</v>
      </c>
      <c r="L652" s="67"/>
      <c r="M652" s="69" t="str">
        <f>IF(Main[[#This Row],[Tech Start Date]]&lt;1/1/1990,"",IF(Main[[#This Row],[Class]]="C",WORKDAY(Main[[#This Row],[Tech Start Date]],9),IF(Main[[#This Row],[Class]]="B", WORKDAY(Main[[#This Row],[Tech Start Date]],6),IF(Main[[#This Row],[Class]]="A",WORKDAY(Main[[#This Row],[Tech Start Date]],2),""))))</f>
        <v/>
      </c>
      <c r="N652" s="69" t="str">
        <f>IF(Main[[#This Row],[Tech Start Date]]&lt;1/1/1990,"",IF(Main[[#This Row],[Class]]="C",WORKDAY(Main[[#This Row],[Tech Start Date]],19),IF(Main[[#This Row],[Class]]="B", WORKDAY(Main[[#This Row],[Tech Start Date]],12),IF(Main[[#This Row],[Class]]="A",WORKDAY(Main[[#This Row],[Tech Start Date]],4),""))))</f>
        <v/>
      </c>
      <c r="O652" s="69" t="str">
        <f>IF(Main[[#This Row],[Tech Start Date]]&lt;1/1/1990,"",IF(Main[[#This Row],[Class]]="C",WORKDAY(Main[[#This Row],[Tech Start Date]],23),IF(Main[[#This Row],[Class]]="B", WORKDAY(Main[[#This Row],[Tech Start Date]],15),IF(Main[[#This Row],[Class]]="A",WORKDAY(Main[[#This Row],[Tech Start Date]],5),""))))</f>
        <v/>
      </c>
      <c r="P652" s="69" t="str">
        <f>IF(Main[[#This Row],[Tech Start Date]]&lt;1/1/1990,"",IF(Main[[#This Row],[Class]]="C",WORKDAY(Main[[#This Row],[Tech Start Date]],28),IF(Main[[#This Row],[Class]]="B", WORKDAY(Main[[#This Row],[Tech Start Date]],19),IF(Main[[#This Row],[Class]]="A",WORKDAY(Main[[#This Row],[Tech Start Date]],9),""))))</f>
        <v/>
      </c>
      <c r="Q652" s="67"/>
      <c r="R652" s="67"/>
      <c r="S652" s="65" t="s">
        <v>49</v>
      </c>
      <c r="T652" s="70" t="s">
        <v>4</v>
      </c>
      <c r="U652" s="65" t="s">
        <v>12</v>
      </c>
      <c r="V652" s="65" t="s">
        <v>1915</v>
      </c>
      <c r="W652" s="65" t="s">
        <v>1916</v>
      </c>
      <c r="X652" s="65" t="s">
        <v>2901</v>
      </c>
      <c r="Y652" s="65" t="s">
        <v>3079</v>
      </c>
      <c r="Z652" s="65" t="s">
        <v>4</v>
      </c>
      <c r="AA652" s="65" t="s">
        <v>2901</v>
      </c>
    </row>
    <row r="653" spans="1:27" ht="17.45" hidden="1" customHeight="1">
      <c r="A653" s="100" t="str">
        <f>IF(priority(Main[[#This Row],[Comments]])&lt;&gt;0, priority(Main[[#This Row],[Comments]]),"")</f>
        <v/>
      </c>
      <c r="B653" s="77" t="s">
        <v>1584</v>
      </c>
      <c r="C653" s="65" t="s">
        <v>33</v>
      </c>
      <c r="D653" s="66" t="s">
        <v>663</v>
      </c>
      <c r="E653" s="67"/>
      <c r="F653" s="67">
        <v>40566</v>
      </c>
      <c r="G653" s="64" t="str">
        <f>IF(stdProdLT(Main[[#This Row],[Comments]])=0.1,"N/A",IF(stdProdLT(Main[[#This Row],[Comments]])=0,"",stdProdLT(Main[[#This Row],[Comments]])))</f>
        <v/>
      </c>
      <c r="H653" s="68" t="str">
        <f>IF(AND(Main[[#This Row],[In Stock Date]]&lt;&gt;"",Main[[#This Row],[Revised Due Date]]&lt;&gt;""),Main[[#This Row],[In Stock Date]]-Main[[#This Row],[Revised Due Date]],"")</f>
        <v/>
      </c>
      <c r="I653" s="65" t="s">
        <v>4</v>
      </c>
      <c r="J653" s="65" t="s">
        <v>4</v>
      </c>
      <c r="K653" s="65" t="s">
        <v>4</v>
      </c>
      <c r="L653" s="67"/>
      <c r="M653" s="69" t="str">
        <f>IF(Main[[#This Row],[Tech Start Date]]&lt;1/1/1990,"",IF(Main[[#This Row],[Class]]="C",WORKDAY(Main[[#This Row],[Tech Start Date]],9),IF(Main[[#This Row],[Class]]="B", WORKDAY(Main[[#This Row],[Tech Start Date]],6),IF(Main[[#This Row],[Class]]="A",WORKDAY(Main[[#This Row],[Tech Start Date]],2),""))))</f>
        <v/>
      </c>
      <c r="N653" s="69" t="str">
        <f>IF(Main[[#This Row],[Tech Start Date]]&lt;1/1/1990,"",IF(Main[[#This Row],[Class]]="C",WORKDAY(Main[[#This Row],[Tech Start Date]],19),IF(Main[[#This Row],[Class]]="B", WORKDAY(Main[[#This Row],[Tech Start Date]],12),IF(Main[[#This Row],[Class]]="A",WORKDAY(Main[[#This Row],[Tech Start Date]],4),""))))</f>
        <v/>
      </c>
      <c r="O653" s="69" t="str">
        <f>IF(Main[[#This Row],[Tech Start Date]]&lt;1/1/1990,"",IF(Main[[#This Row],[Class]]="C",WORKDAY(Main[[#This Row],[Tech Start Date]],23),IF(Main[[#This Row],[Class]]="B", WORKDAY(Main[[#This Row],[Tech Start Date]],15),IF(Main[[#This Row],[Class]]="A",WORKDAY(Main[[#This Row],[Tech Start Date]],5),""))))</f>
        <v/>
      </c>
      <c r="P653" s="69" t="str">
        <f>IF(Main[[#This Row],[Tech Start Date]]&lt;1/1/1990,"",IF(Main[[#This Row],[Class]]="C",WORKDAY(Main[[#This Row],[Tech Start Date]],28),IF(Main[[#This Row],[Class]]="B", WORKDAY(Main[[#This Row],[Tech Start Date]],19),IF(Main[[#This Row],[Class]]="A",WORKDAY(Main[[#This Row],[Tech Start Date]],9),""))))</f>
        <v/>
      </c>
      <c r="Q653" s="67">
        <v>40532</v>
      </c>
      <c r="R653" s="67"/>
      <c r="S653" s="65" t="s">
        <v>11</v>
      </c>
      <c r="T653" s="70" t="s">
        <v>4</v>
      </c>
      <c r="U653" s="65" t="s">
        <v>12</v>
      </c>
      <c r="V653" s="65" t="s">
        <v>1915</v>
      </c>
      <c r="W653" s="65" t="s">
        <v>1922</v>
      </c>
      <c r="X653" s="65" t="s">
        <v>2875</v>
      </c>
      <c r="Y653" s="65" t="s">
        <v>3021</v>
      </c>
      <c r="Z653" s="65" t="s">
        <v>4</v>
      </c>
      <c r="AA653" s="65" t="s">
        <v>2875</v>
      </c>
    </row>
    <row r="654" spans="1:27" ht="17.45" hidden="1" customHeight="1">
      <c r="A654" s="100" t="str">
        <f>IF(priority(Main[[#This Row],[Comments]])&lt;&gt;0, priority(Main[[#This Row],[Comments]]),"")</f>
        <v/>
      </c>
      <c r="B654" s="77" t="s">
        <v>1585</v>
      </c>
      <c r="C654" s="65" t="s">
        <v>347</v>
      </c>
      <c r="D654" s="66" t="s">
        <v>664</v>
      </c>
      <c r="E654" s="67"/>
      <c r="F654" s="67"/>
      <c r="G654" s="64" t="str">
        <f>IF(stdProdLT(Main[[#This Row],[Comments]])=0.1,"N/A",IF(stdProdLT(Main[[#This Row],[Comments]])=0,"",stdProdLT(Main[[#This Row],[Comments]])))</f>
        <v/>
      </c>
      <c r="H654" s="68" t="str">
        <f>IF(AND(Main[[#This Row],[In Stock Date]]&lt;&gt;"",Main[[#This Row],[Revised Due Date]]&lt;&gt;""),Main[[#This Row],[In Stock Date]]-Main[[#This Row],[Revised Due Date]],"")</f>
        <v/>
      </c>
      <c r="I654" s="65" t="s">
        <v>4</v>
      </c>
      <c r="J654" s="65" t="s">
        <v>4</v>
      </c>
      <c r="K654" s="65" t="s">
        <v>4</v>
      </c>
      <c r="L654" s="67"/>
      <c r="M654" s="69" t="str">
        <f>IF(Main[[#This Row],[Tech Start Date]]&lt;1/1/1990,"",IF(Main[[#This Row],[Class]]="C",WORKDAY(Main[[#This Row],[Tech Start Date]],9),IF(Main[[#This Row],[Class]]="B", WORKDAY(Main[[#This Row],[Tech Start Date]],6),IF(Main[[#This Row],[Class]]="A",WORKDAY(Main[[#This Row],[Tech Start Date]],2),""))))</f>
        <v/>
      </c>
      <c r="N654" s="69" t="str">
        <f>IF(Main[[#This Row],[Tech Start Date]]&lt;1/1/1990,"",IF(Main[[#This Row],[Class]]="C",WORKDAY(Main[[#This Row],[Tech Start Date]],19),IF(Main[[#This Row],[Class]]="B", WORKDAY(Main[[#This Row],[Tech Start Date]],12),IF(Main[[#This Row],[Class]]="A",WORKDAY(Main[[#This Row],[Tech Start Date]],4),""))))</f>
        <v/>
      </c>
      <c r="O654" s="69" t="str">
        <f>IF(Main[[#This Row],[Tech Start Date]]&lt;1/1/1990,"",IF(Main[[#This Row],[Class]]="C",WORKDAY(Main[[#This Row],[Tech Start Date]],23),IF(Main[[#This Row],[Class]]="B", WORKDAY(Main[[#This Row],[Tech Start Date]],15),IF(Main[[#This Row],[Class]]="A",WORKDAY(Main[[#This Row],[Tech Start Date]],5),""))))</f>
        <v/>
      </c>
      <c r="P654" s="69" t="str">
        <f>IF(Main[[#This Row],[Tech Start Date]]&lt;1/1/1990,"",IF(Main[[#This Row],[Class]]="C",WORKDAY(Main[[#This Row],[Tech Start Date]],28),IF(Main[[#This Row],[Class]]="B", WORKDAY(Main[[#This Row],[Tech Start Date]],19),IF(Main[[#This Row],[Class]]="A",WORKDAY(Main[[#This Row],[Tech Start Date]],9),""))))</f>
        <v/>
      </c>
      <c r="Q654" s="67">
        <v>40494</v>
      </c>
      <c r="R654" s="67"/>
      <c r="S654" s="65" t="s">
        <v>11</v>
      </c>
      <c r="T654" s="70" t="s">
        <v>4</v>
      </c>
      <c r="U654" s="65" t="s">
        <v>14</v>
      </c>
      <c r="V654" s="65" t="s">
        <v>1924</v>
      </c>
      <c r="W654" s="65" t="s">
        <v>4</v>
      </c>
      <c r="X654" s="65" t="s">
        <v>2824</v>
      </c>
      <c r="Y654" s="65" t="s">
        <v>2943</v>
      </c>
      <c r="Z654" s="65" t="s">
        <v>4</v>
      </c>
      <c r="AA654" s="65" t="s">
        <v>2824</v>
      </c>
    </row>
    <row r="655" spans="1:27" ht="17.45" hidden="1" customHeight="1">
      <c r="A655" s="100" t="str">
        <f>IF(priority(Main[[#This Row],[Comments]])&lt;&gt;0, priority(Main[[#This Row],[Comments]]),"")</f>
        <v/>
      </c>
      <c r="B655" s="77" t="s">
        <v>1586</v>
      </c>
      <c r="C655" s="65" t="s">
        <v>4</v>
      </c>
      <c r="D655" s="66" t="s">
        <v>665</v>
      </c>
      <c r="E655" s="67">
        <v>40462.471782407411</v>
      </c>
      <c r="F655" s="67"/>
      <c r="G655" s="64" t="str">
        <f>IF(stdProdLT(Main[[#This Row],[Comments]])=0.1,"N/A",IF(stdProdLT(Main[[#This Row],[Comments]])=0,"",stdProdLT(Main[[#This Row],[Comments]])))</f>
        <v/>
      </c>
      <c r="H655" s="68" t="str">
        <f>IF(AND(Main[[#This Row],[In Stock Date]]&lt;&gt;"",Main[[#This Row],[Revised Due Date]]&lt;&gt;""),Main[[#This Row],[In Stock Date]]-Main[[#This Row],[Revised Due Date]],"")</f>
        <v/>
      </c>
      <c r="I655" s="65" t="s">
        <v>4</v>
      </c>
      <c r="J655" s="65" t="s">
        <v>4</v>
      </c>
      <c r="K655" s="65" t="s">
        <v>4</v>
      </c>
      <c r="L655" s="67"/>
      <c r="M655" s="69" t="str">
        <f>IF(Main[[#This Row],[Tech Start Date]]&lt;1/1/1990,"",IF(Main[[#This Row],[Class]]="C",WORKDAY(Main[[#This Row],[Tech Start Date]],9),IF(Main[[#This Row],[Class]]="B", WORKDAY(Main[[#This Row],[Tech Start Date]],6),IF(Main[[#This Row],[Class]]="A",WORKDAY(Main[[#This Row],[Tech Start Date]],2),""))))</f>
        <v/>
      </c>
      <c r="N655" s="69" t="str">
        <f>IF(Main[[#This Row],[Tech Start Date]]&lt;1/1/1990,"",IF(Main[[#This Row],[Class]]="C",WORKDAY(Main[[#This Row],[Tech Start Date]],19),IF(Main[[#This Row],[Class]]="B", WORKDAY(Main[[#This Row],[Tech Start Date]],12),IF(Main[[#This Row],[Class]]="A",WORKDAY(Main[[#This Row],[Tech Start Date]],4),""))))</f>
        <v/>
      </c>
      <c r="O655" s="69" t="str">
        <f>IF(Main[[#This Row],[Tech Start Date]]&lt;1/1/1990,"",IF(Main[[#This Row],[Class]]="C",WORKDAY(Main[[#This Row],[Tech Start Date]],23),IF(Main[[#This Row],[Class]]="B", WORKDAY(Main[[#This Row],[Tech Start Date]],15),IF(Main[[#This Row],[Class]]="A",WORKDAY(Main[[#This Row],[Tech Start Date]],5),""))))</f>
        <v/>
      </c>
      <c r="P655" s="69" t="str">
        <f>IF(Main[[#This Row],[Tech Start Date]]&lt;1/1/1990,"",IF(Main[[#This Row],[Class]]="C",WORKDAY(Main[[#This Row],[Tech Start Date]],28),IF(Main[[#This Row],[Class]]="B", WORKDAY(Main[[#This Row],[Tech Start Date]],19),IF(Main[[#This Row],[Class]]="A",WORKDAY(Main[[#This Row],[Tech Start Date]],9),""))))</f>
        <v/>
      </c>
      <c r="Q655" s="67"/>
      <c r="R655" s="67"/>
      <c r="S655" s="65" t="s">
        <v>6</v>
      </c>
      <c r="T655" s="70" t="s">
        <v>4</v>
      </c>
      <c r="U655" s="65" t="s">
        <v>7</v>
      </c>
      <c r="V655" s="65" t="s">
        <v>1914</v>
      </c>
      <c r="W655" s="65" t="s">
        <v>1918</v>
      </c>
      <c r="X655" s="65" t="s">
        <v>2866</v>
      </c>
      <c r="Y655" s="65" t="s">
        <v>3000</v>
      </c>
      <c r="Z655" s="65" t="s">
        <v>4</v>
      </c>
      <c r="AA655" s="65" t="s">
        <v>2866</v>
      </c>
    </row>
    <row r="656" spans="1:27" ht="17.45" hidden="1" customHeight="1">
      <c r="A656" s="100" t="str">
        <f>IF(priority(Main[[#This Row],[Comments]])&lt;&gt;0, priority(Main[[#This Row],[Comments]]),"")</f>
        <v/>
      </c>
      <c r="B656" s="77" t="s">
        <v>1587</v>
      </c>
      <c r="C656" s="65" t="s">
        <v>4</v>
      </c>
      <c r="D656" s="66" t="s">
        <v>39</v>
      </c>
      <c r="E656" s="67"/>
      <c r="F656" s="67"/>
      <c r="G656" s="64" t="str">
        <f>IF(stdProdLT(Main[[#This Row],[Comments]])=0.1,"N/A",IF(stdProdLT(Main[[#This Row],[Comments]])=0,"",stdProdLT(Main[[#This Row],[Comments]])))</f>
        <v/>
      </c>
      <c r="H656" s="68" t="str">
        <f>IF(AND(Main[[#This Row],[In Stock Date]]&lt;&gt;"",Main[[#This Row],[Revised Due Date]]&lt;&gt;""),Main[[#This Row],[In Stock Date]]-Main[[#This Row],[Revised Due Date]],"")</f>
        <v/>
      </c>
      <c r="I656" s="65" t="s">
        <v>4</v>
      </c>
      <c r="J656" s="65" t="s">
        <v>4</v>
      </c>
      <c r="K656" s="65" t="s">
        <v>4</v>
      </c>
      <c r="L656" s="67"/>
      <c r="M656" s="69" t="str">
        <f>IF(Main[[#This Row],[Tech Start Date]]&lt;1/1/1990,"",IF(Main[[#This Row],[Class]]="C",WORKDAY(Main[[#This Row],[Tech Start Date]],9),IF(Main[[#This Row],[Class]]="B", WORKDAY(Main[[#This Row],[Tech Start Date]],6),IF(Main[[#This Row],[Class]]="A",WORKDAY(Main[[#This Row],[Tech Start Date]],2),""))))</f>
        <v/>
      </c>
      <c r="N656" s="69" t="str">
        <f>IF(Main[[#This Row],[Tech Start Date]]&lt;1/1/1990,"",IF(Main[[#This Row],[Class]]="C",WORKDAY(Main[[#This Row],[Tech Start Date]],19),IF(Main[[#This Row],[Class]]="B", WORKDAY(Main[[#This Row],[Tech Start Date]],12),IF(Main[[#This Row],[Class]]="A",WORKDAY(Main[[#This Row],[Tech Start Date]],4),""))))</f>
        <v/>
      </c>
      <c r="O656" s="69" t="str">
        <f>IF(Main[[#This Row],[Tech Start Date]]&lt;1/1/1990,"",IF(Main[[#This Row],[Class]]="C",WORKDAY(Main[[#This Row],[Tech Start Date]],23),IF(Main[[#This Row],[Class]]="B", WORKDAY(Main[[#This Row],[Tech Start Date]],15),IF(Main[[#This Row],[Class]]="A",WORKDAY(Main[[#This Row],[Tech Start Date]],5),""))))</f>
        <v/>
      </c>
      <c r="P656" s="69" t="str">
        <f>IF(Main[[#This Row],[Tech Start Date]]&lt;1/1/1990,"",IF(Main[[#This Row],[Class]]="C",WORKDAY(Main[[#This Row],[Tech Start Date]],28),IF(Main[[#This Row],[Class]]="B", WORKDAY(Main[[#This Row],[Tech Start Date]],19),IF(Main[[#This Row],[Class]]="A",WORKDAY(Main[[#This Row],[Tech Start Date]],9),""))))</f>
        <v/>
      </c>
      <c r="Q656" s="67">
        <v>40669</v>
      </c>
      <c r="R656" s="67"/>
      <c r="S656" s="65" t="s">
        <v>6</v>
      </c>
      <c r="T656" s="70" t="s">
        <v>4</v>
      </c>
      <c r="U656" s="65" t="s">
        <v>14</v>
      </c>
      <c r="V656" s="65" t="s">
        <v>1917</v>
      </c>
      <c r="W656" s="65" t="s">
        <v>4</v>
      </c>
      <c r="X656" s="65" t="s">
        <v>2818</v>
      </c>
      <c r="Y656" s="65" t="s">
        <v>2929</v>
      </c>
      <c r="Z656" s="65" t="s">
        <v>4</v>
      </c>
      <c r="AA656" s="65" t="s">
        <v>2818</v>
      </c>
    </row>
    <row r="657" spans="1:27" ht="17.45" hidden="1" customHeight="1">
      <c r="A657" s="100" t="str">
        <f>IF(priority(Main[[#This Row],[Comments]])&lt;&gt;0, priority(Main[[#This Row],[Comments]]),"")</f>
        <v/>
      </c>
      <c r="B657" s="77" t="s">
        <v>1837</v>
      </c>
      <c r="C657" s="65" t="s">
        <v>4</v>
      </c>
      <c r="D657" s="66" t="s">
        <v>1948</v>
      </c>
      <c r="E657" s="67"/>
      <c r="F657" s="67">
        <v>40445</v>
      </c>
      <c r="G657" s="64" t="str">
        <f>IF(stdProdLT(Main[[#This Row],[Comments]])=0.1,"N/A",IF(stdProdLT(Main[[#This Row],[Comments]])=0,"",stdProdLT(Main[[#This Row],[Comments]])))</f>
        <v/>
      </c>
      <c r="H657" s="68">
        <f>IF(AND(Main[[#This Row],[In Stock Date]]&lt;&gt;"",Main[[#This Row],[Revised Due Date]]&lt;&gt;""),Main[[#This Row],[In Stock Date]]-Main[[#This Row],[Revised Due Date]],"")</f>
        <v>0</v>
      </c>
      <c r="I657" s="65" t="s">
        <v>4</v>
      </c>
      <c r="J657" s="65" t="s">
        <v>28</v>
      </c>
      <c r="K657" s="65" t="s">
        <v>1927</v>
      </c>
      <c r="L657" s="67"/>
      <c r="M657" s="69" t="str">
        <f>IF(Main[[#This Row],[Tech Start Date]]&lt;1/1/1990,"",IF(Main[[#This Row],[Class]]="C",WORKDAY(Main[[#This Row],[Tech Start Date]],9),IF(Main[[#This Row],[Class]]="B", WORKDAY(Main[[#This Row],[Tech Start Date]],6),IF(Main[[#This Row],[Class]]="A",WORKDAY(Main[[#This Row],[Tech Start Date]],2),""))))</f>
        <v/>
      </c>
      <c r="N657" s="69" t="str">
        <f>IF(Main[[#This Row],[Tech Start Date]]&lt;1/1/1990,"",IF(Main[[#This Row],[Class]]="C",WORKDAY(Main[[#This Row],[Tech Start Date]],19),IF(Main[[#This Row],[Class]]="B", WORKDAY(Main[[#This Row],[Tech Start Date]],12),IF(Main[[#This Row],[Class]]="A",WORKDAY(Main[[#This Row],[Tech Start Date]],4),""))))</f>
        <v/>
      </c>
      <c r="O657" s="69" t="str">
        <f>IF(Main[[#This Row],[Tech Start Date]]&lt;1/1/1990,"",IF(Main[[#This Row],[Class]]="C",WORKDAY(Main[[#This Row],[Tech Start Date]],23),IF(Main[[#This Row],[Class]]="B", WORKDAY(Main[[#This Row],[Tech Start Date]],15),IF(Main[[#This Row],[Class]]="A",WORKDAY(Main[[#This Row],[Tech Start Date]],5),""))))</f>
        <v/>
      </c>
      <c r="P657" s="69" t="str">
        <f>IF(Main[[#This Row],[Tech Start Date]]&lt;1/1/1990,"",IF(Main[[#This Row],[Class]]="C",WORKDAY(Main[[#This Row],[Tech Start Date]],28),IF(Main[[#This Row],[Class]]="B", WORKDAY(Main[[#This Row],[Tech Start Date]],19),IF(Main[[#This Row],[Class]]="A",WORKDAY(Main[[#This Row],[Tech Start Date]],9),""))))</f>
        <v/>
      </c>
      <c r="Q657" s="67">
        <v>40445</v>
      </c>
      <c r="R657" s="67">
        <v>40445</v>
      </c>
      <c r="S657" s="65" t="s">
        <v>11</v>
      </c>
      <c r="T657" s="70" t="s">
        <v>4</v>
      </c>
      <c r="U657" s="65" t="s">
        <v>14</v>
      </c>
      <c r="V657" s="65" t="s">
        <v>1915</v>
      </c>
      <c r="W657" s="65" t="s">
        <v>1919</v>
      </c>
      <c r="X657" s="65" t="s">
        <v>2862</v>
      </c>
      <c r="Y657" s="65" t="s">
        <v>3086</v>
      </c>
      <c r="Z657" s="65" t="s">
        <v>3159</v>
      </c>
      <c r="AA657" s="65" t="s">
        <v>2875</v>
      </c>
    </row>
    <row r="658" spans="1:27" ht="17.45" hidden="1" customHeight="1">
      <c r="A658" s="100" t="str">
        <f>IF(priority(Main[[#This Row],[Comments]])&lt;&gt;0, priority(Main[[#This Row],[Comments]]),"")</f>
        <v/>
      </c>
      <c r="B658" s="77" t="s">
        <v>1588</v>
      </c>
      <c r="C658" s="65" t="s">
        <v>4</v>
      </c>
      <c r="D658" s="66" t="s">
        <v>666</v>
      </c>
      <c r="E658" s="67"/>
      <c r="F658" s="67"/>
      <c r="G658" s="64" t="str">
        <f>IF(stdProdLT(Main[[#This Row],[Comments]])=0.1,"N/A",IF(stdProdLT(Main[[#This Row],[Comments]])=0,"",stdProdLT(Main[[#This Row],[Comments]])))</f>
        <v/>
      </c>
      <c r="H658" s="68" t="str">
        <f>IF(AND(Main[[#This Row],[In Stock Date]]&lt;&gt;"",Main[[#This Row],[Revised Due Date]]&lt;&gt;""),Main[[#This Row],[In Stock Date]]-Main[[#This Row],[Revised Due Date]],"")</f>
        <v/>
      </c>
      <c r="I658" s="65" t="s">
        <v>4</v>
      </c>
      <c r="J658" s="65" t="s">
        <v>4</v>
      </c>
      <c r="K658" s="65" t="s">
        <v>4</v>
      </c>
      <c r="L658" s="67"/>
      <c r="M658" s="69" t="str">
        <f>IF(Main[[#This Row],[Tech Start Date]]&lt;1/1/1990,"",IF(Main[[#This Row],[Class]]="C",WORKDAY(Main[[#This Row],[Tech Start Date]],9),IF(Main[[#This Row],[Class]]="B", WORKDAY(Main[[#This Row],[Tech Start Date]],6),IF(Main[[#This Row],[Class]]="A",WORKDAY(Main[[#This Row],[Tech Start Date]],2),""))))</f>
        <v/>
      </c>
      <c r="N658" s="69" t="str">
        <f>IF(Main[[#This Row],[Tech Start Date]]&lt;1/1/1990,"",IF(Main[[#This Row],[Class]]="C",WORKDAY(Main[[#This Row],[Tech Start Date]],19),IF(Main[[#This Row],[Class]]="B", WORKDAY(Main[[#This Row],[Tech Start Date]],12),IF(Main[[#This Row],[Class]]="A",WORKDAY(Main[[#This Row],[Tech Start Date]],4),""))))</f>
        <v/>
      </c>
      <c r="O658" s="69" t="str">
        <f>IF(Main[[#This Row],[Tech Start Date]]&lt;1/1/1990,"",IF(Main[[#This Row],[Class]]="C",WORKDAY(Main[[#This Row],[Tech Start Date]],23),IF(Main[[#This Row],[Class]]="B", WORKDAY(Main[[#This Row],[Tech Start Date]],15),IF(Main[[#This Row],[Class]]="A",WORKDAY(Main[[#This Row],[Tech Start Date]],5),""))))</f>
        <v/>
      </c>
      <c r="P658" s="69" t="str">
        <f>IF(Main[[#This Row],[Tech Start Date]]&lt;1/1/1990,"",IF(Main[[#This Row],[Class]]="C",WORKDAY(Main[[#This Row],[Tech Start Date]],28),IF(Main[[#This Row],[Class]]="B", WORKDAY(Main[[#This Row],[Tech Start Date]],19),IF(Main[[#This Row],[Class]]="A",WORKDAY(Main[[#This Row],[Tech Start Date]],9),""))))</f>
        <v/>
      </c>
      <c r="Q658" s="67"/>
      <c r="R658" s="67"/>
      <c r="S658" s="65" t="s">
        <v>6</v>
      </c>
      <c r="T658" s="70" t="s">
        <v>4</v>
      </c>
      <c r="U658" s="65" t="s">
        <v>14</v>
      </c>
      <c r="V658" s="65" t="s">
        <v>1914</v>
      </c>
      <c r="W658" s="65" t="s">
        <v>1918</v>
      </c>
      <c r="X658" s="65" t="s">
        <v>306</v>
      </c>
      <c r="Y658" s="65" t="s">
        <v>4</v>
      </c>
      <c r="Z658" s="65" t="s">
        <v>4</v>
      </c>
      <c r="AA658" s="65" t="s">
        <v>2851</v>
      </c>
    </row>
    <row r="659" spans="1:27" ht="17.45" hidden="1" customHeight="1">
      <c r="A659" s="100" t="str">
        <f>IF(priority(Main[[#This Row],[Comments]])&lt;&gt;0, priority(Main[[#This Row],[Comments]]),"")</f>
        <v/>
      </c>
      <c r="B659" s="77" t="s">
        <v>1589</v>
      </c>
      <c r="C659" s="65" t="s">
        <v>4</v>
      </c>
      <c r="D659" s="66" t="s">
        <v>97</v>
      </c>
      <c r="E659" s="67"/>
      <c r="F659" s="67"/>
      <c r="G659" s="64" t="str">
        <f>IF(stdProdLT(Main[[#This Row],[Comments]])=0.1,"N/A",IF(stdProdLT(Main[[#This Row],[Comments]])=0,"",stdProdLT(Main[[#This Row],[Comments]])))</f>
        <v/>
      </c>
      <c r="H659" s="68" t="str">
        <f>IF(AND(Main[[#This Row],[In Stock Date]]&lt;&gt;"",Main[[#This Row],[Revised Due Date]]&lt;&gt;""),Main[[#This Row],[In Stock Date]]-Main[[#This Row],[Revised Due Date]],"")</f>
        <v/>
      </c>
      <c r="I659" s="65" t="s">
        <v>4</v>
      </c>
      <c r="J659" s="65" t="s">
        <v>4</v>
      </c>
      <c r="K659" s="71" t="s">
        <v>4</v>
      </c>
      <c r="L659" s="67"/>
      <c r="M659" s="69" t="str">
        <f>IF(Main[[#This Row],[Tech Start Date]]&lt;1/1/1990,"",IF(Main[[#This Row],[Class]]="C",WORKDAY(Main[[#This Row],[Tech Start Date]],9),IF(Main[[#This Row],[Class]]="B", WORKDAY(Main[[#This Row],[Tech Start Date]],6),IF(Main[[#This Row],[Class]]="A",WORKDAY(Main[[#This Row],[Tech Start Date]],2),""))))</f>
        <v/>
      </c>
      <c r="N659" s="69" t="str">
        <f>IF(Main[[#This Row],[Tech Start Date]]&lt;1/1/1990,"",IF(Main[[#This Row],[Class]]="C",WORKDAY(Main[[#This Row],[Tech Start Date]],19),IF(Main[[#This Row],[Class]]="B", WORKDAY(Main[[#This Row],[Tech Start Date]],12),IF(Main[[#This Row],[Class]]="A",WORKDAY(Main[[#This Row],[Tech Start Date]],4),""))))</f>
        <v/>
      </c>
      <c r="O659" s="69" t="str">
        <f>IF(Main[[#This Row],[Tech Start Date]]&lt;1/1/1990,"",IF(Main[[#This Row],[Class]]="C",WORKDAY(Main[[#This Row],[Tech Start Date]],23),IF(Main[[#This Row],[Class]]="B", WORKDAY(Main[[#This Row],[Tech Start Date]],15),IF(Main[[#This Row],[Class]]="A",WORKDAY(Main[[#This Row],[Tech Start Date]],5),""))))</f>
        <v/>
      </c>
      <c r="P659" s="69" t="str">
        <f>IF(Main[[#This Row],[Tech Start Date]]&lt;1/1/1990,"",IF(Main[[#This Row],[Class]]="C",WORKDAY(Main[[#This Row],[Tech Start Date]],28),IF(Main[[#This Row],[Class]]="B", WORKDAY(Main[[#This Row],[Tech Start Date]],19),IF(Main[[#This Row],[Class]]="A",WORKDAY(Main[[#This Row],[Tech Start Date]],9),""))))</f>
        <v/>
      </c>
      <c r="Q659" s="67">
        <v>40858</v>
      </c>
      <c r="R659" s="67"/>
      <c r="S659" s="65" t="s">
        <v>17</v>
      </c>
      <c r="T659" s="70" t="s">
        <v>4</v>
      </c>
      <c r="U659" s="65" t="s">
        <v>14</v>
      </c>
      <c r="V659" s="65" t="s">
        <v>1914</v>
      </c>
      <c r="W659" s="65" t="s">
        <v>1919</v>
      </c>
      <c r="X659" s="65" t="s">
        <v>50</v>
      </c>
      <c r="Y659" s="65" t="s">
        <v>2959</v>
      </c>
      <c r="Z659" s="65" t="s">
        <v>4</v>
      </c>
      <c r="AA659" s="65" t="s">
        <v>2828</v>
      </c>
    </row>
    <row r="660" spans="1:27" ht="17.45" hidden="1" customHeight="1">
      <c r="A660" s="100" t="str">
        <f>IF(priority(Main[[#This Row],[Comments]])&lt;&gt;0, priority(Main[[#This Row],[Comments]]),"")</f>
        <v/>
      </c>
      <c r="B660" s="77" t="s">
        <v>1592</v>
      </c>
      <c r="C660" s="65" t="s">
        <v>668</v>
      </c>
      <c r="D660" s="66" t="s">
        <v>669</v>
      </c>
      <c r="E660" s="67"/>
      <c r="F660" s="67">
        <v>40633</v>
      </c>
      <c r="G660" s="64" t="str">
        <f>IF(stdProdLT(Main[[#This Row],[Comments]])=0.1,"N/A",IF(stdProdLT(Main[[#This Row],[Comments]])=0,"",stdProdLT(Main[[#This Row],[Comments]])))</f>
        <v/>
      </c>
      <c r="H660" s="68" t="str">
        <f>IF(AND(Main[[#This Row],[In Stock Date]]&lt;&gt;"",Main[[#This Row],[Revised Due Date]]&lt;&gt;""),Main[[#This Row],[In Stock Date]]-Main[[#This Row],[Revised Due Date]],"")</f>
        <v/>
      </c>
      <c r="I660" s="65" t="s">
        <v>4</v>
      </c>
      <c r="J660" s="65" t="s">
        <v>4</v>
      </c>
      <c r="K660" s="71" t="s">
        <v>4</v>
      </c>
      <c r="L660" s="67"/>
      <c r="M660" s="69" t="str">
        <f>IF(Main[[#This Row],[Tech Start Date]]&lt;1/1/1990,"",IF(Main[[#This Row],[Class]]="C",WORKDAY(Main[[#This Row],[Tech Start Date]],9),IF(Main[[#This Row],[Class]]="B", WORKDAY(Main[[#This Row],[Tech Start Date]],6),IF(Main[[#This Row],[Class]]="A",WORKDAY(Main[[#This Row],[Tech Start Date]],2),""))))</f>
        <v/>
      </c>
      <c r="N660" s="69" t="str">
        <f>IF(Main[[#This Row],[Tech Start Date]]&lt;1/1/1990,"",IF(Main[[#This Row],[Class]]="C",WORKDAY(Main[[#This Row],[Tech Start Date]],19),IF(Main[[#This Row],[Class]]="B", WORKDAY(Main[[#This Row],[Tech Start Date]],12),IF(Main[[#This Row],[Class]]="A",WORKDAY(Main[[#This Row],[Tech Start Date]],4),""))))</f>
        <v/>
      </c>
      <c r="O660" s="69" t="str">
        <f>IF(Main[[#This Row],[Tech Start Date]]&lt;1/1/1990,"",IF(Main[[#This Row],[Class]]="C",WORKDAY(Main[[#This Row],[Tech Start Date]],23),IF(Main[[#This Row],[Class]]="B", WORKDAY(Main[[#This Row],[Tech Start Date]],15),IF(Main[[#This Row],[Class]]="A",WORKDAY(Main[[#This Row],[Tech Start Date]],5),""))))</f>
        <v/>
      </c>
      <c r="P660" s="69" t="str">
        <f>IF(Main[[#This Row],[Tech Start Date]]&lt;1/1/1990,"",IF(Main[[#This Row],[Class]]="C",WORKDAY(Main[[#This Row],[Tech Start Date]],28),IF(Main[[#This Row],[Class]]="B", WORKDAY(Main[[#This Row],[Tech Start Date]],19),IF(Main[[#This Row],[Class]]="A",WORKDAY(Main[[#This Row],[Tech Start Date]],9),""))))</f>
        <v/>
      </c>
      <c r="Q660" s="67">
        <v>40574</v>
      </c>
      <c r="R660" s="67"/>
      <c r="S660" s="65" t="s">
        <v>11</v>
      </c>
      <c r="T660" s="70" t="s">
        <v>4</v>
      </c>
      <c r="U660" s="65" t="s">
        <v>14</v>
      </c>
      <c r="V660" s="65" t="s">
        <v>1917</v>
      </c>
      <c r="W660" s="65" t="s">
        <v>1920</v>
      </c>
      <c r="X660" s="65" t="s">
        <v>2856</v>
      </c>
      <c r="Y660" s="65" t="s">
        <v>2997</v>
      </c>
      <c r="Z660" s="65" t="s">
        <v>4</v>
      </c>
      <c r="AA660" s="65" t="s">
        <v>2856</v>
      </c>
    </row>
    <row r="661" spans="1:27" ht="17.45" hidden="1" customHeight="1">
      <c r="A661" s="100" t="str">
        <f>IF(priority(Main[[#This Row],[Comments]])&lt;&gt;0, priority(Main[[#This Row],[Comments]]),"")</f>
        <v/>
      </c>
      <c r="B661" s="77" t="s">
        <v>2184</v>
      </c>
      <c r="C661" s="65" t="s">
        <v>2176</v>
      </c>
      <c r="D661" s="66" t="s">
        <v>2185</v>
      </c>
      <c r="E661" s="67"/>
      <c r="F661" s="67">
        <v>40829</v>
      </c>
      <c r="G661" s="64" t="str">
        <f>IF(stdProdLT(Main[[#This Row],[Comments]])=0.1,"N/A",IF(stdProdLT(Main[[#This Row],[Comments]])=0,"",stdProdLT(Main[[#This Row],[Comments]])))</f>
        <v/>
      </c>
      <c r="H661" s="68" t="str">
        <f>IF(AND(Main[[#This Row],[In Stock Date]]&lt;&gt;"",Main[[#This Row],[Revised Due Date]]&lt;&gt;""),Main[[#This Row],[In Stock Date]]-Main[[#This Row],[Revised Due Date]],"")</f>
        <v/>
      </c>
      <c r="I661" s="65" t="s">
        <v>4</v>
      </c>
      <c r="J661" s="65" t="s">
        <v>4</v>
      </c>
      <c r="K661" s="71" t="s">
        <v>4</v>
      </c>
      <c r="L661" s="67"/>
      <c r="M661" s="69" t="str">
        <f>IF(Main[[#This Row],[Tech Start Date]]&lt;1/1/1990,"",IF(Main[[#This Row],[Class]]="C",WORKDAY(Main[[#This Row],[Tech Start Date]],9),IF(Main[[#This Row],[Class]]="B", WORKDAY(Main[[#This Row],[Tech Start Date]],6),IF(Main[[#This Row],[Class]]="A",WORKDAY(Main[[#This Row],[Tech Start Date]],2),""))))</f>
        <v/>
      </c>
      <c r="N661" s="69" t="str">
        <f>IF(Main[[#This Row],[Tech Start Date]]&lt;1/1/1990,"",IF(Main[[#This Row],[Class]]="C",WORKDAY(Main[[#This Row],[Tech Start Date]],19),IF(Main[[#This Row],[Class]]="B", WORKDAY(Main[[#This Row],[Tech Start Date]],12),IF(Main[[#This Row],[Class]]="A",WORKDAY(Main[[#This Row],[Tech Start Date]],4),""))))</f>
        <v/>
      </c>
      <c r="O661" s="69" t="str">
        <f>IF(Main[[#This Row],[Tech Start Date]]&lt;1/1/1990,"",IF(Main[[#This Row],[Class]]="C",WORKDAY(Main[[#This Row],[Tech Start Date]],23),IF(Main[[#This Row],[Class]]="B", WORKDAY(Main[[#This Row],[Tech Start Date]],15),IF(Main[[#This Row],[Class]]="A",WORKDAY(Main[[#This Row],[Tech Start Date]],5),""))))</f>
        <v/>
      </c>
      <c r="P661" s="69" t="str">
        <f>IF(Main[[#This Row],[Tech Start Date]]&lt;1/1/1990,"",IF(Main[[#This Row],[Class]]="C",WORKDAY(Main[[#This Row],[Tech Start Date]],28),IF(Main[[#This Row],[Class]]="B", WORKDAY(Main[[#This Row],[Tech Start Date]],19),IF(Main[[#This Row],[Class]]="A",WORKDAY(Main[[#This Row],[Tech Start Date]],9),""))))</f>
        <v/>
      </c>
      <c r="Q661" s="67">
        <v>40801</v>
      </c>
      <c r="R661" s="67"/>
      <c r="S661" s="65" t="s">
        <v>11</v>
      </c>
      <c r="T661" s="70" t="s">
        <v>4</v>
      </c>
      <c r="U661" s="65" t="s">
        <v>14</v>
      </c>
      <c r="V661" s="65" t="s">
        <v>1915</v>
      </c>
      <c r="W661" s="65" t="s">
        <v>1922</v>
      </c>
      <c r="X661" s="65" t="s">
        <v>2838</v>
      </c>
      <c r="Y661" s="65" t="s">
        <v>2968</v>
      </c>
      <c r="Z661" s="65" t="s">
        <v>4</v>
      </c>
      <c r="AA661" s="65" t="s">
        <v>2838</v>
      </c>
    </row>
    <row r="662" spans="1:27" ht="17.45" hidden="1" customHeight="1">
      <c r="A662" s="100" t="str">
        <f>IF(priority(Main[[#This Row],[Comments]])&lt;&gt;0, priority(Main[[#This Row],[Comments]]),"")</f>
        <v/>
      </c>
      <c r="B662" s="77" t="s">
        <v>1593</v>
      </c>
      <c r="C662" s="65" t="s">
        <v>4</v>
      </c>
      <c r="D662" s="66" t="s">
        <v>2305</v>
      </c>
      <c r="E662" s="67">
        <v>40515.590300925927</v>
      </c>
      <c r="F662" s="67"/>
      <c r="G662" s="64" t="str">
        <f>IF(stdProdLT(Main[[#This Row],[Comments]])=0.1,"N/A",IF(stdProdLT(Main[[#This Row],[Comments]])=0,"",stdProdLT(Main[[#This Row],[Comments]])))</f>
        <v/>
      </c>
      <c r="H662" s="68" t="str">
        <f>IF(AND(Main[[#This Row],[In Stock Date]]&lt;&gt;"",Main[[#This Row],[Revised Due Date]]&lt;&gt;""),Main[[#This Row],[In Stock Date]]-Main[[#This Row],[Revised Due Date]],"")</f>
        <v/>
      </c>
      <c r="I662" s="65" t="s">
        <v>912</v>
      </c>
      <c r="J662" s="65" t="s">
        <v>52</v>
      </c>
      <c r="K662" s="71" t="s">
        <v>1921</v>
      </c>
      <c r="L662" s="67"/>
      <c r="M662" s="69" t="str">
        <f>IF(Main[[#This Row],[Tech Start Date]]&lt;1/1/1990,"",IF(Main[[#This Row],[Class]]="C",WORKDAY(Main[[#This Row],[Tech Start Date]],9),IF(Main[[#This Row],[Class]]="B", WORKDAY(Main[[#This Row],[Tech Start Date]],6),IF(Main[[#This Row],[Class]]="A",WORKDAY(Main[[#This Row],[Tech Start Date]],2),""))))</f>
        <v/>
      </c>
      <c r="N662" s="69" t="str">
        <f>IF(Main[[#This Row],[Tech Start Date]]&lt;1/1/1990,"",IF(Main[[#This Row],[Class]]="C",WORKDAY(Main[[#This Row],[Tech Start Date]],19),IF(Main[[#This Row],[Class]]="B", WORKDAY(Main[[#This Row],[Tech Start Date]],12),IF(Main[[#This Row],[Class]]="A",WORKDAY(Main[[#This Row],[Tech Start Date]],4),""))))</f>
        <v/>
      </c>
      <c r="O662" s="69" t="str">
        <f>IF(Main[[#This Row],[Tech Start Date]]&lt;1/1/1990,"",IF(Main[[#This Row],[Class]]="C",WORKDAY(Main[[#This Row],[Tech Start Date]],23),IF(Main[[#This Row],[Class]]="B", WORKDAY(Main[[#This Row],[Tech Start Date]],15),IF(Main[[#This Row],[Class]]="A",WORKDAY(Main[[#This Row],[Tech Start Date]],5),""))))</f>
        <v/>
      </c>
      <c r="P662" s="69" t="str">
        <f>IF(Main[[#This Row],[Tech Start Date]]&lt;1/1/1990,"",IF(Main[[#This Row],[Class]]="C",WORKDAY(Main[[#This Row],[Tech Start Date]],28),IF(Main[[#This Row],[Class]]="B", WORKDAY(Main[[#This Row],[Tech Start Date]],19),IF(Main[[#This Row],[Class]]="A",WORKDAY(Main[[#This Row],[Tech Start Date]],9),""))))</f>
        <v/>
      </c>
      <c r="Q662" s="67">
        <v>40574</v>
      </c>
      <c r="R662" s="67"/>
      <c r="S662" s="65" t="s">
        <v>6</v>
      </c>
      <c r="T662" s="70" t="s">
        <v>4</v>
      </c>
      <c r="U662" s="65" t="s">
        <v>29</v>
      </c>
      <c r="V662" s="65" t="s">
        <v>1914</v>
      </c>
      <c r="W662" s="65" t="s">
        <v>1916</v>
      </c>
      <c r="X662" s="65" t="s">
        <v>2887</v>
      </c>
      <c r="Y662" s="65" t="s">
        <v>3043</v>
      </c>
      <c r="Z662" s="65" t="s">
        <v>129</v>
      </c>
      <c r="AA662" s="65" t="s">
        <v>2887</v>
      </c>
    </row>
    <row r="663" spans="1:27" ht="17.45" hidden="1" customHeight="1">
      <c r="A663" s="100" t="str">
        <f>IF(priority(Main[[#This Row],[Comments]])&lt;&gt;0, priority(Main[[#This Row],[Comments]]),"")</f>
        <v/>
      </c>
      <c r="B663" s="77" t="s">
        <v>1594</v>
      </c>
      <c r="C663" s="65" t="s">
        <v>436</v>
      </c>
      <c r="D663" s="66" t="s">
        <v>670</v>
      </c>
      <c r="E663" s="67"/>
      <c r="F663" s="67"/>
      <c r="G663" s="64" t="str">
        <f>IF(stdProdLT(Main[[#This Row],[Comments]])=0.1,"N/A",IF(stdProdLT(Main[[#This Row],[Comments]])=0,"",stdProdLT(Main[[#This Row],[Comments]])))</f>
        <v/>
      </c>
      <c r="H663" s="68" t="str">
        <f>IF(AND(Main[[#This Row],[In Stock Date]]&lt;&gt;"",Main[[#This Row],[Revised Due Date]]&lt;&gt;""),Main[[#This Row],[In Stock Date]]-Main[[#This Row],[Revised Due Date]],"")</f>
        <v/>
      </c>
      <c r="I663" s="65" t="s">
        <v>4</v>
      </c>
      <c r="J663" s="65" t="s">
        <v>4</v>
      </c>
      <c r="K663" s="65" t="s">
        <v>4</v>
      </c>
      <c r="L663" s="67"/>
      <c r="M663" s="69" t="str">
        <f>IF(Main[[#This Row],[Tech Start Date]]&lt;1/1/1990,"",IF(Main[[#This Row],[Class]]="C",WORKDAY(Main[[#This Row],[Tech Start Date]],9),IF(Main[[#This Row],[Class]]="B", WORKDAY(Main[[#This Row],[Tech Start Date]],6),IF(Main[[#This Row],[Class]]="A",WORKDAY(Main[[#This Row],[Tech Start Date]],2),""))))</f>
        <v/>
      </c>
      <c r="N663" s="69" t="str">
        <f>IF(Main[[#This Row],[Tech Start Date]]&lt;1/1/1990,"",IF(Main[[#This Row],[Class]]="C",WORKDAY(Main[[#This Row],[Tech Start Date]],19),IF(Main[[#This Row],[Class]]="B", WORKDAY(Main[[#This Row],[Tech Start Date]],12),IF(Main[[#This Row],[Class]]="A",WORKDAY(Main[[#This Row],[Tech Start Date]],4),""))))</f>
        <v/>
      </c>
      <c r="O663" s="69" t="str">
        <f>IF(Main[[#This Row],[Tech Start Date]]&lt;1/1/1990,"",IF(Main[[#This Row],[Class]]="C",WORKDAY(Main[[#This Row],[Tech Start Date]],23),IF(Main[[#This Row],[Class]]="B", WORKDAY(Main[[#This Row],[Tech Start Date]],15),IF(Main[[#This Row],[Class]]="A",WORKDAY(Main[[#This Row],[Tech Start Date]],5),""))))</f>
        <v/>
      </c>
      <c r="P663" s="69" t="str">
        <f>IF(Main[[#This Row],[Tech Start Date]]&lt;1/1/1990,"",IF(Main[[#This Row],[Class]]="C",WORKDAY(Main[[#This Row],[Tech Start Date]],28),IF(Main[[#This Row],[Class]]="B", WORKDAY(Main[[#This Row],[Tech Start Date]],19),IF(Main[[#This Row],[Class]]="A",WORKDAY(Main[[#This Row],[Tech Start Date]],9),""))))</f>
        <v/>
      </c>
      <c r="Q663" s="67"/>
      <c r="R663" s="67"/>
      <c r="S663" s="65" t="s">
        <v>11</v>
      </c>
      <c r="T663" s="70" t="s">
        <v>4</v>
      </c>
      <c r="U663" s="65" t="s">
        <v>14</v>
      </c>
      <c r="V663" s="65" t="s">
        <v>1915</v>
      </c>
      <c r="W663" s="65" t="s">
        <v>1922</v>
      </c>
      <c r="X663" s="65" t="s">
        <v>2827</v>
      </c>
      <c r="Y663" s="65" t="s">
        <v>2948</v>
      </c>
      <c r="Z663" s="65" t="s">
        <v>4</v>
      </c>
      <c r="AA663" s="65" t="s">
        <v>2827</v>
      </c>
    </row>
    <row r="664" spans="1:27" ht="17.45" hidden="1" customHeight="1">
      <c r="A664" s="100" t="str">
        <f>IF(priority(Main[[#This Row],[Comments]])&lt;&gt;0, priority(Main[[#This Row],[Comments]]),"")</f>
        <v/>
      </c>
      <c r="B664" s="77" t="s">
        <v>3341</v>
      </c>
      <c r="C664" s="65" t="s">
        <v>4</v>
      </c>
      <c r="D664" s="66" t="s">
        <v>3342</v>
      </c>
      <c r="E664" s="67"/>
      <c r="F664" s="67"/>
      <c r="G664" s="64" t="str">
        <f>IF(stdProdLT(Main[[#This Row],[Comments]])=0.1,"N/A",IF(stdProdLT(Main[[#This Row],[Comments]])=0,"",stdProdLT(Main[[#This Row],[Comments]])))</f>
        <v/>
      </c>
      <c r="H664" s="68" t="str">
        <f>IF(AND(Main[[#This Row],[In Stock Date]]&lt;&gt;"",Main[[#This Row],[Revised Due Date]]&lt;&gt;""),Main[[#This Row],[In Stock Date]]-Main[[#This Row],[Revised Due Date]],"")</f>
        <v/>
      </c>
      <c r="I664" s="65" t="s">
        <v>4</v>
      </c>
      <c r="J664" s="65" t="s">
        <v>4</v>
      </c>
      <c r="K664" s="65" t="s">
        <v>4</v>
      </c>
      <c r="L664" s="67"/>
      <c r="M664" s="69" t="str">
        <f>IF(Main[[#This Row],[Tech Start Date]]&lt;1/1/1990,"",IF(Main[[#This Row],[Class]]="C",WORKDAY(Main[[#This Row],[Tech Start Date]],9),IF(Main[[#This Row],[Class]]="B", WORKDAY(Main[[#This Row],[Tech Start Date]],6),IF(Main[[#This Row],[Class]]="A",WORKDAY(Main[[#This Row],[Tech Start Date]],2),""))))</f>
        <v/>
      </c>
      <c r="N664" s="69" t="str">
        <f>IF(Main[[#This Row],[Tech Start Date]]&lt;1/1/1990,"",IF(Main[[#This Row],[Class]]="C",WORKDAY(Main[[#This Row],[Tech Start Date]],19),IF(Main[[#This Row],[Class]]="B", WORKDAY(Main[[#This Row],[Tech Start Date]],12),IF(Main[[#This Row],[Class]]="A",WORKDAY(Main[[#This Row],[Tech Start Date]],4),""))))</f>
        <v/>
      </c>
      <c r="O664" s="69" t="str">
        <f>IF(Main[[#This Row],[Tech Start Date]]&lt;1/1/1990,"",IF(Main[[#This Row],[Class]]="C",WORKDAY(Main[[#This Row],[Tech Start Date]],23),IF(Main[[#This Row],[Class]]="B", WORKDAY(Main[[#This Row],[Tech Start Date]],15),IF(Main[[#This Row],[Class]]="A",WORKDAY(Main[[#This Row],[Tech Start Date]],5),""))))</f>
        <v/>
      </c>
      <c r="P664" s="69" t="str">
        <f>IF(Main[[#This Row],[Tech Start Date]]&lt;1/1/1990,"",IF(Main[[#This Row],[Class]]="C",WORKDAY(Main[[#This Row],[Tech Start Date]],28),IF(Main[[#This Row],[Class]]="B", WORKDAY(Main[[#This Row],[Tech Start Date]],19),IF(Main[[#This Row],[Class]]="A",WORKDAY(Main[[#This Row],[Tech Start Date]],9),""))))</f>
        <v/>
      </c>
      <c r="Q664" s="67"/>
      <c r="R664" s="67"/>
      <c r="S664" s="65" t="s">
        <v>6</v>
      </c>
      <c r="T664" s="70" t="s">
        <v>4</v>
      </c>
      <c r="U664" s="65" t="s">
        <v>14</v>
      </c>
      <c r="V664" s="65" t="s">
        <v>1917</v>
      </c>
      <c r="W664" s="65" t="s">
        <v>4</v>
      </c>
      <c r="X664" s="65" t="s">
        <v>2841</v>
      </c>
      <c r="Y664" s="65" t="s">
        <v>2971</v>
      </c>
      <c r="Z664" s="65" t="s">
        <v>4</v>
      </c>
      <c r="AA664" s="65" t="s">
        <v>2841</v>
      </c>
    </row>
    <row r="665" spans="1:27" ht="17.45" hidden="1" customHeight="1">
      <c r="A665" s="100" t="str">
        <f>IF(priority(Main[[#This Row],[Comments]])&lt;&gt;0, priority(Main[[#This Row],[Comments]]),"")</f>
        <v/>
      </c>
      <c r="B665" s="77" t="s">
        <v>1595</v>
      </c>
      <c r="C665" s="65" t="s">
        <v>4</v>
      </c>
      <c r="D665" s="66" t="s">
        <v>671</v>
      </c>
      <c r="E665" s="67"/>
      <c r="F665" s="67"/>
      <c r="G665" s="64" t="str">
        <f>IF(stdProdLT(Main[[#This Row],[Comments]])=0.1,"N/A",IF(stdProdLT(Main[[#This Row],[Comments]])=0,"",stdProdLT(Main[[#This Row],[Comments]])))</f>
        <v/>
      </c>
      <c r="H665" s="68" t="str">
        <f>IF(AND(Main[[#This Row],[In Stock Date]]&lt;&gt;"",Main[[#This Row],[Revised Due Date]]&lt;&gt;""),Main[[#This Row],[In Stock Date]]-Main[[#This Row],[Revised Due Date]],"")</f>
        <v/>
      </c>
      <c r="I665" s="65" t="s">
        <v>4</v>
      </c>
      <c r="J665" s="65" t="s">
        <v>28</v>
      </c>
      <c r="K665" s="65" t="s">
        <v>4</v>
      </c>
      <c r="L665" s="67"/>
      <c r="M665" s="69" t="str">
        <f>IF(Main[[#This Row],[Tech Start Date]]&lt;1/1/1990,"",IF(Main[[#This Row],[Class]]="C",WORKDAY(Main[[#This Row],[Tech Start Date]],9),IF(Main[[#This Row],[Class]]="B", WORKDAY(Main[[#This Row],[Tech Start Date]],6),IF(Main[[#This Row],[Class]]="A",WORKDAY(Main[[#This Row],[Tech Start Date]],2),""))))</f>
        <v/>
      </c>
      <c r="N665" s="69" t="str">
        <f>IF(Main[[#This Row],[Tech Start Date]]&lt;1/1/1990,"",IF(Main[[#This Row],[Class]]="C",WORKDAY(Main[[#This Row],[Tech Start Date]],19),IF(Main[[#This Row],[Class]]="B", WORKDAY(Main[[#This Row],[Tech Start Date]],12),IF(Main[[#This Row],[Class]]="A",WORKDAY(Main[[#This Row],[Tech Start Date]],4),""))))</f>
        <v/>
      </c>
      <c r="O665" s="69" t="str">
        <f>IF(Main[[#This Row],[Tech Start Date]]&lt;1/1/1990,"",IF(Main[[#This Row],[Class]]="C",WORKDAY(Main[[#This Row],[Tech Start Date]],23),IF(Main[[#This Row],[Class]]="B", WORKDAY(Main[[#This Row],[Tech Start Date]],15),IF(Main[[#This Row],[Class]]="A",WORKDAY(Main[[#This Row],[Tech Start Date]],5),""))))</f>
        <v/>
      </c>
      <c r="P665" s="69" t="str">
        <f>IF(Main[[#This Row],[Tech Start Date]]&lt;1/1/1990,"",IF(Main[[#This Row],[Class]]="C",WORKDAY(Main[[#This Row],[Tech Start Date]],28),IF(Main[[#This Row],[Class]]="B", WORKDAY(Main[[#This Row],[Tech Start Date]],19),IF(Main[[#This Row],[Class]]="A",WORKDAY(Main[[#This Row],[Tech Start Date]],9),""))))</f>
        <v/>
      </c>
      <c r="Q665" s="67">
        <v>40471</v>
      </c>
      <c r="R665" s="67"/>
      <c r="S665" s="65" t="s">
        <v>296</v>
      </c>
      <c r="T665" s="70" t="s">
        <v>4</v>
      </c>
      <c r="U665" s="65" t="s">
        <v>14</v>
      </c>
      <c r="V665" s="65" t="s">
        <v>1924</v>
      </c>
      <c r="W665" s="65" t="s">
        <v>1916</v>
      </c>
      <c r="X665" s="65" t="s">
        <v>2847</v>
      </c>
      <c r="Y665" s="65" t="s">
        <v>2978</v>
      </c>
      <c r="Z665" s="65" t="s">
        <v>530</v>
      </c>
      <c r="AA665" s="65" t="s">
        <v>2847</v>
      </c>
    </row>
    <row r="666" spans="1:27" ht="17.45" hidden="1" customHeight="1">
      <c r="A666" s="100" t="str">
        <f>IF(priority(Main[[#This Row],[Comments]])&lt;&gt;0, priority(Main[[#This Row],[Comments]]),"")</f>
        <v/>
      </c>
      <c r="B666" s="77" t="s">
        <v>1609</v>
      </c>
      <c r="C666" s="65" t="s">
        <v>4</v>
      </c>
      <c r="D666" s="66" t="s">
        <v>682</v>
      </c>
      <c r="E666" s="67"/>
      <c r="F666" s="67"/>
      <c r="G666" s="64" t="str">
        <f>IF(stdProdLT(Main[[#This Row],[Comments]])=0.1,"N/A",IF(stdProdLT(Main[[#This Row],[Comments]])=0,"",stdProdLT(Main[[#This Row],[Comments]])))</f>
        <v/>
      </c>
      <c r="H666" s="68" t="str">
        <f>IF(AND(Main[[#This Row],[In Stock Date]]&lt;&gt;"",Main[[#This Row],[Revised Due Date]]&lt;&gt;""),Main[[#This Row],[In Stock Date]]-Main[[#This Row],[Revised Due Date]],"")</f>
        <v/>
      </c>
      <c r="I666" s="65" t="s">
        <v>4</v>
      </c>
      <c r="J666" s="65" t="s">
        <v>4</v>
      </c>
      <c r="K666" s="65" t="s">
        <v>4</v>
      </c>
      <c r="L666" s="67"/>
      <c r="M666" s="69" t="str">
        <f>IF(Main[[#This Row],[Tech Start Date]]&lt;1/1/1990,"",IF(Main[[#This Row],[Class]]="C",WORKDAY(Main[[#This Row],[Tech Start Date]],9),IF(Main[[#This Row],[Class]]="B", WORKDAY(Main[[#This Row],[Tech Start Date]],6),IF(Main[[#This Row],[Class]]="A",WORKDAY(Main[[#This Row],[Tech Start Date]],2),""))))</f>
        <v/>
      </c>
      <c r="N666" s="69" t="str">
        <f>IF(Main[[#This Row],[Tech Start Date]]&lt;1/1/1990,"",IF(Main[[#This Row],[Class]]="C",WORKDAY(Main[[#This Row],[Tech Start Date]],19),IF(Main[[#This Row],[Class]]="B", WORKDAY(Main[[#This Row],[Tech Start Date]],12),IF(Main[[#This Row],[Class]]="A",WORKDAY(Main[[#This Row],[Tech Start Date]],4),""))))</f>
        <v/>
      </c>
      <c r="O666" s="69" t="str">
        <f>IF(Main[[#This Row],[Tech Start Date]]&lt;1/1/1990,"",IF(Main[[#This Row],[Class]]="C",WORKDAY(Main[[#This Row],[Tech Start Date]],23),IF(Main[[#This Row],[Class]]="B", WORKDAY(Main[[#This Row],[Tech Start Date]],15),IF(Main[[#This Row],[Class]]="A",WORKDAY(Main[[#This Row],[Tech Start Date]],5),""))))</f>
        <v/>
      </c>
      <c r="P666" s="69" t="str">
        <f>IF(Main[[#This Row],[Tech Start Date]]&lt;1/1/1990,"",IF(Main[[#This Row],[Class]]="C",WORKDAY(Main[[#This Row],[Tech Start Date]],28),IF(Main[[#This Row],[Class]]="B", WORKDAY(Main[[#This Row],[Tech Start Date]],19),IF(Main[[#This Row],[Class]]="A",WORKDAY(Main[[#This Row],[Tech Start Date]],9),""))))</f>
        <v/>
      </c>
      <c r="Q666" s="67"/>
      <c r="R666" s="67"/>
      <c r="S666" s="65" t="s">
        <v>23</v>
      </c>
      <c r="T666" s="70" t="s">
        <v>4</v>
      </c>
      <c r="U666" s="65" t="s">
        <v>14</v>
      </c>
      <c r="V666" s="65" t="s">
        <v>1924</v>
      </c>
      <c r="W666" s="65" t="s">
        <v>1918</v>
      </c>
      <c r="X666" s="65" t="s">
        <v>102</v>
      </c>
      <c r="Y666" s="65" t="s">
        <v>3087</v>
      </c>
      <c r="Z666" s="65" t="s">
        <v>4</v>
      </c>
      <c r="AA666" s="65" t="s">
        <v>3428</v>
      </c>
    </row>
    <row r="667" spans="1:27" ht="17.45" hidden="1" customHeight="1">
      <c r="A667" s="100" t="str">
        <f>IF(priority(Main[[#This Row],[Comments]])&lt;&gt;0, priority(Main[[#This Row],[Comments]]),"")</f>
        <v/>
      </c>
      <c r="B667" s="77" t="s">
        <v>1610</v>
      </c>
      <c r="C667" s="65" t="s">
        <v>4</v>
      </c>
      <c r="D667" s="66" t="s">
        <v>683</v>
      </c>
      <c r="E667" s="67">
        <v>40464.400208333333</v>
      </c>
      <c r="F667" s="67"/>
      <c r="G667" s="64" t="str">
        <f>IF(stdProdLT(Main[[#This Row],[Comments]])=0.1,"N/A",IF(stdProdLT(Main[[#This Row],[Comments]])=0,"",stdProdLT(Main[[#This Row],[Comments]])))</f>
        <v/>
      </c>
      <c r="H667" s="68" t="str">
        <f>IF(AND(Main[[#This Row],[In Stock Date]]&lt;&gt;"",Main[[#This Row],[Revised Due Date]]&lt;&gt;""),Main[[#This Row],[In Stock Date]]-Main[[#This Row],[Revised Due Date]],"")</f>
        <v/>
      </c>
      <c r="I667" s="65" t="s">
        <v>4</v>
      </c>
      <c r="J667" s="65" t="s">
        <v>4</v>
      </c>
      <c r="K667" s="65" t="s">
        <v>4</v>
      </c>
      <c r="L667" s="67"/>
      <c r="M667" s="69" t="str">
        <f>IF(Main[[#This Row],[Tech Start Date]]&lt;1/1/1990,"",IF(Main[[#This Row],[Class]]="C",WORKDAY(Main[[#This Row],[Tech Start Date]],9),IF(Main[[#This Row],[Class]]="B", WORKDAY(Main[[#This Row],[Tech Start Date]],6),IF(Main[[#This Row],[Class]]="A",WORKDAY(Main[[#This Row],[Tech Start Date]],2),""))))</f>
        <v/>
      </c>
      <c r="N667" s="69" t="str">
        <f>IF(Main[[#This Row],[Tech Start Date]]&lt;1/1/1990,"",IF(Main[[#This Row],[Class]]="C",WORKDAY(Main[[#This Row],[Tech Start Date]],19),IF(Main[[#This Row],[Class]]="B", WORKDAY(Main[[#This Row],[Tech Start Date]],12),IF(Main[[#This Row],[Class]]="A",WORKDAY(Main[[#This Row],[Tech Start Date]],4),""))))</f>
        <v/>
      </c>
      <c r="O667" s="69" t="str">
        <f>IF(Main[[#This Row],[Tech Start Date]]&lt;1/1/1990,"",IF(Main[[#This Row],[Class]]="C",WORKDAY(Main[[#This Row],[Tech Start Date]],23),IF(Main[[#This Row],[Class]]="B", WORKDAY(Main[[#This Row],[Tech Start Date]],15),IF(Main[[#This Row],[Class]]="A",WORKDAY(Main[[#This Row],[Tech Start Date]],5),""))))</f>
        <v/>
      </c>
      <c r="P667" s="69" t="str">
        <f>IF(Main[[#This Row],[Tech Start Date]]&lt;1/1/1990,"",IF(Main[[#This Row],[Class]]="C",WORKDAY(Main[[#This Row],[Tech Start Date]],28),IF(Main[[#This Row],[Class]]="B", WORKDAY(Main[[#This Row],[Tech Start Date]],19),IF(Main[[#This Row],[Class]]="A",WORKDAY(Main[[#This Row],[Tech Start Date]],9),""))))</f>
        <v/>
      </c>
      <c r="Q667" s="67">
        <v>40512</v>
      </c>
      <c r="R667" s="67"/>
      <c r="S667" s="65" t="s">
        <v>6</v>
      </c>
      <c r="T667" s="70" t="s">
        <v>4</v>
      </c>
      <c r="U667" s="65" t="s">
        <v>7</v>
      </c>
      <c r="V667" s="65" t="s">
        <v>1914</v>
      </c>
      <c r="W667" s="65" t="s">
        <v>4</v>
      </c>
      <c r="X667" s="65" t="s">
        <v>2819</v>
      </c>
      <c r="Y667" s="65" t="s">
        <v>2932</v>
      </c>
      <c r="Z667" s="65" t="s">
        <v>4</v>
      </c>
      <c r="AA667" s="65" t="s">
        <v>2819</v>
      </c>
    </row>
    <row r="668" spans="1:27" ht="17.45" hidden="1" customHeight="1">
      <c r="A668" s="100" t="str">
        <f>IF(priority(Main[[#This Row],[Comments]])&lt;&gt;0, priority(Main[[#This Row],[Comments]]),"")</f>
        <v/>
      </c>
      <c r="B668" s="77" t="s">
        <v>1844</v>
      </c>
      <c r="C668" s="65" t="s">
        <v>67</v>
      </c>
      <c r="D668" s="66" t="s">
        <v>901</v>
      </c>
      <c r="E668" s="67"/>
      <c r="F668" s="67"/>
      <c r="G668" s="64" t="str">
        <f>IF(stdProdLT(Main[[#This Row],[Comments]])=0.1,"N/A",IF(stdProdLT(Main[[#This Row],[Comments]])=0,"",stdProdLT(Main[[#This Row],[Comments]])))</f>
        <v/>
      </c>
      <c r="H668" s="68" t="str">
        <f>IF(AND(Main[[#This Row],[In Stock Date]]&lt;&gt;"",Main[[#This Row],[Revised Due Date]]&lt;&gt;""),Main[[#This Row],[In Stock Date]]-Main[[#This Row],[Revised Due Date]],"")</f>
        <v/>
      </c>
      <c r="I668" s="65" t="s">
        <v>163</v>
      </c>
      <c r="J668" s="65" t="s">
        <v>4</v>
      </c>
      <c r="K668" s="65" t="s">
        <v>1926</v>
      </c>
      <c r="L668" s="67"/>
      <c r="M668" s="69" t="str">
        <f>IF(Main[[#This Row],[Tech Start Date]]&lt;1/1/1990,"",IF(Main[[#This Row],[Class]]="C",WORKDAY(Main[[#This Row],[Tech Start Date]],9),IF(Main[[#This Row],[Class]]="B", WORKDAY(Main[[#This Row],[Tech Start Date]],6),IF(Main[[#This Row],[Class]]="A",WORKDAY(Main[[#This Row],[Tech Start Date]],2),""))))</f>
        <v/>
      </c>
      <c r="N668" s="69" t="str">
        <f>IF(Main[[#This Row],[Tech Start Date]]&lt;1/1/1990,"",IF(Main[[#This Row],[Class]]="C",WORKDAY(Main[[#This Row],[Tech Start Date]],19),IF(Main[[#This Row],[Class]]="B", WORKDAY(Main[[#This Row],[Tech Start Date]],12),IF(Main[[#This Row],[Class]]="A",WORKDAY(Main[[#This Row],[Tech Start Date]],4),""))))</f>
        <v/>
      </c>
      <c r="O668" s="69" t="str">
        <f>IF(Main[[#This Row],[Tech Start Date]]&lt;1/1/1990,"",IF(Main[[#This Row],[Class]]="C",WORKDAY(Main[[#This Row],[Tech Start Date]],23),IF(Main[[#This Row],[Class]]="B", WORKDAY(Main[[#This Row],[Tech Start Date]],15),IF(Main[[#This Row],[Class]]="A",WORKDAY(Main[[#This Row],[Tech Start Date]],5),""))))</f>
        <v/>
      </c>
      <c r="P668" s="69" t="str">
        <f>IF(Main[[#This Row],[Tech Start Date]]&lt;1/1/1990,"",IF(Main[[#This Row],[Class]]="C",WORKDAY(Main[[#This Row],[Tech Start Date]],28),IF(Main[[#This Row],[Class]]="B", WORKDAY(Main[[#This Row],[Tech Start Date]],19),IF(Main[[#This Row],[Class]]="A",WORKDAY(Main[[#This Row],[Tech Start Date]],9),""))))</f>
        <v/>
      </c>
      <c r="Q668" s="67">
        <v>39990</v>
      </c>
      <c r="R668" s="67">
        <v>40497</v>
      </c>
      <c r="S668" s="65" t="s">
        <v>17</v>
      </c>
      <c r="T668" s="70" t="s">
        <v>4</v>
      </c>
      <c r="U668" s="65" t="s">
        <v>14</v>
      </c>
      <c r="V668" s="65" t="s">
        <v>1917</v>
      </c>
      <c r="W668" s="65" t="s">
        <v>1919</v>
      </c>
      <c r="X668" s="65" t="s">
        <v>2820</v>
      </c>
      <c r="Y668" s="65" t="s">
        <v>2934</v>
      </c>
      <c r="Z668" s="65" t="s">
        <v>415</v>
      </c>
      <c r="AA668" s="65" t="s">
        <v>3381</v>
      </c>
    </row>
    <row r="669" spans="1:27" ht="17.45" hidden="1" customHeight="1">
      <c r="A669" s="100" t="str">
        <f>IF(priority(Main[[#This Row],[Comments]])&lt;&gt;0, priority(Main[[#This Row],[Comments]]),"")</f>
        <v/>
      </c>
      <c r="B669" s="77" t="s">
        <v>1596</v>
      </c>
      <c r="C669" s="65" t="s">
        <v>31</v>
      </c>
      <c r="D669" s="66" t="s">
        <v>672</v>
      </c>
      <c r="E669" s="67"/>
      <c r="F669" s="67">
        <v>40725</v>
      </c>
      <c r="G669" s="64" t="str">
        <f>IF(stdProdLT(Main[[#This Row],[Comments]])=0.1,"N/A",IF(stdProdLT(Main[[#This Row],[Comments]])=0,"",stdProdLT(Main[[#This Row],[Comments]])))</f>
        <v/>
      </c>
      <c r="H669" s="68" t="str">
        <f>IF(AND(Main[[#This Row],[In Stock Date]]&lt;&gt;"",Main[[#This Row],[Revised Due Date]]&lt;&gt;""),Main[[#This Row],[In Stock Date]]-Main[[#This Row],[Revised Due Date]],"")</f>
        <v/>
      </c>
      <c r="I669" s="65" t="s">
        <v>4</v>
      </c>
      <c r="J669" s="65" t="s">
        <v>4</v>
      </c>
      <c r="K669" s="65" t="s">
        <v>4</v>
      </c>
      <c r="L669" s="67"/>
      <c r="M669" s="69" t="str">
        <f>IF(Main[[#This Row],[Tech Start Date]]&lt;1/1/1990,"",IF(Main[[#This Row],[Class]]="C",WORKDAY(Main[[#This Row],[Tech Start Date]],9),IF(Main[[#This Row],[Class]]="B", WORKDAY(Main[[#This Row],[Tech Start Date]],6),IF(Main[[#This Row],[Class]]="A",WORKDAY(Main[[#This Row],[Tech Start Date]],2),""))))</f>
        <v/>
      </c>
      <c r="N669" s="69" t="str">
        <f>IF(Main[[#This Row],[Tech Start Date]]&lt;1/1/1990,"",IF(Main[[#This Row],[Class]]="C",WORKDAY(Main[[#This Row],[Tech Start Date]],19),IF(Main[[#This Row],[Class]]="B", WORKDAY(Main[[#This Row],[Tech Start Date]],12),IF(Main[[#This Row],[Class]]="A",WORKDAY(Main[[#This Row],[Tech Start Date]],4),""))))</f>
        <v/>
      </c>
      <c r="O669" s="69" t="str">
        <f>IF(Main[[#This Row],[Tech Start Date]]&lt;1/1/1990,"",IF(Main[[#This Row],[Class]]="C",WORKDAY(Main[[#This Row],[Tech Start Date]],23),IF(Main[[#This Row],[Class]]="B", WORKDAY(Main[[#This Row],[Tech Start Date]],15),IF(Main[[#This Row],[Class]]="A",WORKDAY(Main[[#This Row],[Tech Start Date]],5),""))))</f>
        <v/>
      </c>
      <c r="P669" s="69" t="str">
        <f>IF(Main[[#This Row],[Tech Start Date]]&lt;1/1/1990,"",IF(Main[[#This Row],[Class]]="C",WORKDAY(Main[[#This Row],[Tech Start Date]],28),IF(Main[[#This Row],[Class]]="B", WORKDAY(Main[[#This Row],[Tech Start Date]],19),IF(Main[[#This Row],[Class]]="A",WORKDAY(Main[[#This Row],[Tech Start Date]],9),""))))</f>
        <v/>
      </c>
      <c r="Q669" s="67">
        <v>40634</v>
      </c>
      <c r="R669" s="67"/>
      <c r="S669" s="65" t="s">
        <v>11</v>
      </c>
      <c r="T669" s="70" t="s">
        <v>4</v>
      </c>
      <c r="U669" s="65" t="s">
        <v>14</v>
      </c>
      <c r="V669" s="65" t="s">
        <v>1917</v>
      </c>
      <c r="W669" s="65" t="s">
        <v>1920</v>
      </c>
      <c r="X669" s="65" t="s">
        <v>2845</v>
      </c>
      <c r="Y669" s="65" t="s">
        <v>3065</v>
      </c>
      <c r="Z669" s="65" t="s">
        <v>4</v>
      </c>
      <c r="AA669" s="65" t="s">
        <v>2845</v>
      </c>
    </row>
    <row r="670" spans="1:27" ht="17.45" hidden="1" customHeight="1">
      <c r="A670" s="100" t="str">
        <f>IF(priority(Main[[#This Row],[Comments]])&lt;&gt;0, priority(Main[[#This Row],[Comments]]),"")</f>
        <v/>
      </c>
      <c r="B670" s="77" t="s">
        <v>1709</v>
      </c>
      <c r="C670" s="65" t="s">
        <v>31</v>
      </c>
      <c r="D670" s="66" t="s">
        <v>768</v>
      </c>
      <c r="E670" s="67"/>
      <c r="F670" s="67">
        <v>40664</v>
      </c>
      <c r="G670" s="64" t="str">
        <f>IF(stdProdLT(Main[[#This Row],[Comments]])=0.1,"N/A",IF(stdProdLT(Main[[#This Row],[Comments]])=0,"",stdProdLT(Main[[#This Row],[Comments]])))</f>
        <v/>
      </c>
      <c r="H670" s="68" t="str">
        <f>IF(AND(Main[[#This Row],[In Stock Date]]&lt;&gt;"",Main[[#This Row],[Revised Due Date]]&lt;&gt;""),Main[[#This Row],[In Stock Date]]-Main[[#This Row],[Revised Due Date]],"")</f>
        <v/>
      </c>
      <c r="I670" s="65" t="s">
        <v>4</v>
      </c>
      <c r="J670" s="65" t="s">
        <v>28</v>
      </c>
      <c r="K670" s="65" t="s">
        <v>4</v>
      </c>
      <c r="L670" s="67"/>
      <c r="M670" s="69" t="str">
        <f>IF(Main[[#This Row],[Tech Start Date]]&lt;1/1/1990,"",IF(Main[[#This Row],[Class]]="C",WORKDAY(Main[[#This Row],[Tech Start Date]],9),IF(Main[[#This Row],[Class]]="B", WORKDAY(Main[[#This Row],[Tech Start Date]],6),IF(Main[[#This Row],[Class]]="A",WORKDAY(Main[[#This Row],[Tech Start Date]],2),""))))</f>
        <v/>
      </c>
      <c r="N670" s="69" t="str">
        <f>IF(Main[[#This Row],[Tech Start Date]]&lt;1/1/1990,"",IF(Main[[#This Row],[Class]]="C",WORKDAY(Main[[#This Row],[Tech Start Date]],19),IF(Main[[#This Row],[Class]]="B", WORKDAY(Main[[#This Row],[Tech Start Date]],12),IF(Main[[#This Row],[Class]]="A",WORKDAY(Main[[#This Row],[Tech Start Date]],4),""))))</f>
        <v/>
      </c>
      <c r="O670" s="69" t="str">
        <f>IF(Main[[#This Row],[Tech Start Date]]&lt;1/1/1990,"",IF(Main[[#This Row],[Class]]="C",WORKDAY(Main[[#This Row],[Tech Start Date]],23),IF(Main[[#This Row],[Class]]="B", WORKDAY(Main[[#This Row],[Tech Start Date]],15),IF(Main[[#This Row],[Class]]="A",WORKDAY(Main[[#This Row],[Tech Start Date]],5),""))))</f>
        <v/>
      </c>
      <c r="P670" s="69" t="str">
        <f>IF(Main[[#This Row],[Tech Start Date]]&lt;1/1/1990,"",IF(Main[[#This Row],[Class]]="C",WORKDAY(Main[[#This Row],[Tech Start Date]],28),IF(Main[[#This Row],[Class]]="B", WORKDAY(Main[[#This Row],[Tech Start Date]],19),IF(Main[[#This Row],[Class]]="A",WORKDAY(Main[[#This Row],[Tech Start Date]],9),""))))</f>
        <v/>
      </c>
      <c r="Q670" s="67">
        <v>40589</v>
      </c>
      <c r="R670" s="67"/>
      <c r="S670" s="65" t="s">
        <v>11</v>
      </c>
      <c r="T670" s="70" t="s">
        <v>4</v>
      </c>
      <c r="U670" s="65" t="s">
        <v>14</v>
      </c>
      <c r="V670" s="65" t="s">
        <v>1917</v>
      </c>
      <c r="W670" s="65" t="s">
        <v>1920</v>
      </c>
      <c r="X670" s="65" t="s">
        <v>50</v>
      </c>
      <c r="Y670" s="65" t="s">
        <v>3120</v>
      </c>
      <c r="Z670" s="65" t="s">
        <v>30</v>
      </c>
      <c r="AA670" s="65" t="s">
        <v>2825</v>
      </c>
    </row>
    <row r="671" spans="1:27" ht="17.45" hidden="1" customHeight="1">
      <c r="A671" s="100" t="str">
        <f>IF(priority(Main[[#This Row],[Comments]])&lt;&gt;0, priority(Main[[#This Row],[Comments]]),"")</f>
        <v/>
      </c>
      <c r="B671" s="77" t="s">
        <v>3606</v>
      </c>
      <c r="C671" s="65" t="s">
        <v>3607</v>
      </c>
      <c r="D671" s="66" t="s">
        <v>3608</v>
      </c>
      <c r="E671" s="67">
        <v>40960.213784722226</v>
      </c>
      <c r="F671" s="67">
        <v>41146</v>
      </c>
      <c r="G671" s="64">
        <f>IF(stdProdLT(Main[[#This Row],[Comments]])=0.1,"N/A",IF(stdProdLT(Main[[#This Row],[Comments]])=0,"",stdProdLT(Main[[#This Row],[Comments]])))</f>
        <v>126</v>
      </c>
      <c r="H671" s="68" t="str">
        <f>IF(AND(Main[[#This Row],[In Stock Date]]&lt;&gt;"",Main[[#This Row],[Revised Due Date]]&lt;&gt;""),Main[[#This Row],[In Stock Date]]-Main[[#This Row],[Revised Due Date]],"")</f>
        <v/>
      </c>
      <c r="I671" s="65" t="s">
        <v>4</v>
      </c>
      <c r="J671" s="65" t="s">
        <v>4</v>
      </c>
      <c r="K671" s="65" t="s">
        <v>4</v>
      </c>
      <c r="L671" s="67"/>
      <c r="M671" s="69" t="str">
        <f>IF(Main[[#This Row],[Tech Start Date]]&lt;1/1/1990,"",IF(Main[[#This Row],[Class]]="C",WORKDAY(Main[[#This Row],[Tech Start Date]],9),IF(Main[[#This Row],[Class]]="B", WORKDAY(Main[[#This Row],[Tech Start Date]],6),IF(Main[[#This Row],[Class]]="A",WORKDAY(Main[[#This Row],[Tech Start Date]],2),""))))</f>
        <v/>
      </c>
      <c r="N671" s="69" t="str">
        <f>IF(Main[[#This Row],[Tech Start Date]]&lt;1/1/1990,"",IF(Main[[#This Row],[Class]]="C",WORKDAY(Main[[#This Row],[Tech Start Date]],19),IF(Main[[#This Row],[Class]]="B", WORKDAY(Main[[#This Row],[Tech Start Date]],12),IF(Main[[#This Row],[Class]]="A",WORKDAY(Main[[#This Row],[Tech Start Date]],4),""))))</f>
        <v/>
      </c>
      <c r="O671" s="69" t="str">
        <f>IF(Main[[#This Row],[Tech Start Date]]&lt;1/1/1990,"",IF(Main[[#This Row],[Class]]="C",WORKDAY(Main[[#This Row],[Tech Start Date]],23),IF(Main[[#This Row],[Class]]="B", WORKDAY(Main[[#This Row],[Tech Start Date]],15),IF(Main[[#This Row],[Class]]="A",WORKDAY(Main[[#This Row],[Tech Start Date]],5),""))))</f>
        <v/>
      </c>
      <c r="P671" s="69" t="str">
        <f>IF(Main[[#This Row],[Tech Start Date]]&lt;1/1/1990,"",IF(Main[[#This Row],[Class]]="C",WORKDAY(Main[[#This Row],[Tech Start Date]],28),IF(Main[[#This Row],[Class]]="B", WORKDAY(Main[[#This Row],[Tech Start Date]],19),IF(Main[[#This Row],[Class]]="A",WORKDAY(Main[[#This Row],[Tech Start Date]],9),""))))</f>
        <v/>
      </c>
      <c r="Q671" s="67"/>
      <c r="R671" s="67"/>
      <c r="S671" s="65" t="s">
        <v>11</v>
      </c>
      <c r="T671" s="70" t="s">
        <v>3609</v>
      </c>
      <c r="U671" s="65" t="s">
        <v>694</v>
      </c>
      <c r="V671" s="65" t="s">
        <v>1917</v>
      </c>
      <c r="W671" s="65" t="s">
        <v>1919</v>
      </c>
      <c r="X671" s="65" t="s">
        <v>2893</v>
      </c>
      <c r="Y671" s="65" t="s">
        <v>3055</v>
      </c>
      <c r="Z671" s="65" t="s">
        <v>4</v>
      </c>
      <c r="AA671" s="65" t="s">
        <v>2893</v>
      </c>
    </row>
    <row r="672" spans="1:27" ht="17.45" hidden="1" customHeight="1">
      <c r="A672" s="100" t="str">
        <f>IF(priority(Main[[#This Row],[Comments]])&lt;&gt;0, priority(Main[[#This Row],[Comments]]),"")</f>
        <v/>
      </c>
      <c r="B672" s="77" t="s">
        <v>1597</v>
      </c>
      <c r="C672" s="65" t="s">
        <v>4</v>
      </c>
      <c r="D672" s="66" t="s">
        <v>673</v>
      </c>
      <c r="E672" s="67"/>
      <c r="F672" s="67"/>
      <c r="G672" s="64" t="str">
        <f>IF(stdProdLT(Main[[#This Row],[Comments]])=0.1,"N/A",IF(stdProdLT(Main[[#This Row],[Comments]])=0,"",stdProdLT(Main[[#This Row],[Comments]])))</f>
        <v/>
      </c>
      <c r="H672" s="68" t="str">
        <f>IF(AND(Main[[#This Row],[In Stock Date]]&lt;&gt;"",Main[[#This Row],[Revised Due Date]]&lt;&gt;""),Main[[#This Row],[In Stock Date]]-Main[[#This Row],[Revised Due Date]],"")</f>
        <v/>
      </c>
      <c r="I672" s="65" t="s">
        <v>102</v>
      </c>
      <c r="J672" s="65" t="s">
        <v>4</v>
      </c>
      <c r="K672" s="65" t="s">
        <v>1921</v>
      </c>
      <c r="L672" s="67"/>
      <c r="M672" s="69" t="str">
        <f>IF(Main[[#This Row],[Tech Start Date]]&lt;1/1/1990,"",IF(Main[[#This Row],[Class]]="C",WORKDAY(Main[[#This Row],[Tech Start Date]],9),IF(Main[[#This Row],[Class]]="B", WORKDAY(Main[[#This Row],[Tech Start Date]],6),IF(Main[[#This Row],[Class]]="A",WORKDAY(Main[[#This Row],[Tech Start Date]],2),""))))</f>
        <v/>
      </c>
      <c r="N672" s="69" t="str">
        <f>IF(Main[[#This Row],[Tech Start Date]]&lt;1/1/1990,"",IF(Main[[#This Row],[Class]]="C",WORKDAY(Main[[#This Row],[Tech Start Date]],19),IF(Main[[#This Row],[Class]]="B", WORKDAY(Main[[#This Row],[Tech Start Date]],12),IF(Main[[#This Row],[Class]]="A",WORKDAY(Main[[#This Row],[Tech Start Date]],4),""))))</f>
        <v/>
      </c>
      <c r="O672" s="69" t="str">
        <f>IF(Main[[#This Row],[Tech Start Date]]&lt;1/1/1990,"",IF(Main[[#This Row],[Class]]="C",WORKDAY(Main[[#This Row],[Tech Start Date]],23),IF(Main[[#This Row],[Class]]="B", WORKDAY(Main[[#This Row],[Tech Start Date]],15),IF(Main[[#This Row],[Class]]="A",WORKDAY(Main[[#This Row],[Tech Start Date]],5),""))))</f>
        <v/>
      </c>
      <c r="P672" s="69" t="str">
        <f>IF(Main[[#This Row],[Tech Start Date]]&lt;1/1/1990,"",IF(Main[[#This Row],[Class]]="C",WORKDAY(Main[[#This Row],[Tech Start Date]],28),IF(Main[[#This Row],[Class]]="B", WORKDAY(Main[[#This Row],[Tech Start Date]],19),IF(Main[[#This Row],[Class]]="A",WORKDAY(Main[[#This Row],[Tech Start Date]],9),""))))</f>
        <v/>
      </c>
      <c r="Q672" s="67"/>
      <c r="R672" s="67"/>
      <c r="S672" s="65" t="s">
        <v>23</v>
      </c>
      <c r="T672" s="70" t="s">
        <v>4</v>
      </c>
      <c r="U672" s="65" t="s">
        <v>14</v>
      </c>
      <c r="V672" s="65" t="s">
        <v>1914</v>
      </c>
      <c r="W672" s="65" t="s">
        <v>1918</v>
      </c>
      <c r="X672" s="65" t="s">
        <v>306</v>
      </c>
      <c r="Y672" s="65" t="s">
        <v>4</v>
      </c>
      <c r="Z672" s="65" t="s">
        <v>4</v>
      </c>
      <c r="AA672" s="65" t="s">
        <v>3428</v>
      </c>
    </row>
    <row r="673" spans="1:27" ht="17.45" hidden="1" customHeight="1">
      <c r="A673" s="100" t="str">
        <f>IF(priority(Main[[#This Row],[Comments]])&lt;&gt;0, priority(Main[[#This Row],[Comments]]),"")</f>
        <v/>
      </c>
      <c r="B673" s="77" t="s">
        <v>1598</v>
      </c>
      <c r="C673" s="65" t="s">
        <v>4</v>
      </c>
      <c r="D673" s="66" t="s">
        <v>674</v>
      </c>
      <c r="E673" s="67">
        <v>40491.714780092596</v>
      </c>
      <c r="F673" s="67"/>
      <c r="G673" s="64" t="str">
        <f>IF(stdProdLT(Main[[#This Row],[Comments]])=0.1,"N/A",IF(stdProdLT(Main[[#This Row],[Comments]])=0,"",stdProdLT(Main[[#This Row],[Comments]])))</f>
        <v/>
      </c>
      <c r="H673" s="68" t="str">
        <f>IF(AND(Main[[#This Row],[In Stock Date]]&lt;&gt;"",Main[[#This Row],[Revised Due Date]]&lt;&gt;""),Main[[#This Row],[In Stock Date]]-Main[[#This Row],[Revised Due Date]],"")</f>
        <v/>
      </c>
      <c r="I673" s="65" t="s">
        <v>4</v>
      </c>
      <c r="J673" s="65" t="s">
        <v>28</v>
      </c>
      <c r="K673" s="71" t="s">
        <v>1921</v>
      </c>
      <c r="L673" s="67"/>
      <c r="M673" s="69" t="str">
        <f>IF(Main[[#This Row],[Tech Start Date]]&lt;1/1/1990,"",IF(Main[[#This Row],[Class]]="C",WORKDAY(Main[[#This Row],[Tech Start Date]],9),IF(Main[[#This Row],[Class]]="B", WORKDAY(Main[[#This Row],[Tech Start Date]],6),IF(Main[[#This Row],[Class]]="A",WORKDAY(Main[[#This Row],[Tech Start Date]],2),""))))</f>
        <v/>
      </c>
      <c r="N673" s="69" t="str">
        <f>IF(Main[[#This Row],[Tech Start Date]]&lt;1/1/1990,"",IF(Main[[#This Row],[Class]]="C",WORKDAY(Main[[#This Row],[Tech Start Date]],19),IF(Main[[#This Row],[Class]]="B", WORKDAY(Main[[#This Row],[Tech Start Date]],12),IF(Main[[#This Row],[Class]]="A",WORKDAY(Main[[#This Row],[Tech Start Date]],4),""))))</f>
        <v/>
      </c>
      <c r="O673" s="69" t="str">
        <f>IF(Main[[#This Row],[Tech Start Date]]&lt;1/1/1990,"",IF(Main[[#This Row],[Class]]="C",WORKDAY(Main[[#This Row],[Tech Start Date]],23),IF(Main[[#This Row],[Class]]="B", WORKDAY(Main[[#This Row],[Tech Start Date]],15),IF(Main[[#This Row],[Class]]="A",WORKDAY(Main[[#This Row],[Tech Start Date]],5),""))))</f>
        <v/>
      </c>
      <c r="P673" s="69" t="str">
        <f>IF(Main[[#This Row],[Tech Start Date]]&lt;1/1/1990,"",IF(Main[[#This Row],[Class]]="C",WORKDAY(Main[[#This Row],[Tech Start Date]],28),IF(Main[[#This Row],[Class]]="B", WORKDAY(Main[[#This Row],[Tech Start Date]],19),IF(Main[[#This Row],[Class]]="A",WORKDAY(Main[[#This Row],[Tech Start Date]],9),""))))</f>
        <v/>
      </c>
      <c r="Q673" s="67">
        <v>40520</v>
      </c>
      <c r="R673" s="67"/>
      <c r="S673" s="65" t="s">
        <v>6</v>
      </c>
      <c r="T673" s="70" t="s">
        <v>4</v>
      </c>
      <c r="U673" s="65" t="s">
        <v>7</v>
      </c>
      <c r="V673" s="65" t="s">
        <v>1914</v>
      </c>
      <c r="W673" s="65" t="s">
        <v>1916</v>
      </c>
      <c r="X673" s="65" t="s">
        <v>2821</v>
      </c>
      <c r="Y673" s="65" t="s">
        <v>2936</v>
      </c>
      <c r="Z673" s="65" t="s">
        <v>129</v>
      </c>
      <c r="AA673" s="65" t="s">
        <v>2821</v>
      </c>
    </row>
    <row r="674" spans="1:27" ht="17.45" hidden="1" customHeight="1">
      <c r="A674" s="100" t="str">
        <f>IF(priority(Main[[#This Row],[Comments]])&lt;&gt;0, priority(Main[[#This Row],[Comments]]),"")</f>
        <v/>
      </c>
      <c r="B674" s="77" t="s">
        <v>1599</v>
      </c>
      <c r="C674" s="65" t="s">
        <v>47</v>
      </c>
      <c r="D674" s="66" t="s">
        <v>675</v>
      </c>
      <c r="E674" s="67"/>
      <c r="F674" s="67"/>
      <c r="G674" s="64" t="str">
        <f>IF(stdProdLT(Main[[#This Row],[Comments]])=0.1,"N/A",IF(stdProdLT(Main[[#This Row],[Comments]])=0,"",stdProdLT(Main[[#This Row],[Comments]])))</f>
        <v/>
      </c>
      <c r="H674" s="68" t="str">
        <f>IF(AND(Main[[#This Row],[In Stock Date]]&lt;&gt;"",Main[[#This Row],[Revised Due Date]]&lt;&gt;""),Main[[#This Row],[In Stock Date]]-Main[[#This Row],[Revised Due Date]],"")</f>
        <v/>
      </c>
      <c r="I674" s="65" t="s">
        <v>4</v>
      </c>
      <c r="J674" s="65" t="s">
        <v>4</v>
      </c>
      <c r="K674" s="65" t="s">
        <v>4</v>
      </c>
      <c r="L674" s="67"/>
      <c r="M674" s="69" t="str">
        <f>IF(Main[[#This Row],[Tech Start Date]]&lt;1/1/1990,"",IF(Main[[#This Row],[Class]]="C",WORKDAY(Main[[#This Row],[Tech Start Date]],9),IF(Main[[#This Row],[Class]]="B", WORKDAY(Main[[#This Row],[Tech Start Date]],6),IF(Main[[#This Row],[Class]]="A",WORKDAY(Main[[#This Row],[Tech Start Date]],2),""))))</f>
        <v/>
      </c>
      <c r="N674" s="69" t="str">
        <f>IF(Main[[#This Row],[Tech Start Date]]&lt;1/1/1990,"",IF(Main[[#This Row],[Class]]="C",WORKDAY(Main[[#This Row],[Tech Start Date]],19),IF(Main[[#This Row],[Class]]="B", WORKDAY(Main[[#This Row],[Tech Start Date]],12),IF(Main[[#This Row],[Class]]="A",WORKDAY(Main[[#This Row],[Tech Start Date]],4),""))))</f>
        <v/>
      </c>
      <c r="O674" s="69" t="str">
        <f>IF(Main[[#This Row],[Tech Start Date]]&lt;1/1/1990,"",IF(Main[[#This Row],[Class]]="C",WORKDAY(Main[[#This Row],[Tech Start Date]],23),IF(Main[[#This Row],[Class]]="B", WORKDAY(Main[[#This Row],[Tech Start Date]],15),IF(Main[[#This Row],[Class]]="A",WORKDAY(Main[[#This Row],[Tech Start Date]],5),""))))</f>
        <v/>
      </c>
      <c r="P674" s="69" t="str">
        <f>IF(Main[[#This Row],[Tech Start Date]]&lt;1/1/1990,"",IF(Main[[#This Row],[Class]]="C",WORKDAY(Main[[#This Row],[Tech Start Date]],28),IF(Main[[#This Row],[Class]]="B", WORKDAY(Main[[#This Row],[Tech Start Date]],19),IF(Main[[#This Row],[Class]]="A",WORKDAY(Main[[#This Row],[Tech Start Date]],9),""))))</f>
        <v/>
      </c>
      <c r="Q674" s="67"/>
      <c r="R674" s="67"/>
      <c r="S674" s="65" t="s">
        <v>11</v>
      </c>
      <c r="T674" s="70" t="s">
        <v>4</v>
      </c>
      <c r="U674" s="65" t="s">
        <v>14</v>
      </c>
      <c r="V674" s="65" t="s">
        <v>1915</v>
      </c>
      <c r="W674" s="65" t="s">
        <v>1918</v>
      </c>
      <c r="X674" s="65" t="s">
        <v>306</v>
      </c>
      <c r="Y674" s="65" t="s">
        <v>2941</v>
      </c>
      <c r="Z674" s="65" t="s">
        <v>4</v>
      </c>
      <c r="AA674" s="65" t="s">
        <v>3377</v>
      </c>
    </row>
    <row r="675" spans="1:27" ht="17.45" hidden="1" customHeight="1">
      <c r="A675" s="100" t="str">
        <f>IF(priority(Main[[#This Row],[Comments]])&lt;&gt;0, priority(Main[[#This Row],[Comments]]),"")</f>
        <v/>
      </c>
      <c r="B675" s="77" t="s">
        <v>1600</v>
      </c>
      <c r="C675" s="65" t="s">
        <v>275</v>
      </c>
      <c r="D675" s="66" t="s">
        <v>585</v>
      </c>
      <c r="E675" s="67"/>
      <c r="F675" s="67">
        <v>40186</v>
      </c>
      <c r="G675" s="64" t="str">
        <f>IF(stdProdLT(Main[[#This Row],[Comments]])=0.1,"N/A",IF(stdProdLT(Main[[#This Row],[Comments]])=0,"",stdProdLT(Main[[#This Row],[Comments]])))</f>
        <v/>
      </c>
      <c r="H675" s="68" t="str">
        <f>IF(AND(Main[[#This Row],[In Stock Date]]&lt;&gt;"",Main[[#This Row],[Revised Due Date]]&lt;&gt;""),Main[[#This Row],[In Stock Date]]-Main[[#This Row],[Revised Due Date]],"")</f>
        <v/>
      </c>
      <c r="I675" s="65" t="s">
        <v>4</v>
      </c>
      <c r="J675" s="65" t="s">
        <v>4</v>
      </c>
      <c r="K675" s="65" t="s">
        <v>4</v>
      </c>
      <c r="L675" s="67"/>
      <c r="M675" s="69" t="str">
        <f>IF(Main[[#This Row],[Tech Start Date]]&lt;1/1/1990,"",IF(Main[[#This Row],[Class]]="C",WORKDAY(Main[[#This Row],[Tech Start Date]],9),IF(Main[[#This Row],[Class]]="B", WORKDAY(Main[[#This Row],[Tech Start Date]],6),IF(Main[[#This Row],[Class]]="A",WORKDAY(Main[[#This Row],[Tech Start Date]],2),""))))</f>
        <v/>
      </c>
      <c r="N675" s="69" t="str">
        <f>IF(Main[[#This Row],[Tech Start Date]]&lt;1/1/1990,"",IF(Main[[#This Row],[Class]]="C",WORKDAY(Main[[#This Row],[Tech Start Date]],19),IF(Main[[#This Row],[Class]]="B", WORKDAY(Main[[#This Row],[Tech Start Date]],12),IF(Main[[#This Row],[Class]]="A",WORKDAY(Main[[#This Row],[Tech Start Date]],4),""))))</f>
        <v/>
      </c>
      <c r="O675" s="69" t="str">
        <f>IF(Main[[#This Row],[Tech Start Date]]&lt;1/1/1990,"",IF(Main[[#This Row],[Class]]="C",WORKDAY(Main[[#This Row],[Tech Start Date]],23),IF(Main[[#This Row],[Class]]="B", WORKDAY(Main[[#This Row],[Tech Start Date]],15),IF(Main[[#This Row],[Class]]="A",WORKDAY(Main[[#This Row],[Tech Start Date]],5),""))))</f>
        <v/>
      </c>
      <c r="P675" s="69" t="str">
        <f>IF(Main[[#This Row],[Tech Start Date]]&lt;1/1/1990,"",IF(Main[[#This Row],[Class]]="C",WORKDAY(Main[[#This Row],[Tech Start Date]],28),IF(Main[[#This Row],[Class]]="B", WORKDAY(Main[[#This Row],[Tech Start Date]],19),IF(Main[[#This Row],[Class]]="A",WORKDAY(Main[[#This Row],[Tech Start Date]],9),""))))</f>
        <v/>
      </c>
      <c r="Q675" s="67">
        <v>40186</v>
      </c>
      <c r="R675" s="67"/>
      <c r="S675" s="65" t="s">
        <v>11</v>
      </c>
      <c r="T675" s="70" t="s">
        <v>4</v>
      </c>
      <c r="U675" s="65" t="s">
        <v>14</v>
      </c>
      <c r="V675" s="65" t="s">
        <v>1917</v>
      </c>
      <c r="W675" s="65" t="s">
        <v>1922</v>
      </c>
      <c r="X675" s="65" t="s">
        <v>2842</v>
      </c>
      <c r="Y675" s="65" t="s">
        <v>4</v>
      </c>
      <c r="Z675" s="65" t="s">
        <v>4</v>
      </c>
      <c r="AA675" s="65" t="s">
        <v>2842</v>
      </c>
    </row>
    <row r="676" spans="1:27" ht="17.45" hidden="1" customHeight="1">
      <c r="A676" s="100" t="str">
        <f>IF(priority(Main[[#This Row],[Comments]])&lt;&gt;0, priority(Main[[#This Row],[Comments]]),"")</f>
        <v/>
      </c>
      <c r="B676" s="77" t="s">
        <v>1055</v>
      </c>
      <c r="C676" s="65" t="s">
        <v>4</v>
      </c>
      <c r="D676" s="66" t="s">
        <v>39</v>
      </c>
      <c r="E676" s="67"/>
      <c r="F676" s="67"/>
      <c r="G676" s="64" t="str">
        <f>IF(stdProdLT(Main[[#This Row],[Comments]])=0.1,"N/A",IF(stdProdLT(Main[[#This Row],[Comments]])=0,"",stdProdLT(Main[[#This Row],[Comments]])))</f>
        <v/>
      </c>
      <c r="H676" s="68" t="str">
        <f>IF(AND(Main[[#This Row],[In Stock Date]]&lt;&gt;"",Main[[#This Row],[Revised Due Date]]&lt;&gt;""),Main[[#This Row],[In Stock Date]]-Main[[#This Row],[Revised Due Date]],"")</f>
        <v/>
      </c>
      <c r="I676" s="65" t="s">
        <v>489</v>
      </c>
      <c r="J676" s="65" t="s">
        <v>70</v>
      </c>
      <c r="K676" s="65" t="s">
        <v>1923</v>
      </c>
      <c r="L676" s="67"/>
      <c r="M676" s="69" t="str">
        <f>IF(Main[[#This Row],[Tech Start Date]]&lt;1/1/1990,"",IF(Main[[#This Row],[Class]]="C",WORKDAY(Main[[#This Row],[Tech Start Date]],9),IF(Main[[#This Row],[Class]]="B", WORKDAY(Main[[#This Row],[Tech Start Date]],6),IF(Main[[#This Row],[Class]]="A",WORKDAY(Main[[#This Row],[Tech Start Date]],2),""))))</f>
        <v/>
      </c>
      <c r="N676" s="69" t="str">
        <f>IF(Main[[#This Row],[Tech Start Date]]&lt;1/1/1990,"",IF(Main[[#This Row],[Class]]="C",WORKDAY(Main[[#This Row],[Tech Start Date]],19),IF(Main[[#This Row],[Class]]="B", WORKDAY(Main[[#This Row],[Tech Start Date]],12),IF(Main[[#This Row],[Class]]="A",WORKDAY(Main[[#This Row],[Tech Start Date]],4),""))))</f>
        <v/>
      </c>
      <c r="O676" s="69" t="str">
        <f>IF(Main[[#This Row],[Tech Start Date]]&lt;1/1/1990,"",IF(Main[[#This Row],[Class]]="C",WORKDAY(Main[[#This Row],[Tech Start Date]],23),IF(Main[[#This Row],[Class]]="B", WORKDAY(Main[[#This Row],[Tech Start Date]],15),IF(Main[[#This Row],[Class]]="A",WORKDAY(Main[[#This Row],[Tech Start Date]],5),""))))</f>
        <v/>
      </c>
      <c r="P676" s="69" t="str">
        <f>IF(Main[[#This Row],[Tech Start Date]]&lt;1/1/1990,"",IF(Main[[#This Row],[Class]]="C",WORKDAY(Main[[#This Row],[Tech Start Date]],28),IF(Main[[#This Row],[Class]]="B", WORKDAY(Main[[#This Row],[Tech Start Date]],19),IF(Main[[#This Row],[Class]]="A",WORKDAY(Main[[#This Row],[Tech Start Date]],9),""))))</f>
        <v/>
      </c>
      <c r="Q676" s="67">
        <v>40704</v>
      </c>
      <c r="R676" s="67"/>
      <c r="S676" s="65" t="s">
        <v>6</v>
      </c>
      <c r="T676" s="70" t="s">
        <v>4</v>
      </c>
      <c r="U676" s="65" t="s">
        <v>14</v>
      </c>
      <c r="V676" s="65" t="s">
        <v>1917</v>
      </c>
      <c r="W676" s="65" t="s">
        <v>1918</v>
      </c>
      <c r="X676" s="65" t="s">
        <v>2818</v>
      </c>
      <c r="Y676" s="65" t="s">
        <v>2929</v>
      </c>
      <c r="Z676" s="65" t="s">
        <v>30</v>
      </c>
      <c r="AA676" s="65" t="s">
        <v>2818</v>
      </c>
    </row>
    <row r="677" spans="1:27" ht="17.45" hidden="1" customHeight="1">
      <c r="A677" s="100" t="str">
        <f>IF(priority(Main[[#This Row],[Comments]])&lt;&gt;0, priority(Main[[#This Row],[Comments]]),"")</f>
        <v/>
      </c>
      <c r="B677" s="77" t="s">
        <v>1602</v>
      </c>
      <c r="C677" s="65" t="s">
        <v>4</v>
      </c>
      <c r="D677" s="66" t="s">
        <v>677</v>
      </c>
      <c r="E677" s="67">
        <v>40497.338240740741</v>
      </c>
      <c r="F677" s="67"/>
      <c r="G677" s="64" t="str">
        <f>IF(stdProdLT(Main[[#This Row],[Comments]])=0.1,"N/A",IF(stdProdLT(Main[[#This Row],[Comments]])=0,"",stdProdLT(Main[[#This Row],[Comments]])))</f>
        <v/>
      </c>
      <c r="H677" s="68" t="str">
        <f>IF(AND(Main[[#This Row],[In Stock Date]]&lt;&gt;"",Main[[#This Row],[Revised Due Date]]&lt;&gt;""),Main[[#This Row],[In Stock Date]]-Main[[#This Row],[Revised Due Date]],"")</f>
        <v/>
      </c>
      <c r="I677" s="65" t="s">
        <v>4</v>
      </c>
      <c r="J677" s="65" t="s">
        <v>4</v>
      </c>
      <c r="K677" s="65" t="s">
        <v>4</v>
      </c>
      <c r="L677" s="67"/>
      <c r="M677" s="69" t="str">
        <f>IF(Main[[#This Row],[Tech Start Date]]&lt;1/1/1990,"",IF(Main[[#This Row],[Class]]="C",WORKDAY(Main[[#This Row],[Tech Start Date]],9),IF(Main[[#This Row],[Class]]="B", WORKDAY(Main[[#This Row],[Tech Start Date]],6),IF(Main[[#This Row],[Class]]="A",WORKDAY(Main[[#This Row],[Tech Start Date]],2),""))))</f>
        <v/>
      </c>
      <c r="N677" s="69" t="str">
        <f>IF(Main[[#This Row],[Tech Start Date]]&lt;1/1/1990,"",IF(Main[[#This Row],[Class]]="C",WORKDAY(Main[[#This Row],[Tech Start Date]],19),IF(Main[[#This Row],[Class]]="B", WORKDAY(Main[[#This Row],[Tech Start Date]],12),IF(Main[[#This Row],[Class]]="A",WORKDAY(Main[[#This Row],[Tech Start Date]],4),""))))</f>
        <v/>
      </c>
      <c r="O677" s="69" t="str">
        <f>IF(Main[[#This Row],[Tech Start Date]]&lt;1/1/1990,"",IF(Main[[#This Row],[Class]]="C",WORKDAY(Main[[#This Row],[Tech Start Date]],23),IF(Main[[#This Row],[Class]]="B", WORKDAY(Main[[#This Row],[Tech Start Date]],15),IF(Main[[#This Row],[Class]]="A",WORKDAY(Main[[#This Row],[Tech Start Date]],5),""))))</f>
        <v/>
      </c>
      <c r="P677" s="69" t="str">
        <f>IF(Main[[#This Row],[Tech Start Date]]&lt;1/1/1990,"",IF(Main[[#This Row],[Class]]="C",WORKDAY(Main[[#This Row],[Tech Start Date]],28),IF(Main[[#This Row],[Class]]="B", WORKDAY(Main[[#This Row],[Tech Start Date]],19),IF(Main[[#This Row],[Class]]="A",WORKDAY(Main[[#This Row],[Tech Start Date]],9),""))))</f>
        <v/>
      </c>
      <c r="Q677" s="67">
        <v>40529</v>
      </c>
      <c r="R677" s="67"/>
      <c r="S677" s="65" t="s">
        <v>4</v>
      </c>
      <c r="T677" s="70" t="s">
        <v>4</v>
      </c>
      <c r="U677" s="65" t="s">
        <v>7</v>
      </c>
      <c r="V677" s="65" t="s">
        <v>1914</v>
      </c>
      <c r="W677" s="65" t="s">
        <v>4</v>
      </c>
      <c r="X677" s="65" t="s">
        <v>2818</v>
      </c>
      <c r="Y677" s="65" t="s">
        <v>2929</v>
      </c>
      <c r="Z677" s="65" t="s">
        <v>4</v>
      </c>
      <c r="AA677" s="65" t="s">
        <v>2818</v>
      </c>
    </row>
    <row r="678" spans="1:27" ht="17.45" hidden="1" customHeight="1">
      <c r="A678" s="100" t="str">
        <f>IF(priority(Main[[#This Row],[Comments]])&lt;&gt;0, priority(Main[[#This Row],[Comments]]),"")</f>
        <v/>
      </c>
      <c r="B678" s="77" t="s">
        <v>1603</v>
      </c>
      <c r="C678" s="65" t="s">
        <v>72</v>
      </c>
      <c r="D678" s="66" t="s">
        <v>645</v>
      </c>
      <c r="E678" s="67"/>
      <c r="F678" s="67"/>
      <c r="G678" s="64" t="str">
        <f>IF(stdProdLT(Main[[#This Row],[Comments]])=0.1,"N/A",IF(stdProdLT(Main[[#This Row],[Comments]])=0,"",stdProdLT(Main[[#This Row],[Comments]])))</f>
        <v/>
      </c>
      <c r="H678" s="68" t="str">
        <f>IF(AND(Main[[#This Row],[In Stock Date]]&lt;&gt;"",Main[[#This Row],[Revised Due Date]]&lt;&gt;""),Main[[#This Row],[In Stock Date]]-Main[[#This Row],[Revised Due Date]],"")</f>
        <v/>
      </c>
      <c r="I678" s="65" t="s">
        <v>4</v>
      </c>
      <c r="J678" s="65" t="s">
        <v>4</v>
      </c>
      <c r="K678" s="71" t="s">
        <v>4</v>
      </c>
      <c r="L678" s="67"/>
      <c r="M678" s="69" t="str">
        <f>IF(Main[[#This Row],[Tech Start Date]]&lt;1/1/1990,"",IF(Main[[#This Row],[Class]]="C",WORKDAY(Main[[#This Row],[Tech Start Date]],9),IF(Main[[#This Row],[Class]]="B", WORKDAY(Main[[#This Row],[Tech Start Date]],6),IF(Main[[#This Row],[Class]]="A",WORKDAY(Main[[#This Row],[Tech Start Date]],2),""))))</f>
        <v/>
      </c>
      <c r="N678" s="69" t="str">
        <f>IF(Main[[#This Row],[Tech Start Date]]&lt;1/1/1990,"",IF(Main[[#This Row],[Class]]="C",WORKDAY(Main[[#This Row],[Tech Start Date]],19),IF(Main[[#This Row],[Class]]="B", WORKDAY(Main[[#This Row],[Tech Start Date]],12),IF(Main[[#This Row],[Class]]="A",WORKDAY(Main[[#This Row],[Tech Start Date]],4),""))))</f>
        <v/>
      </c>
      <c r="O678" s="69" t="str">
        <f>IF(Main[[#This Row],[Tech Start Date]]&lt;1/1/1990,"",IF(Main[[#This Row],[Class]]="C",WORKDAY(Main[[#This Row],[Tech Start Date]],23),IF(Main[[#This Row],[Class]]="B", WORKDAY(Main[[#This Row],[Tech Start Date]],15),IF(Main[[#This Row],[Class]]="A",WORKDAY(Main[[#This Row],[Tech Start Date]],5),""))))</f>
        <v/>
      </c>
      <c r="P678" s="69" t="str">
        <f>IF(Main[[#This Row],[Tech Start Date]]&lt;1/1/1990,"",IF(Main[[#This Row],[Class]]="C",WORKDAY(Main[[#This Row],[Tech Start Date]],28),IF(Main[[#This Row],[Class]]="B", WORKDAY(Main[[#This Row],[Tech Start Date]],19),IF(Main[[#This Row],[Class]]="A",WORKDAY(Main[[#This Row],[Tech Start Date]],9),""))))</f>
        <v/>
      </c>
      <c r="Q678" s="67"/>
      <c r="R678" s="67"/>
      <c r="S678" s="65" t="s">
        <v>49</v>
      </c>
      <c r="T678" s="70" t="s">
        <v>4</v>
      </c>
      <c r="U678" s="65" t="s">
        <v>12</v>
      </c>
      <c r="V678" s="65" t="s">
        <v>1915</v>
      </c>
      <c r="W678" s="65" t="s">
        <v>1916</v>
      </c>
      <c r="X678" s="65" t="s">
        <v>2901</v>
      </c>
      <c r="Y678" s="65" t="s">
        <v>3079</v>
      </c>
      <c r="Z678" s="65" t="s">
        <v>4</v>
      </c>
      <c r="AA678" s="65" t="s">
        <v>2901</v>
      </c>
    </row>
    <row r="679" spans="1:27" ht="17.45" hidden="1" customHeight="1">
      <c r="A679" s="100" t="str">
        <f>IF(priority(Main[[#This Row],[Comments]])&lt;&gt;0, priority(Main[[#This Row],[Comments]]),"")</f>
        <v/>
      </c>
      <c r="B679" s="77" t="s">
        <v>1606</v>
      </c>
      <c r="C679" s="65" t="s">
        <v>4</v>
      </c>
      <c r="D679" s="66" t="s">
        <v>679</v>
      </c>
      <c r="E679" s="67">
        <v>40603.482094907406</v>
      </c>
      <c r="F679" s="67"/>
      <c r="G679" s="64" t="str">
        <f>IF(stdProdLT(Main[[#This Row],[Comments]])=0.1,"N/A",IF(stdProdLT(Main[[#This Row],[Comments]])=0,"",stdProdLT(Main[[#This Row],[Comments]])))</f>
        <v/>
      </c>
      <c r="H679" s="68" t="str">
        <f>IF(AND(Main[[#This Row],[In Stock Date]]&lt;&gt;"",Main[[#This Row],[Revised Due Date]]&lt;&gt;""),Main[[#This Row],[In Stock Date]]-Main[[#This Row],[Revised Due Date]],"")</f>
        <v/>
      </c>
      <c r="I679" s="65" t="s">
        <v>44</v>
      </c>
      <c r="J679" s="65" t="s">
        <v>28</v>
      </c>
      <c r="K679" s="65" t="s">
        <v>1923</v>
      </c>
      <c r="L679" s="67"/>
      <c r="M679" s="69" t="str">
        <f>IF(Main[[#This Row],[Tech Start Date]]&lt;1/1/1990,"",IF(Main[[#This Row],[Class]]="C",WORKDAY(Main[[#This Row],[Tech Start Date]],9),IF(Main[[#This Row],[Class]]="B", WORKDAY(Main[[#This Row],[Tech Start Date]],6),IF(Main[[#This Row],[Class]]="A",WORKDAY(Main[[#This Row],[Tech Start Date]],2),""))))</f>
        <v/>
      </c>
      <c r="N679" s="69" t="str">
        <f>IF(Main[[#This Row],[Tech Start Date]]&lt;1/1/1990,"",IF(Main[[#This Row],[Class]]="C",WORKDAY(Main[[#This Row],[Tech Start Date]],19),IF(Main[[#This Row],[Class]]="B", WORKDAY(Main[[#This Row],[Tech Start Date]],12),IF(Main[[#This Row],[Class]]="A",WORKDAY(Main[[#This Row],[Tech Start Date]],4),""))))</f>
        <v/>
      </c>
      <c r="O679" s="69" t="str">
        <f>IF(Main[[#This Row],[Tech Start Date]]&lt;1/1/1990,"",IF(Main[[#This Row],[Class]]="C",WORKDAY(Main[[#This Row],[Tech Start Date]],23),IF(Main[[#This Row],[Class]]="B", WORKDAY(Main[[#This Row],[Tech Start Date]],15),IF(Main[[#This Row],[Class]]="A",WORKDAY(Main[[#This Row],[Tech Start Date]],5),""))))</f>
        <v/>
      </c>
      <c r="P679" s="69" t="str">
        <f>IF(Main[[#This Row],[Tech Start Date]]&lt;1/1/1990,"",IF(Main[[#This Row],[Class]]="C",WORKDAY(Main[[#This Row],[Tech Start Date]],28),IF(Main[[#This Row],[Class]]="B", WORKDAY(Main[[#This Row],[Tech Start Date]],19),IF(Main[[#This Row],[Class]]="A",WORKDAY(Main[[#This Row],[Tech Start Date]],9),""))))</f>
        <v/>
      </c>
      <c r="Q679" s="67">
        <v>40637</v>
      </c>
      <c r="R679" s="67"/>
      <c r="S679" s="65" t="s">
        <v>6</v>
      </c>
      <c r="T679" s="70" t="s">
        <v>4</v>
      </c>
      <c r="U679" s="65" t="s">
        <v>7</v>
      </c>
      <c r="V679" s="65" t="s">
        <v>1914</v>
      </c>
      <c r="W679" s="65" t="s">
        <v>1916</v>
      </c>
      <c r="X679" s="65" t="s">
        <v>2822</v>
      </c>
      <c r="Y679" s="65" t="s">
        <v>2938</v>
      </c>
      <c r="Z679" s="65" t="s">
        <v>44</v>
      </c>
      <c r="AA679" s="65" t="s">
        <v>2822</v>
      </c>
    </row>
    <row r="680" spans="1:27" ht="17.45" hidden="1" customHeight="1">
      <c r="A680" s="100" t="str">
        <f>IF(priority(Main[[#This Row],[Comments]])&lt;&gt;0, priority(Main[[#This Row],[Comments]]),"")</f>
        <v/>
      </c>
      <c r="B680" s="77" t="s">
        <v>1607</v>
      </c>
      <c r="C680" s="65" t="s">
        <v>113</v>
      </c>
      <c r="D680" s="66" t="s">
        <v>680</v>
      </c>
      <c r="E680" s="67"/>
      <c r="F680" s="67">
        <v>40193</v>
      </c>
      <c r="G680" s="64" t="str">
        <f>IF(stdProdLT(Main[[#This Row],[Comments]])=0.1,"N/A",IF(stdProdLT(Main[[#This Row],[Comments]])=0,"",stdProdLT(Main[[#This Row],[Comments]])))</f>
        <v/>
      </c>
      <c r="H680" s="68" t="str">
        <f>IF(AND(Main[[#This Row],[In Stock Date]]&lt;&gt;"",Main[[#This Row],[Revised Due Date]]&lt;&gt;""),Main[[#This Row],[In Stock Date]]-Main[[#This Row],[Revised Due Date]],"")</f>
        <v/>
      </c>
      <c r="I680" s="65" t="s">
        <v>4</v>
      </c>
      <c r="J680" s="65" t="s">
        <v>4</v>
      </c>
      <c r="K680" s="65" t="s">
        <v>4</v>
      </c>
      <c r="L680" s="67"/>
      <c r="M680" s="69" t="str">
        <f>IF(Main[[#This Row],[Tech Start Date]]&lt;1/1/1990,"",IF(Main[[#This Row],[Class]]="C",WORKDAY(Main[[#This Row],[Tech Start Date]],9),IF(Main[[#This Row],[Class]]="B", WORKDAY(Main[[#This Row],[Tech Start Date]],6),IF(Main[[#This Row],[Class]]="A",WORKDAY(Main[[#This Row],[Tech Start Date]],2),""))))</f>
        <v/>
      </c>
      <c r="N680" s="69" t="str">
        <f>IF(Main[[#This Row],[Tech Start Date]]&lt;1/1/1990,"",IF(Main[[#This Row],[Class]]="C",WORKDAY(Main[[#This Row],[Tech Start Date]],19),IF(Main[[#This Row],[Class]]="B", WORKDAY(Main[[#This Row],[Tech Start Date]],12),IF(Main[[#This Row],[Class]]="A",WORKDAY(Main[[#This Row],[Tech Start Date]],4),""))))</f>
        <v/>
      </c>
      <c r="O680" s="69" t="str">
        <f>IF(Main[[#This Row],[Tech Start Date]]&lt;1/1/1990,"",IF(Main[[#This Row],[Class]]="C",WORKDAY(Main[[#This Row],[Tech Start Date]],23),IF(Main[[#This Row],[Class]]="B", WORKDAY(Main[[#This Row],[Tech Start Date]],15),IF(Main[[#This Row],[Class]]="A",WORKDAY(Main[[#This Row],[Tech Start Date]],5),""))))</f>
        <v/>
      </c>
      <c r="P680" s="69" t="str">
        <f>IF(Main[[#This Row],[Tech Start Date]]&lt;1/1/1990,"",IF(Main[[#This Row],[Class]]="C",WORKDAY(Main[[#This Row],[Tech Start Date]],28),IF(Main[[#This Row],[Class]]="B", WORKDAY(Main[[#This Row],[Tech Start Date]],19),IF(Main[[#This Row],[Class]]="A",WORKDAY(Main[[#This Row],[Tech Start Date]],9),""))))</f>
        <v/>
      </c>
      <c r="Q680" s="67">
        <v>40470</v>
      </c>
      <c r="R680" s="67"/>
      <c r="S680" s="65" t="s">
        <v>11</v>
      </c>
      <c r="T680" s="70" t="s">
        <v>4</v>
      </c>
      <c r="U680" s="65" t="s">
        <v>14</v>
      </c>
      <c r="V680" s="65" t="s">
        <v>1924</v>
      </c>
      <c r="W680" s="65" t="s">
        <v>1920</v>
      </c>
      <c r="X680" s="65" t="s">
        <v>2844</v>
      </c>
      <c r="Y680" s="65" t="s">
        <v>2977</v>
      </c>
      <c r="Z680" s="65" t="s">
        <v>4</v>
      </c>
      <c r="AA680" s="65" t="s">
        <v>2844</v>
      </c>
    </row>
    <row r="681" spans="1:27" ht="17.45" hidden="1" customHeight="1">
      <c r="A681" s="100" t="str">
        <f>IF(priority(Main[[#This Row],[Comments]])&lt;&gt;0, priority(Main[[#This Row],[Comments]]),"")</f>
        <v/>
      </c>
      <c r="B681" s="77" t="s">
        <v>1608</v>
      </c>
      <c r="C681" s="65" t="s">
        <v>4</v>
      </c>
      <c r="D681" s="66" t="s">
        <v>681</v>
      </c>
      <c r="E681" s="67"/>
      <c r="F681" s="67"/>
      <c r="G681" s="64" t="str">
        <f>IF(stdProdLT(Main[[#This Row],[Comments]])=0.1,"N/A",IF(stdProdLT(Main[[#This Row],[Comments]])=0,"",stdProdLT(Main[[#This Row],[Comments]])))</f>
        <v/>
      </c>
      <c r="H681" s="68" t="str">
        <f>IF(AND(Main[[#This Row],[In Stock Date]]&lt;&gt;"",Main[[#This Row],[Revised Due Date]]&lt;&gt;""),Main[[#This Row],[In Stock Date]]-Main[[#This Row],[Revised Due Date]],"")</f>
        <v/>
      </c>
      <c r="I681" s="65" t="s">
        <v>417</v>
      </c>
      <c r="J681" s="65" t="s">
        <v>4</v>
      </c>
      <c r="K681" s="65" t="s">
        <v>4</v>
      </c>
      <c r="L681" s="67"/>
      <c r="M681" s="69" t="str">
        <f>IF(Main[[#This Row],[Tech Start Date]]&lt;1/1/1990,"",IF(Main[[#This Row],[Class]]="C",WORKDAY(Main[[#This Row],[Tech Start Date]],9),IF(Main[[#This Row],[Class]]="B", WORKDAY(Main[[#This Row],[Tech Start Date]],6),IF(Main[[#This Row],[Class]]="A",WORKDAY(Main[[#This Row],[Tech Start Date]],2),""))))</f>
        <v/>
      </c>
      <c r="N681" s="69" t="str">
        <f>IF(Main[[#This Row],[Tech Start Date]]&lt;1/1/1990,"",IF(Main[[#This Row],[Class]]="C",WORKDAY(Main[[#This Row],[Tech Start Date]],19),IF(Main[[#This Row],[Class]]="B", WORKDAY(Main[[#This Row],[Tech Start Date]],12),IF(Main[[#This Row],[Class]]="A",WORKDAY(Main[[#This Row],[Tech Start Date]],4),""))))</f>
        <v/>
      </c>
      <c r="O681" s="69" t="str">
        <f>IF(Main[[#This Row],[Tech Start Date]]&lt;1/1/1990,"",IF(Main[[#This Row],[Class]]="C",WORKDAY(Main[[#This Row],[Tech Start Date]],23),IF(Main[[#This Row],[Class]]="B", WORKDAY(Main[[#This Row],[Tech Start Date]],15),IF(Main[[#This Row],[Class]]="A",WORKDAY(Main[[#This Row],[Tech Start Date]],5),""))))</f>
        <v/>
      </c>
      <c r="P681" s="69" t="str">
        <f>IF(Main[[#This Row],[Tech Start Date]]&lt;1/1/1990,"",IF(Main[[#This Row],[Class]]="C",WORKDAY(Main[[#This Row],[Tech Start Date]],28),IF(Main[[#This Row],[Class]]="B", WORKDAY(Main[[#This Row],[Tech Start Date]],19),IF(Main[[#This Row],[Class]]="A",WORKDAY(Main[[#This Row],[Tech Start Date]],9),""))))</f>
        <v/>
      </c>
      <c r="Q681" s="67"/>
      <c r="R681" s="67"/>
      <c r="S681" s="65" t="s">
        <v>23</v>
      </c>
      <c r="T681" s="70" t="s">
        <v>4</v>
      </c>
      <c r="U681" s="65" t="s">
        <v>14</v>
      </c>
      <c r="V681" s="65" t="s">
        <v>1917</v>
      </c>
      <c r="W681" s="65" t="s">
        <v>1918</v>
      </c>
      <c r="X681" s="65" t="s">
        <v>417</v>
      </c>
      <c r="Y681" s="65" t="s">
        <v>3088</v>
      </c>
      <c r="Z681" s="65" t="s">
        <v>30</v>
      </c>
      <c r="AA681" s="65" t="s">
        <v>3429</v>
      </c>
    </row>
    <row r="682" spans="1:27" ht="17.45" hidden="1" customHeight="1">
      <c r="A682" s="100" t="str">
        <f>IF(priority(Main[[#This Row],[Comments]])&lt;&gt;0, priority(Main[[#This Row],[Comments]]),"")</f>
        <v/>
      </c>
      <c r="B682" s="77" t="s">
        <v>1612</v>
      </c>
      <c r="C682" s="65" t="s">
        <v>685</v>
      </c>
      <c r="D682" s="66" t="s">
        <v>686</v>
      </c>
      <c r="E682" s="67"/>
      <c r="F682" s="67">
        <v>40527</v>
      </c>
      <c r="G682" s="64" t="str">
        <f>IF(stdProdLT(Main[[#This Row],[Comments]])=0.1,"N/A",IF(stdProdLT(Main[[#This Row],[Comments]])=0,"",stdProdLT(Main[[#This Row],[Comments]])))</f>
        <v/>
      </c>
      <c r="H682" s="68" t="str">
        <f>IF(AND(Main[[#This Row],[In Stock Date]]&lt;&gt;"",Main[[#This Row],[Revised Due Date]]&lt;&gt;""),Main[[#This Row],[In Stock Date]]-Main[[#This Row],[Revised Due Date]],"")</f>
        <v/>
      </c>
      <c r="I682" s="65" t="s">
        <v>4</v>
      </c>
      <c r="J682" s="65" t="s">
        <v>4</v>
      </c>
      <c r="K682" s="71" t="s">
        <v>4</v>
      </c>
      <c r="L682" s="67"/>
      <c r="M682" s="69" t="str">
        <f>IF(Main[[#This Row],[Tech Start Date]]&lt;1/1/1990,"",IF(Main[[#This Row],[Class]]="C",WORKDAY(Main[[#This Row],[Tech Start Date]],9),IF(Main[[#This Row],[Class]]="B", WORKDAY(Main[[#This Row],[Tech Start Date]],6),IF(Main[[#This Row],[Class]]="A",WORKDAY(Main[[#This Row],[Tech Start Date]],2),""))))</f>
        <v/>
      </c>
      <c r="N682" s="69" t="str">
        <f>IF(Main[[#This Row],[Tech Start Date]]&lt;1/1/1990,"",IF(Main[[#This Row],[Class]]="C",WORKDAY(Main[[#This Row],[Tech Start Date]],19),IF(Main[[#This Row],[Class]]="B", WORKDAY(Main[[#This Row],[Tech Start Date]],12),IF(Main[[#This Row],[Class]]="A",WORKDAY(Main[[#This Row],[Tech Start Date]],4),""))))</f>
        <v/>
      </c>
      <c r="O682" s="69" t="str">
        <f>IF(Main[[#This Row],[Tech Start Date]]&lt;1/1/1990,"",IF(Main[[#This Row],[Class]]="C",WORKDAY(Main[[#This Row],[Tech Start Date]],23),IF(Main[[#This Row],[Class]]="B", WORKDAY(Main[[#This Row],[Tech Start Date]],15),IF(Main[[#This Row],[Class]]="A",WORKDAY(Main[[#This Row],[Tech Start Date]],5),""))))</f>
        <v/>
      </c>
      <c r="P682" s="69" t="str">
        <f>IF(Main[[#This Row],[Tech Start Date]]&lt;1/1/1990,"",IF(Main[[#This Row],[Class]]="C",WORKDAY(Main[[#This Row],[Tech Start Date]],28),IF(Main[[#This Row],[Class]]="B", WORKDAY(Main[[#This Row],[Tech Start Date]],19),IF(Main[[#This Row],[Class]]="A",WORKDAY(Main[[#This Row],[Tech Start Date]],9),""))))</f>
        <v/>
      </c>
      <c r="Q682" s="67">
        <v>40480</v>
      </c>
      <c r="R682" s="67"/>
      <c r="S682" s="65" t="s">
        <v>11</v>
      </c>
      <c r="T682" s="70" t="s">
        <v>4</v>
      </c>
      <c r="U682" s="65" t="s">
        <v>14</v>
      </c>
      <c r="V682" s="65" t="s">
        <v>1915</v>
      </c>
      <c r="W682" s="65" t="s">
        <v>1920</v>
      </c>
      <c r="X682" s="65" t="s">
        <v>2879</v>
      </c>
      <c r="Y682" s="65" t="s">
        <v>3027</v>
      </c>
      <c r="Z682" s="65" t="s">
        <v>4</v>
      </c>
      <c r="AA682" s="65" t="s">
        <v>2879</v>
      </c>
    </row>
    <row r="683" spans="1:27" ht="17.45" hidden="1" customHeight="1">
      <c r="A683" s="100" t="str">
        <f>IF(priority(Main[[#This Row],[Comments]])&lt;&gt;0, priority(Main[[#This Row],[Comments]]),"")</f>
        <v/>
      </c>
      <c r="B683" s="77" t="s">
        <v>1613</v>
      </c>
      <c r="C683" s="65" t="s">
        <v>4</v>
      </c>
      <c r="D683" s="66" t="s">
        <v>687</v>
      </c>
      <c r="E683" s="67"/>
      <c r="F683" s="67"/>
      <c r="G683" s="64" t="str">
        <f>IF(stdProdLT(Main[[#This Row],[Comments]])=0.1,"N/A",IF(stdProdLT(Main[[#This Row],[Comments]])=0,"",stdProdLT(Main[[#This Row],[Comments]])))</f>
        <v/>
      </c>
      <c r="H683" s="68" t="str">
        <f>IF(AND(Main[[#This Row],[In Stock Date]]&lt;&gt;"",Main[[#This Row],[Revised Due Date]]&lt;&gt;""),Main[[#This Row],[In Stock Date]]-Main[[#This Row],[Revised Due Date]],"")</f>
        <v/>
      </c>
      <c r="I683" s="65" t="s">
        <v>4</v>
      </c>
      <c r="J683" s="65" t="s">
        <v>4</v>
      </c>
      <c r="K683" s="65" t="s">
        <v>4</v>
      </c>
      <c r="L683" s="67"/>
      <c r="M683" s="69" t="str">
        <f>IF(Main[[#This Row],[Tech Start Date]]&lt;1/1/1990,"",IF(Main[[#This Row],[Class]]="C",WORKDAY(Main[[#This Row],[Tech Start Date]],9),IF(Main[[#This Row],[Class]]="B", WORKDAY(Main[[#This Row],[Tech Start Date]],6),IF(Main[[#This Row],[Class]]="A",WORKDAY(Main[[#This Row],[Tech Start Date]],2),""))))</f>
        <v/>
      </c>
      <c r="N683" s="69" t="str">
        <f>IF(Main[[#This Row],[Tech Start Date]]&lt;1/1/1990,"",IF(Main[[#This Row],[Class]]="C",WORKDAY(Main[[#This Row],[Tech Start Date]],19),IF(Main[[#This Row],[Class]]="B", WORKDAY(Main[[#This Row],[Tech Start Date]],12),IF(Main[[#This Row],[Class]]="A",WORKDAY(Main[[#This Row],[Tech Start Date]],4),""))))</f>
        <v/>
      </c>
      <c r="O683" s="69" t="str">
        <f>IF(Main[[#This Row],[Tech Start Date]]&lt;1/1/1990,"",IF(Main[[#This Row],[Class]]="C",WORKDAY(Main[[#This Row],[Tech Start Date]],23),IF(Main[[#This Row],[Class]]="B", WORKDAY(Main[[#This Row],[Tech Start Date]],15),IF(Main[[#This Row],[Class]]="A",WORKDAY(Main[[#This Row],[Tech Start Date]],5),""))))</f>
        <v/>
      </c>
      <c r="P683" s="69" t="str">
        <f>IF(Main[[#This Row],[Tech Start Date]]&lt;1/1/1990,"",IF(Main[[#This Row],[Class]]="C",WORKDAY(Main[[#This Row],[Tech Start Date]],28),IF(Main[[#This Row],[Class]]="B", WORKDAY(Main[[#This Row],[Tech Start Date]],19),IF(Main[[#This Row],[Class]]="A",WORKDAY(Main[[#This Row],[Tech Start Date]],9),""))))</f>
        <v/>
      </c>
      <c r="Q683" s="67"/>
      <c r="R683" s="67"/>
      <c r="S683" s="65" t="s">
        <v>6</v>
      </c>
      <c r="T683" s="70" t="s">
        <v>4</v>
      </c>
      <c r="U683" s="65" t="s">
        <v>14</v>
      </c>
      <c r="V683" s="65" t="s">
        <v>1914</v>
      </c>
      <c r="W683" s="65" t="s">
        <v>1922</v>
      </c>
      <c r="X683" s="65" t="s">
        <v>2052</v>
      </c>
      <c r="Y683" s="65" t="s">
        <v>3002</v>
      </c>
      <c r="Z683" s="65" t="s">
        <v>4</v>
      </c>
      <c r="AA683" s="65" t="s">
        <v>2052</v>
      </c>
    </row>
    <row r="684" spans="1:27" ht="17.45" hidden="1" customHeight="1">
      <c r="A684" s="100" t="str">
        <f>IF(priority(Main[[#This Row],[Comments]])&lt;&gt;0, priority(Main[[#This Row],[Comments]]),"")</f>
        <v/>
      </c>
      <c r="B684" s="77" t="s">
        <v>1559</v>
      </c>
      <c r="C684" s="65" t="s">
        <v>93</v>
      </c>
      <c r="D684" s="66" t="s">
        <v>638</v>
      </c>
      <c r="E684" s="67"/>
      <c r="F684" s="67">
        <v>40132</v>
      </c>
      <c r="G684" s="64" t="str">
        <f>IF(stdProdLT(Main[[#This Row],[Comments]])=0.1,"N/A",IF(stdProdLT(Main[[#This Row],[Comments]])=0,"",stdProdLT(Main[[#This Row],[Comments]])))</f>
        <v/>
      </c>
      <c r="H684" s="68" t="str">
        <f>IF(AND(Main[[#This Row],[In Stock Date]]&lt;&gt;"",Main[[#This Row],[Revised Due Date]]&lt;&gt;""),Main[[#This Row],[In Stock Date]]-Main[[#This Row],[Revised Due Date]],"")</f>
        <v/>
      </c>
      <c r="I684" s="65" t="s">
        <v>4</v>
      </c>
      <c r="J684" s="65" t="s">
        <v>4</v>
      </c>
      <c r="K684" s="65" t="s">
        <v>4</v>
      </c>
      <c r="L684" s="67"/>
      <c r="M684" s="69" t="str">
        <f>IF(Main[[#This Row],[Tech Start Date]]&lt;1/1/1990,"",IF(Main[[#This Row],[Class]]="C",WORKDAY(Main[[#This Row],[Tech Start Date]],9),IF(Main[[#This Row],[Class]]="B", WORKDAY(Main[[#This Row],[Tech Start Date]],6),IF(Main[[#This Row],[Class]]="A",WORKDAY(Main[[#This Row],[Tech Start Date]],2),""))))</f>
        <v/>
      </c>
      <c r="N684" s="69" t="str">
        <f>IF(Main[[#This Row],[Tech Start Date]]&lt;1/1/1990,"",IF(Main[[#This Row],[Class]]="C",WORKDAY(Main[[#This Row],[Tech Start Date]],19),IF(Main[[#This Row],[Class]]="B", WORKDAY(Main[[#This Row],[Tech Start Date]],12),IF(Main[[#This Row],[Class]]="A",WORKDAY(Main[[#This Row],[Tech Start Date]],4),""))))</f>
        <v/>
      </c>
      <c r="O684" s="69" t="str">
        <f>IF(Main[[#This Row],[Tech Start Date]]&lt;1/1/1990,"",IF(Main[[#This Row],[Class]]="C",WORKDAY(Main[[#This Row],[Tech Start Date]],23),IF(Main[[#This Row],[Class]]="B", WORKDAY(Main[[#This Row],[Tech Start Date]],15),IF(Main[[#This Row],[Class]]="A",WORKDAY(Main[[#This Row],[Tech Start Date]],5),""))))</f>
        <v/>
      </c>
      <c r="P684" s="69" t="str">
        <f>IF(Main[[#This Row],[Tech Start Date]]&lt;1/1/1990,"",IF(Main[[#This Row],[Class]]="C",WORKDAY(Main[[#This Row],[Tech Start Date]],28),IF(Main[[#This Row],[Class]]="B", WORKDAY(Main[[#This Row],[Tech Start Date]],19),IF(Main[[#This Row],[Class]]="A",WORKDAY(Main[[#This Row],[Tech Start Date]],9),""))))</f>
        <v/>
      </c>
      <c r="Q684" s="67">
        <v>40132</v>
      </c>
      <c r="R684" s="67"/>
      <c r="S684" s="65" t="s">
        <v>11</v>
      </c>
      <c r="T684" s="70" t="s">
        <v>4</v>
      </c>
      <c r="U684" s="65" t="s">
        <v>14</v>
      </c>
      <c r="V684" s="65" t="s">
        <v>1917</v>
      </c>
      <c r="W684" s="65" t="s">
        <v>1925</v>
      </c>
      <c r="X684" s="65" t="s">
        <v>2856</v>
      </c>
      <c r="Y684" s="65" t="s">
        <v>4</v>
      </c>
      <c r="Z684" s="65" t="s">
        <v>4</v>
      </c>
      <c r="AA684" s="65" t="s">
        <v>2856</v>
      </c>
    </row>
    <row r="685" spans="1:27" ht="17.45" hidden="1" customHeight="1">
      <c r="A685" s="100" t="str">
        <f>IF(priority(Main[[#This Row],[Comments]])&lt;&gt;0, priority(Main[[#This Row],[Comments]]),"")</f>
        <v/>
      </c>
      <c r="B685" s="77" t="s">
        <v>3252</v>
      </c>
      <c r="C685" s="65" t="s">
        <v>3253</v>
      </c>
      <c r="D685" s="66" t="s">
        <v>3254</v>
      </c>
      <c r="E685" s="67">
        <v>40931.373113425929</v>
      </c>
      <c r="F685" s="67"/>
      <c r="G685" s="64" t="str">
        <f>IF(stdProdLT(Main[[#This Row],[Comments]])=0.1,"N/A",IF(stdProdLT(Main[[#This Row],[Comments]])=0,"",stdProdLT(Main[[#This Row],[Comments]])))</f>
        <v/>
      </c>
      <c r="H685" s="68" t="str">
        <f>IF(AND(Main[[#This Row],[In Stock Date]]&lt;&gt;"",Main[[#This Row],[Revised Due Date]]&lt;&gt;""),Main[[#This Row],[In Stock Date]]-Main[[#This Row],[Revised Due Date]],"")</f>
        <v/>
      </c>
      <c r="I685" s="65" t="s">
        <v>941</v>
      </c>
      <c r="J685" s="65" t="s">
        <v>28</v>
      </c>
      <c r="K685" s="65" t="s">
        <v>1923</v>
      </c>
      <c r="L685" s="67"/>
      <c r="M685" s="69" t="str">
        <f>IF(Main[[#This Row],[Tech Start Date]]&lt;1/1/1990,"",IF(Main[[#This Row],[Class]]="C",WORKDAY(Main[[#This Row],[Tech Start Date]],9),IF(Main[[#This Row],[Class]]="B", WORKDAY(Main[[#This Row],[Tech Start Date]],6),IF(Main[[#This Row],[Class]]="A",WORKDAY(Main[[#This Row],[Tech Start Date]],2),""))))</f>
        <v/>
      </c>
      <c r="N685" s="69" t="str">
        <f>IF(Main[[#This Row],[Tech Start Date]]&lt;1/1/1990,"",IF(Main[[#This Row],[Class]]="C",WORKDAY(Main[[#This Row],[Tech Start Date]],19),IF(Main[[#This Row],[Class]]="B", WORKDAY(Main[[#This Row],[Tech Start Date]],12),IF(Main[[#This Row],[Class]]="A",WORKDAY(Main[[#This Row],[Tech Start Date]],4),""))))</f>
        <v/>
      </c>
      <c r="O685" s="69" t="str">
        <f>IF(Main[[#This Row],[Tech Start Date]]&lt;1/1/1990,"",IF(Main[[#This Row],[Class]]="C",WORKDAY(Main[[#This Row],[Tech Start Date]],23),IF(Main[[#This Row],[Class]]="B", WORKDAY(Main[[#This Row],[Tech Start Date]],15),IF(Main[[#This Row],[Class]]="A",WORKDAY(Main[[#This Row],[Tech Start Date]],5),""))))</f>
        <v/>
      </c>
      <c r="P685" s="69" t="str">
        <f>IF(Main[[#This Row],[Tech Start Date]]&lt;1/1/1990,"",IF(Main[[#This Row],[Class]]="C",WORKDAY(Main[[#This Row],[Tech Start Date]],28),IF(Main[[#This Row],[Class]]="B", WORKDAY(Main[[#This Row],[Tech Start Date]],19),IF(Main[[#This Row],[Class]]="A",WORKDAY(Main[[#This Row],[Tech Start Date]],9),""))))</f>
        <v/>
      </c>
      <c r="Q685" s="67"/>
      <c r="R685" s="67"/>
      <c r="S685" s="65" t="s">
        <v>6</v>
      </c>
      <c r="T685" s="70" t="s">
        <v>3255</v>
      </c>
      <c r="U685" s="65" t="s">
        <v>29</v>
      </c>
      <c r="V685" s="65" t="s">
        <v>1915</v>
      </c>
      <c r="W685" s="65" t="s">
        <v>1918</v>
      </c>
      <c r="X685" s="65" t="s">
        <v>2816</v>
      </c>
      <c r="Y685" s="65" t="s">
        <v>2993</v>
      </c>
      <c r="Z685" s="65" t="s">
        <v>2053</v>
      </c>
      <c r="AA685" s="65" t="s">
        <v>2816</v>
      </c>
    </row>
    <row r="686" spans="1:27" ht="17.45" hidden="1" customHeight="1">
      <c r="A686" s="100" t="str">
        <f>IF(priority(Main[[#This Row],[Comments]])&lt;&gt;0, priority(Main[[#This Row],[Comments]]),"")</f>
        <v/>
      </c>
      <c r="B686" s="77" t="s">
        <v>1560</v>
      </c>
      <c r="C686" s="65" t="s">
        <v>4</v>
      </c>
      <c r="D686" s="66" t="s">
        <v>639</v>
      </c>
      <c r="E686" s="67"/>
      <c r="F686" s="67">
        <v>40602</v>
      </c>
      <c r="G686" s="64" t="str">
        <f>IF(stdProdLT(Main[[#This Row],[Comments]])=0.1,"N/A",IF(stdProdLT(Main[[#This Row],[Comments]])=0,"",stdProdLT(Main[[#This Row],[Comments]])))</f>
        <v/>
      </c>
      <c r="H686" s="68" t="str">
        <f>IF(AND(Main[[#This Row],[In Stock Date]]&lt;&gt;"",Main[[#This Row],[Revised Due Date]]&lt;&gt;""),Main[[#This Row],[In Stock Date]]-Main[[#This Row],[Revised Due Date]],"")</f>
        <v/>
      </c>
      <c r="I686" s="65" t="s">
        <v>399</v>
      </c>
      <c r="J686" s="65" t="s">
        <v>75</v>
      </c>
      <c r="K686" s="65" t="s">
        <v>1923</v>
      </c>
      <c r="L686" s="67"/>
      <c r="M686" s="69" t="str">
        <f>IF(Main[[#This Row],[Tech Start Date]]&lt;1/1/1990,"",IF(Main[[#This Row],[Class]]="C",WORKDAY(Main[[#This Row],[Tech Start Date]],9),IF(Main[[#This Row],[Class]]="B", WORKDAY(Main[[#This Row],[Tech Start Date]],6),IF(Main[[#This Row],[Class]]="A",WORKDAY(Main[[#This Row],[Tech Start Date]],2),""))))</f>
        <v/>
      </c>
      <c r="N686" s="69" t="str">
        <f>IF(Main[[#This Row],[Tech Start Date]]&lt;1/1/1990,"",IF(Main[[#This Row],[Class]]="C",WORKDAY(Main[[#This Row],[Tech Start Date]],19),IF(Main[[#This Row],[Class]]="B", WORKDAY(Main[[#This Row],[Tech Start Date]],12),IF(Main[[#This Row],[Class]]="A",WORKDAY(Main[[#This Row],[Tech Start Date]],4),""))))</f>
        <v/>
      </c>
      <c r="O686" s="69" t="str">
        <f>IF(Main[[#This Row],[Tech Start Date]]&lt;1/1/1990,"",IF(Main[[#This Row],[Class]]="C",WORKDAY(Main[[#This Row],[Tech Start Date]],23),IF(Main[[#This Row],[Class]]="B", WORKDAY(Main[[#This Row],[Tech Start Date]],15),IF(Main[[#This Row],[Class]]="A",WORKDAY(Main[[#This Row],[Tech Start Date]],5),""))))</f>
        <v/>
      </c>
      <c r="P686" s="69" t="str">
        <f>IF(Main[[#This Row],[Tech Start Date]]&lt;1/1/1990,"",IF(Main[[#This Row],[Class]]="C",WORKDAY(Main[[#This Row],[Tech Start Date]],28),IF(Main[[#This Row],[Class]]="B", WORKDAY(Main[[#This Row],[Tech Start Date]],19),IF(Main[[#This Row],[Class]]="A",WORKDAY(Main[[#This Row],[Tech Start Date]],9),""))))</f>
        <v/>
      </c>
      <c r="Q686" s="67"/>
      <c r="R686" s="67"/>
      <c r="S686" s="65" t="s">
        <v>11</v>
      </c>
      <c r="T686" s="70" t="s">
        <v>4</v>
      </c>
      <c r="U686" s="65" t="s">
        <v>14</v>
      </c>
      <c r="V686" s="65" t="s">
        <v>1917</v>
      </c>
      <c r="W686" s="65" t="s">
        <v>1920</v>
      </c>
      <c r="X686" s="65" t="s">
        <v>50</v>
      </c>
      <c r="Y686" s="65" t="s">
        <v>2961</v>
      </c>
      <c r="Z686" s="65" t="s">
        <v>306</v>
      </c>
      <c r="AA686" s="65" t="s">
        <v>50</v>
      </c>
    </row>
    <row r="687" spans="1:27" ht="17.45" hidden="1" customHeight="1">
      <c r="A687" s="100" t="str">
        <f>IF(priority(Main[[#This Row],[Comments]])&lt;&gt;0, priority(Main[[#This Row],[Comments]]),"")</f>
        <v/>
      </c>
      <c r="B687" s="77" t="s">
        <v>1561</v>
      </c>
      <c r="C687" s="65" t="s">
        <v>4</v>
      </c>
      <c r="D687" s="66" t="s">
        <v>640</v>
      </c>
      <c r="E687" s="67"/>
      <c r="F687" s="67">
        <v>40711</v>
      </c>
      <c r="G687" s="64" t="str">
        <f>IF(stdProdLT(Main[[#This Row],[Comments]])=0.1,"N/A",IF(stdProdLT(Main[[#This Row],[Comments]])=0,"",stdProdLT(Main[[#This Row],[Comments]])))</f>
        <v/>
      </c>
      <c r="H687" s="68" t="str">
        <f>IF(AND(Main[[#This Row],[In Stock Date]]&lt;&gt;"",Main[[#This Row],[Revised Due Date]]&lt;&gt;""),Main[[#This Row],[In Stock Date]]-Main[[#This Row],[Revised Due Date]],"")</f>
        <v/>
      </c>
      <c r="I687" s="65" t="s">
        <v>4</v>
      </c>
      <c r="J687" s="65" t="s">
        <v>4</v>
      </c>
      <c r="K687" s="65" t="s">
        <v>4</v>
      </c>
      <c r="L687" s="67"/>
      <c r="M687" s="69" t="str">
        <f>IF(Main[[#This Row],[Tech Start Date]]&lt;1/1/1990,"",IF(Main[[#This Row],[Class]]="C",WORKDAY(Main[[#This Row],[Tech Start Date]],9),IF(Main[[#This Row],[Class]]="B", WORKDAY(Main[[#This Row],[Tech Start Date]],6),IF(Main[[#This Row],[Class]]="A",WORKDAY(Main[[#This Row],[Tech Start Date]],2),""))))</f>
        <v/>
      </c>
      <c r="N687" s="69" t="str">
        <f>IF(Main[[#This Row],[Tech Start Date]]&lt;1/1/1990,"",IF(Main[[#This Row],[Class]]="C",WORKDAY(Main[[#This Row],[Tech Start Date]],19),IF(Main[[#This Row],[Class]]="B", WORKDAY(Main[[#This Row],[Tech Start Date]],12),IF(Main[[#This Row],[Class]]="A",WORKDAY(Main[[#This Row],[Tech Start Date]],4),""))))</f>
        <v/>
      </c>
      <c r="O687" s="69" t="str">
        <f>IF(Main[[#This Row],[Tech Start Date]]&lt;1/1/1990,"",IF(Main[[#This Row],[Class]]="C",WORKDAY(Main[[#This Row],[Tech Start Date]],23),IF(Main[[#This Row],[Class]]="B", WORKDAY(Main[[#This Row],[Tech Start Date]],15),IF(Main[[#This Row],[Class]]="A",WORKDAY(Main[[#This Row],[Tech Start Date]],5),""))))</f>
        <v/>
      </c>
      <c r="P687" s="69" t="str">
        <f>IF(Main[[#This Row],[Tech Start Date]]&lt;1/1/1990,"",IF(Main[[#This Row],[Class]]="C",WORKDAY(Main[[#This Row],[Tech Start Date]],28),IF(Main[[#This Row],[Class]]="B", WORKDAY(Main[[#This Row],[Tech Start Date]],19),IF(Main[[#This Row],[Class]]="A",WORKDAY(Main[[#This Row],[Tech Start Date]],9),""))))</f>
        <v/>
      </c>
      <c r="Q687" s="67"/>
      <c r="R687" s="67"/>
      <c r="S687" s="65" t="s">
        <v>11</v>
      </c>
      <c r="T687" s="70" t="s">
        <v>4</v>
      </c>
      <c r="U687" s="65" t="s">
        <v>14</v>
      </c>
      <c r="V687" s="65" t="s">
        <v>1915</v>
      </c>
      <c r="W687" s="65" t="s">
        <v>1919</v>
      </c>
      <c r="X687" s="65" t="s">
        <v>941</v>
      </c>
      <c r="Y687" s="65" t="s">
        <v>2995</v>
      </c>
      <c r="Z687" s="65" t="s">
        <v>4</v>
      </c>
      <c r="AA687" s="65" t="s">
        <v>941</v>
      </c>
    </row>
    <row r="688" spans="1:27" ht="17.45" hidden="1" customHeight="1">
      <c r="A688" s="100" t="str">
        <f>IF(priority(Main[[#This Row],[Comments]])&lt;&gt;0, priority(Main[[#This Row],[Comments]]),"")</f>
        <v/>
      </c>
      <c r="B688" s="77" t="s">
        <v>1562</v>
      </c>
      <c r="C688" s="65" t="s">
        <v>180</v>
      </c>
      <c r="D688" s="66" t="s">
        <v>641</v>
      </c>
      <c r="E688" s="67"/>
      <c r="F688" s="67">
        <v>40389</v>
      </c>
      <c r="G688" s="64" t="str">
        <f>IF(stdProdLT(Main[[#This Row],[Comments]])=0.1,"N/A",IF(stdProdLT(Main[[#This Row],[Comments]])=0,"",stdProdLT(Main[[#This Row],[Comments]])))</f>
        <v/>
      </c>
      <c r="H688" s="68" t="str">
        <f>IF(AND(Main[[#This Row],[In Stock Date]]&lt;&gt;"",Main[[#This Row],[Revised Due Date]]&lt;&gt;""),Main[[#This Row],[In Stock Date]]-Main[[#This Row],[Revised Due Date]],"")</f>
        <v/>
      </c>
      <c r="I688" s="65" t="s">
        <v>4</v>
      </c>
      <c r="J688" s="65" t="s">
        <v>4</v>
      </c>
      <c r="K688" s="65" t="s">
        <v>4</v>
      </c>
      <c r="L688" s="67"/>
      <c r="M688" s="69" t="str">
        <f>IF(Main[[#This Row],[Tech Start Date]]&lt;1/1/1990,"",IF(Main[[#This Row],[Class]]="C",WORKDAY(Main[[#This Row],[Tech Start Date]],9),IF(Main[[#This Row],[Class]]="B", WORKDAY(Main[[#This Row],[Tech Start Date]],6),IF(Main[[#This Row],[Class]]="A",WORKDAY(Main[[#This Row],[Tech Start Date]],2),""))))</f>
        <v/>
      </c>
      <c r="N688" s="69" t="str">
        <f>IF(Main[[#This Row],[Tech Start Date]]&lt;1/1/1990,"",IF(Main[[#This Row],[Class]]="C",WORKDAY(Main[[#This Row],[Tech Start Date]],19),IF(Main[[#This Row],[Class]]="B", WORKDAY(Main[[#This Row],[Tech Start Date]],12),IF(Main[[#This Row],[Class]]="A",WORKDAY(Main[[#This Row],[Tech Start Date]],4),""))))</f>
        <v/>
      </c>
      <c r="O688" s="69" t="str">
        <f>IF(Main[[#This Row],[Tech Start Date]]&lt;1/1/1990,"",IF(Main[[#This Row],[Class]]="C",WORKDAY(Main[[#This Row],[Tech Start Date]],23),IF(Main[[#This Row],[Class]]="B", WORKDAY(Main[[#This Row],[Tech Start Date]],15),IF(Main[[#This Row],[Class]]="A",WORKDAY(Main[[#This Row],[Tech Start Date]],5),""))))</f>
        <v/>
      </c>
      <c r="P688" s="69" t="str">
        <f>IF(Main[[#This Row],[Tech Start Date]]&lt;1/1/1990,"",IF(Main[[#This Row],[Class]]="C",WORKDAY(Main[[#This Row],[Tech Start Date]],28),IF(Main[[#This Row],[Class]]="B", WORKDAY(Main[[#This Row],[Tech Start Date]],19),IF(Main[[#This Row],[Class]]="A",WORKDAY(Main[[#This Row],[Tech Start Date]],9),""))))</f>
        <v/>
      </c>
      <c r="Q688" s="67">
        <v>40298</v>
      </c>
      <c r="R688" s="67"/>
      <c r="S688" s="65" t="s">
        <v>11</v>
      </c>
      <c r="T688" s="70" t="s">
        <v>4</v>
      </c>
      <c r="U688" s="65" t="s">
        <v>14</v>
      </c>
      <c r="V688" s="65" t="s">
        <v>1914</v>
      </c>
      <c r="W688" s="65" t="s">
        <v>1920</v>
      </c>
      <c r="X688" s="65" t="s">
        <v>2824</v>
      </c>
      <c r="Y688" s="65" t="s">
        <v>2943</v>
      </c>
      <c r="Z688" s="65" t="s">
        <v>4</v>
      </c>
      <c r="AA688" s="65" t="s">
        <v>2824</v>
      </c>
    </row>
    <row r="689" spans="1:27" ht="17.45" hidden="1" customHeight="1">
      <c r="A689" s="100" t="str">
        <f>IF(priority(Main[[#This Row],[Comments]])&lt;&gt;0, priority(Main[[#This Row],[Comments]]),"")</f>
        <v/>
      </c>
      <c r="B689" s="77" t="s">
        <v>1563</v>
      </c>
      <c r="C689" s="65" t="s">
        <v>4</v>
      </c>
      <c r="D689" s="66" t="s">
        <v>642</v>
      </c>
      <c r="E689" s="67"/>
      <c r="F689" s="67"/>
      <c r="G689" s="64" t="str">
        <f>IF(stdProdLT(Main[[#This Row],[Comments]])=0.1,"N/A",IF(stdProdLT(Main[[#This Row],[Comments]])=0,"",stdProdLT(Main[[#This Row],[Comments]])))</f>
        <v/>
      </c>
      <c r="H689" s="68" t="str">
        <f>IF(AND(Main[[#This Row],[In Stock Date]]&lt;&gt;"",Main[[#This Row],[Revised Due Date]]&lt;&gt;""),Main[[#This Row],[In Stock Date]]-Main[[#This Row],[Revised Due Date]],"")</f>
        <v/>
      </c>
      <c r="I689" s="65" t="s">
        <v>4</v>
      </c>
      <c r="J689" s="65" t="s">
        <v>4</v>
      </c>
      <c r="K689" s="71" t="s">
        <v>4</v>
      </c>
      <c r="L689" s="67"/>
      <c r="M689" s="69" t="str">
        <f>IF(Main[[#This Row],[Tech Start Date]]&lt;1/1/1990,"",IF(Main[[#This Row],[Class]]="C",WORKDAY(Main[[#This Row],[Tech Start Date]],9),IF(Main[[#This Row],[Class]]="B", WORKDAY(Main[[#This Row],[Tech Start Date]],6),IF(Main[[#This Row],[Class]]="A",WORKDAY(Main[[#This Row],[Tech Start Date]],2),""))))</f>
        <v/>
      </c>
      <c r="N689" s="69" t="str">
        <f>IF(Main[[#This Row],[Tech Start Date]]&lt;1/1/1990,"",IF(Main[[#This Row],[Class]]="C",WORKDAY(Main[[#This Row],[Tech Start Date]],19),IF(Main[[#This Row],[Class]]="B", WORKDAY(Main[[#This Row],[Tech Start Date]],12),IF(Main[[#This Row],[Class]]="A",WORKDAY(Main[[#This Row],[Tech Start Date]],4),""))))</f>
        <v/>
      </c>
      <c r="O689" s="69" t="str">
        <f>IF(Main[[#This Row],[Tech Start Date]]&lt;1/1/1990,"",IF(Main[[#This Row],[Class]]="C",WORKDAY(Main[[#This Row],[Tech Start Date]],23),IF(Main[[#This Row],[Class]]="B", WORKDAY(Main[[#This Row],[Tech Start Date]],15),IF(Main[[#This Row],[Class]]="A",WORKDAY(Main[[#This Row],[Tech Start Date]],5),""))))</f>
        <v/>
      </c>
      <c r="P689" s="69" t="str">
        <f>IF(Main[[#This Row],[Tech Start Date]]&lt;1/1/1990,"",IF(Main[[#This Row],[Class]]="C",WORKDAY(Main[[#This Row],[Tech Start Date]],28),IF(Main[[#This Row],[Class]]="B", WORKDAY(Main[[#This Row],[Tech Start Date]],19),IF(Main[[#This Row],[Class]]="A",WORKDAY(Main[[#This Row],[Tech Start Date]],9),""))))</f>
        <v/>
      </c>
      <c r="Q689" s="67"/>
      <c r="R689" s="67"/>
      <c r="S689" s="65" t="s">
        <v>11</v>
      </c>
      <c r="T689" s="70" t="s">
        <v>4</v>
      </c>
      <c r="U689" s="65" t="s">
        <v>12</v>
      </c>
      <c r="V689" s="65" t="s">
        <v>1914</v>
      </c>
      <c r="W689" s="65" t="s">
        <v>1918</v>
      </c>
      <c r="X689" s="65" t="s">
        <v>886</v>
      </c>
      <c r="Y689" s="65" t="s">
        <v>3082</v>
      </c>
      <c r="Z689" s="65" t="s">
        <v>4</v>
      </c>
      <c r="AA689" s="65" t="s">
        <v>886</v>
      </c>
    </row>
    <row r="690" spans="1:27" ht="17.45" hidden="1" customHeight="1">
      <c r="A690" s="100" t="str">
        <f>IF(priority(Main[[#This Row],[Comments]])&lt;&gt;0, priority(Main[[#This Row],[Comments]]),"")</f>
        <v/>
      </c>
      <c r="B690" s="77" t="s">
        <v>2348</v>
      </c>
      <c r="C690" s="65" t="s">
        <v>4</v>
      </c>
      <c r="D690" s="66" t="s">
        <v>3554</v>
      </c>
      <c r="E690" s="67">
        <v>40849.308981481481</v>
      </c>
      <c r="F690" s="67"/>
      <c r="G690" s="64" t="str">
        <f>IF(stdProdLT(Main[[#This Row],[Comments]])=0.1,"N/A",IF(stdProdLT(Main[[#This Row],[Comments]])=0,"",stdProdLT(Main[[#This Row],[Comments]])))</f>
        <v/>
      </c>
      <c r="H690" s="68" t="str">
        <f>IF(AND(Main[[#This Row],[In Stock Date]]&lt;&gt;"",Main[[#This Row],[Revised Due Date]]&lt;&gt;""),Main[[#This Row],[In Stock Date]]-Main[[#This Row],[Revised Due Date]],"")</f>
        <v/>
      </c>
      <c r="I690" s="65" t="s">
        <v>937</v>
      </c>
      <c r="J690" s="65" t="s">
        <v>21</v>
      </c>
      <c r="K690" s="65" t="s">
        <v>1921</v>
      </c>
      <c r="L690" s="67"/>
      <c r="M690" s="69" t="str">
        <f>IF(Main[[#This Row],[Tech Start Date]]&lt;1/1/1990,"",IF(Main[[#This Row],[Class]]="C",WORKDAY(Main[[#This Row],[Tech Start Date]],9),IF(Main[[#This Row],[Class]]="B", WORKDAY(Main[[#This Row],[Tech Start Date]],6),IF(Main[[#This Row],[Class]]="A",WORKDAY(Main[[#This Row],[Tech Start Date]],2),""))))</f>
        <v/>
      </c>
      <c r="N690" s="69" t="str">
        <f>IF(Main[[#This Row],[Tech Start Date]]&lt;1/1/1990,"",IF(Main[[#This Row],[Class]]="C",WORKDAY(Main[[#This Row],[Tech Start Date]],19),IF(Main[[#This Row],[Class]]="B", WORKDAY(Main[[#This Row],[Tech Start Date]],12),IF(Main[[#This Row],[Class]]="A",WORKDAY(Main[[#This Row],[Tech Start Date]],4),""))))</f>
        <v/>
      </c>
      <c r="O690" s="69" t="str">
        <f>IF(Main[[#This Row],[Tech Start Date]]&lt;1/1/1990,"",IF(Main[[#This Row],[Class]]="C",WORKDAY(Main[[#This Row],[Tech Start Date]],23),IF(Main[[#This Row],[Class]]="B", WORKDAY(Main[[#This Row],[Tech Start Date]],15),IF(Main[[#This Row],[Class]]="A",WORKDAY(Main[[#This Row],[Tech Start Date]],5),""))))</f>
        <v/>
      </c>
      <c r="P690" s="69" t="str">
        <f>IF(Main[[#This Row],[Tech Start Date]]&lt;1/1/1990,"",IF(Main[[#This Row],[Class]]="C",WORKDAY(Main[[#This Row],[Tech Start Date]],28),IF(Main[[#This Row],[Class]]="B", WORKDAY(Main[[#This Row],[Tech Start Date]],19),IF(Main[[#This Row],[Class]]="A",WORKDAY(Main[[#This Row],[Tech Start Date]],9),""))))</f>
        <v/>
      </c>
      <c r="Q690" s="67"/>
      <c r="R690" s="67"/>
      <c r="S690" s="65" t="s">
        <v>6</v>
      </c>
      <c r="T690" s="70" t="s">
        <v>4</v>
      </c>
      <c r="U690" s="65" t="s">
        <v>29</v>
      </c>
      <c r="V690" s="65" t="s">
        <v>1914</v>
      </c>
      <c r="W690" s="65" t="s">
        <v>1918</v>
      </c>
      <c r="X690" s="65" t="s">
        <v>937</v>
      </c>
      <c r="Y690" s="65" t="s">
        <v>2984</v>
      </c>
      <c r="Z690" s="65" t="s">
        <v>937</v>
      </c>
      <c r="AA690" s="65" t="s">
        <v>937</v>
      </c>
    </row>
    <row r="691" spans="1:27" ht="17.45" hidden="1" customHeight="1">
      <c r="A691" s="100" t="str">
        <f>IF(priority(Main[[#This Row],[Comments]])&lt;&gt;0, priority(Main[[#This Row],[Comments]]),"")</f>
        <v/>
      </c>
      <c r="B691" s="77" t="s">
        <v>1564</v>
      </c>
      <c r="C691" s="65" t="s">
        <v>643</v>
      </c>
      <c r="D691" s="66" t="s">
        <v>644</v>
      </c>
      <c r="E691" s="67"/>
      <c r="F691" s="67">
        <v>40632</v>
      </c>
      <c r="G691" s="64" t="str">
        <f>IF(stdProdLT(Main[[#This Row],[Comments]])=0.1,"N/A",IF(stdProdLT(Main[[#This Row],[Comments]])=0,"",stdProdLT(Main[[#This Row],[Comments]])))</f>
        <v/>
      </c>
      <c r="H691" s="68" t="str">
        <f>IF(AND(Main[[#This Row],[In Stock Date]]&lt;&gt;"",Main[[#This Row],[Revised Due Date]]&lt;&gt;""),Main[[#This Row],[In Stock Date]]-Main[[#This Row],[Revised Due Date]],"")</f>
        <v/>
      </c>
      <c r="I691" s="65" t="s">
        <v>4</v>
      </c>
      <c r="J691" s="65" t="s">
        <v>4</v>
      </c>
      <c r="K691" s="71" t="s">
        <v>4</v>
      </c>
      <c r="L691" s="67"/>
      <c r="M691" s="69" t="str">
        <f>IF(Main[[#This Row],[Tech Start Date]]&lt;1/1/1990,"",IF(Main[[#This Row],[Class]]="C",WORKDAY(Main[[#This Row],[Tech Start Date]],9),IF(Main[[#This Row],[Class]]="B", WORKDAY(Main[[#This Row],[Tech Start Date]],6),IF(Main[[#This Row],[Class]]="A",WORKDAY(Main[[#This Row],[Tech Start Date]],2),""))))</f>
        <v/>
      </c>
      <c r="N691" s="69" t="str">
        <f>IF(Main[[#This Row],[Tech Start Date]]&lt;1/1/1990,"",IF(Main[[#This Row],[Class]]="C",WORKDAY(Main[[#This Row],[Tech Start Date]],19),IF(Main[[#This Row],[Class]]="B", WORKDAY(Main[[#This Row],[Tech Start Date]],12),IF(Main[[#This Row],[Class]]="A",WORKDAY(Main[[#This Row],[Tech Start Date]],4),""))))</f>
        <v/>
      </c>
      <c r="O691" s="69" t="str">
        <f>IF(Main[[#This Row],[Tech Start Date]]&lt;1/1/1990,"",IF(Main[[#This Row],[Class]]="C",WORKDAY(Main[[#This Row],[Tech Start Date]],23),IF(Main[[#This Row],[Class]]="B", WORKDAY(Main[[#This Row],[Tech Start Date]],15),IF(Main[[#This Row],[Class]]="A",WORKDAY(Main[[#This Row],[Tech Start Date]],5),""))))</f>
        <v/>
      </c>
      <c r="P691" s="69" t="str">
        <f>IF(Main[[#This Row],[Tech Start Date]]&lt;1/1/1990,"",IF(Main[[#This Row],[Class]]="C",WORKDAY(Main[[#This Row],[Tech Start Date]],28),IF(Main[[#This Row],[Class]]="B", WORKDAY(Main[[#This Row],[Tech Start Date]],19),IF(Main[[#This Row],[Class]]="A",WORKDAY(Main[[#This Row],[Tech Start Date]],9),""))))</f>
        <v/>
      </c>
      <c r="Q691" s="67">
        <v>40613</v>
      </c>
      <c r="R691" s="67"/>
      <c r="S691" s="65" t="s">
        <v>11</v>
      </c>
      <c r="T691" s="70" t="s">
        <v>4</v>
      </c>
      <c r="U691" s="65" t="s">
        <v>14</v>
      </c>
      <c r="V691" s="65" t="s">
        <v>1917</v>
      </c>
      <c r="W691" s="65" t="s">
        <v>1922</v>
      </c>
      <c r="X691" s="65" t="s">
        <v>2868</v>
      </c>
      <c r="Y691" s="65" t="s">
        <v>3012</v>
      </c>
      <c r="Z691" s="65" t="s">
        <v>4</v>
      </c>
      <c r="AA691" s="65" t="s">
        <v>2868</v>
      </c>
    </row>
    <row r="692" spans="1:27" ht="17.45" hidden="1" customHeight="1">
      <c r="A692" s="100" t="str">
        <f>IF(priority(Main[[#This Row],[Comments]])&lt;&gt;0, priority(Main[[#This Row],[Comments]]),"")</f>
        <v/>
      </c>
      <c r="B692" s="77" t="s">
        <v>2379</v>
      </c>
      <c r="C692" s="65" t="s">
        <v>4</v>
      </c>
      <c r="D692" s="66" t="s">
        <v>2380</v>
      </c>
      <c r="E692" s="67"/>
      <c r="F692" s="67"/>
      <c r="G692" s="64" t="str">
        <f>IF(stdProdLT(Main[[#This Row],[Comments]])=0.1,"N/A",IF(stdProdLT(Main[[#This Row],[Comments]])=0,"",stdProdLT(Main[[#This Row],[Comments]])))</f>
        <v/>
      </c>
      <c r="H692" s="68" t="str">
        <f>IF(AND(Main[[#This Row],[In Stock Date]]&lt;&gt;"",Main[[#This Row],[Revised Due Date]]&lt;&gt;""),Main[[#This Row],[In Stock Date]]-Main[[#This Row],[Revised Due Date]],"")</f>
        <v/>
      </c>
      <c r="I692" s="65" t="s">
        <v>4</v>
      </c>
      <c r="J692" s="65" t="s">
        <v>70</v>
      </c>
      <c r="K692" s="65" t="s">
        <v>4</v>
      </c>
      <c r="L692" s="67"/>
      <c r="M692" s="69" t="str">
        <f>IF(Main[[#This Row],[Tech Start Date]]&lt;1/1/1990,"",IF(Main[[#This Row],[Class]]="C",WORKDAY(Main[[#This Row],[Tech Start Date]],9),IF(Main[[#This Row],[Class]]="B", WORKDAY(Main[[#This Row],[Tech Start Date]],6),IF(Main[[#This Row],[Class]]="A",WORKDAY(Main[[#This Row],[Tech Start Date]],2),""))))</f>
        <v/>
      </c>
      <c r="N692" s="69" t="str">
        <f>IF(Main[[#This Row],[Tech Start Date]]&lt;1/1/1990,"",IF(Main[[#This Row],[Class]]="C",WORKDAY(Main[[#This Row],[Tech Start Date]],19),IF(Main[[#This Row],[Class]]="B", WORKDAY(Main[[#This Row],[Tech Start Date]],12),IF(Main[[#This Row],[Class]]="A",WORKDAY(Main[[#This Row],[Tech Start Date]],4),""))))</f>
        <v/>
      </c>
      <c r="O692" s="69" t="str">
        <f>IF(Main[[#This Row],[Tech Start Date]]&lt;1/1/1990,"",IF(Main[[#This Row],[Class]]="C",WORKDAY(Main[[#This Row],[Tech Start Date]],23),IF(Main[[#This Row],[Class]]="B", WORKDAY(Main[[#This Row],[Tech Start Date]],15),IF(Main[[#This Row],[Class]]="A",WORKDAY(Main[[#This Row],[Tech Start Date]],5),""))))</f>
        <v/>
      </c>
      <c r="P692" s="69" t="str">
        <f>IF(Main[[#This Row],[Tech Start Date]]&lt;1/1/1990,"",IF(Main[[#This Row],[Class]]="C",WORKDAY(Main[[#This Row],[Tech Start Date]],28),IF(Main[[#This Row],[Class]]="B", WORKDAY(Main[[#This Row],[Tech Start Date]],19),IF(Main[[#This Row],[Class]]="A",WORKDAY(Main[[#This Row],[Tech Start Date]],9),""))))</f>
        <v/>
      </c>
      <c r="Q692" s="67">
        <v>40877</v>
      </c>
      <c r="R692" s="67"/>
      <c r="S692" s="65" t="s">
        <v>6</v>
      </c>
      <c r="T692" s="70" t="s">
        <v>4</v>
      </c>
      <c r="U692" s="65" t="s">
        <v>14</v>
      </c>
      <c r="V692" s="65" t="s">
        <v>1917</v>
      </c>
      <c r="W692" s="65" t="s">
        <v>1918</v>
      </c>
      <c r="X692" s="65" t="s">
        <v>30</v>
      </c>
      <c r="Y692" s="65" t="s">
        <v>3090</v>
      </c>
      <c r="Z692" s="65" t="s">
        <v>30</v>
      </c>
      <c r="AA692" s="65" t="s">
        <v>74</v>
      </c>
    </row>
    <row r="693" spans="1:27" ht="17.45" hidden="1" customHeight="1">
      <c r="A693" s="100" t="str">
        <f>IF(priority(Main[[#This Row],[Comments]])&lt;&gt;0, priority(Main[[#This Row],[Comments]]),"")</f>
        <v/>
      </c>
      <c r="B693" s="77" t="s">
        <v>1614</v>
      </c>
      <c r="C693" s="65" t="s">
        <v>4</v>
      </c>
      <c r="D693" s="66" t="s">
        <v>688</v>
      </c>
      <c r="E693" s="67"/>
      <c r="F693" s="67"/>
      <c r="G693" s="64" t="str">
        <f>IF(stdProdLT(Main[[#This Row],[Comments]])=0.1,"N/A",IF(stdProdLT(Main[[#This Row],[Comments]])=0,"",stdProdLT(Main[[#This Row],[Comments]])))</f>
        <v/>
      </c>
      <c r="H693" s="68" t="str">
        <f>IF(AND(Main[[#This Row],[In Stock Date]]&lt;&gt;"",Main[[#This Row],[Revised Due Date]]&lt;&gt;""),Main[[#This Row],[In Stock Date]]-Main[[#This Row],[Revised Due Date]],"")</f>
        <v/>
      </c>
      <c r="I693" s="65" t="s">
        <v>4</v>
      </c>
      <c r="J693" s="65" t="s">
        <v>4</v>
      </c>
      <c r="K693" s="65" t="s">
        <v>4</v>
      </c>
      <c r="L693" s="67"/>
      <c r="M693" s="69" t="str">
        <f>IF(Main[[#This Row],[Tech Start Date]]&lt;1/1/1990,"",IF(Main[[#This Row],[Class]]="C",WORKDAY(Main[[#This Row],[Tech Start Date]],9),IF(Main[[#This Row],[Class]]="B", WORKDAY(Main[[#This Row],[Tech Start Date]],6),IF(Main[[#This Row],[Class]]="A",WORKDAY(Main[[#This Row],[Tech Start Date]],2),""))))</f>
        <v/>
      </c>
      <c r="N693" s="69" t="str">
        <f>IF(Main[[#This Row],[Tech Start Date]]&lt;1/1/1990,"",IF(Main[[#This Row],[Class]]="C",WORKDAY(Main[[#This Row],[Tech Start Date]],19),IF(Main[[#This Row],[Class]]="B", WORKDAY(Main[[#This Row],[Tech Start Date]],12),IF(Main[[#This Row],[Class]]="A",WORKDAY(Main[[#This Row],[Tech Start Date]],4),""))))</f>
        <v/>
      </c>
      <c r="O693" s="69" t="str">
        <f>IF(Main[[#This Row],[Tech Start Date]]&lt;1/1/1990,"",IF(Main[[#This Row],[Class]]="C",WORKDAY(Main[[#This Row],[Tech Start Date]],23),IF(Main[[#This Row],[Class]]="B", WORKDAY(Main[[#This Row],[Tech Start Date]],15),IF(Main[[#This Row],[Class]]="A",WORKDAY(Main[[#This Row],[Tech Start Date]],5),""))))</f>
        <v/>
      </c>
      <c r="P693" s="69" t="str">
        <f>IF(Main[[#This Row],[Tech Start Date]]&lt;1/1/1990,"",IF(Main[[#This Row],[Class]]="C",WORKDAY(Main[[#This Row],[Tech Start Date]],28),IF(Main[[#This Row],[Class]]="B", WORKDAY(Main[[#This Row],[Tech Start Date]],19),IF(Main[[#This Row],[Class]]="A",WORKDAY(Main[[#This Row],[Tech Start Date]],9),""))))</f>
        <v/>
      </c>
      <c r="Q693" s="67"/>
      <c r="R693" s="67"/>
      <c r="S693" s="65" t="s">
        <v>6</v>
      </c>
      <c r="T693" s="70" t="s">
        <v>4</v>
      </c>
      <c r="U693" s="65" t="s">
        <v>14</v>
      </c>
      <c r="V693" s="65" t="s">
        <v>1914</v>
      </c>
      <c r="W693" s="65" t="s">
        <v>4</v>
      </c>
      <c r="X693" s="65" t="s">
        <v>708</v>
      </c>
      <c r="Y693" s="65" t="s">
        <v>3070</v>
      </c>
      <c r="Z693" s="65" t="s">
        <v>4</v>
      </c>
      <c r="AA693" s="65" t="s">
        <v>708</v>
      </c>
    </row>
    <row r="694" spans="1:27" ht="17.45" hidden="1" customHeight="1">
      <c r="A694" s="100" t="str">
        <f>IF(priority(Main[[#This Row],[Comments]])&lt;&gt;0, priority(Main[[#This Row],[Comments]]),"")</f>
        <v/>
      </c>
      <c r="B694" s="77" t="s">
        <v>1615</v>
      </c>
      <c r="C694" s="65" t="s">
        <v>689</v>
      </c>
      <c r="D694" s="66" t="s">
        <v>690</v>
      </c>
      <c r="E694" s="67"/>
      <c r="F694" s="67">
        <v>40664</v>
      </c>
      <c r="G694" s="64" t="str">
        <f>IF(stdProdLT(Main[[#This Row],[Comments]])=0.1,"N/A",IF(stdProdLT(Main[[#This Row],[Comments]])=0,"",stdProdLT(Main[[#This Row],[Comments]])))</f>
        <v/>
      </c>
      <c r="H694" s="68" t="str">
        <f>IF(AND(Main[[#This Row],[In Stock Date]]&lt;&gt;"",Main[[#This Row],[Revised Due Date]]&lt;&gt;""),Main[[#This Row],[In Stock Date]]-Main[[#This Row],[Revised Due Date]],"")</f>
        <v/>
      </c>
      <c r="I694" s="65" t="s">
        <v>4</v>
      </c>
      <c r="J694" s="65" t="s">
        <v>4</v>
      </c>
      <c r="K694" s="65" t="s">
        <v>4</v>
      </c>
      <c r="L694" s="67"/>
      <c r="M694" s="69" t="str">
        <f>IF(Main[[#This Row],[Tech Start Date]]&lt;1/1/1990,"",IF(Main[[#This Row],[Class]]="C",WORKDAY(Main[[#This Row],[Tech Start Date]],9),IF(Main[[#This Row],[Class]]="B", WORKDAY(Main[[#This Row],[Tech Start Date]],6),IF(Main[[#This Row],[Class]]="A",WORKDAY(Main[[#This Row],[Tech Start Date]],2),""))))</f>
        <v/>
      </c>
      <c r="N694" s="69" t="str">
        <f>IF(Main[[#This Row],[Tech Start Date]]&lt;1/1/1990,"",IF(Main[[#This Row],[Class]]="C",WORKDAY(Main[[#This Row],[Tech Start Date]],19),IF(Main[[#This Row],[Class]]="B", WORKDAY(Main[[#This Row],[Tech Start Date]],12),IF(Main[[#This Row],[Class]]="A",WORKDAY(Main[[#This Row],[Tech Start Date]],4),""))))</f>
        <v/>
      </c>
      <c r="O694" s="69" t="str">
        <f>IF(Main[[#This Row],[Tech Start Date]]&lt;1/1/1990,"",IF(Main[[#This Row],[Class]]="C",WORKDAY(Main[[#This Row],[Tech Start Date]],23),IF(Main[[#This Row],[Class]]="B", WORKDAY(Main[[#This Row],[Tech Start Date]],15),IF(Main[[#This Row],[Class]]="A",WORKDAY(Main[[#This Row],[Tech Start Date]],5),""))))</f>
        <v/>
      </c>
      <c r="P694" s="69" t="str">
        <f>IF(Main[[#This Row],[Tech Start Date]]&lt;1/1/1990,"",IF(Main[[#This Row],[Class]]="C",WORKDAY(Main[[#This Row],[Tech Start Date]],28),IF(Main[[#This Row],[Class]]="B", WORKDAY(Main[[#This Row],[Tech Start Date]],19),IF(Main[[#This Row],[Class]]="A",WORKDAY(Main[[#This Row],[Tech Start Date]],9),""))))</f>
        <v/>
      </c>
      <c r="Q694" s="67">
        <v>40557</v>
      </c>
      <c r="R694" s="67"/>
      <c r="S694" s="65" t="s">
        <v>11</v>
      </c>
      <c r="T694" s="70" t="s">
        <v>4</v>
      </c>
      <c r="U694" s="65" t="s">
        <v>14</v>
      </c>
      <c r="V694" s="65" t="s">
        <v>1914</v>
      </c>
      <c r="W694" s="65" t="s">
        <v>1922</v>
      </c>
      <c r="X694" s="65" t="s">
        <v>2828</v>
      </c>
      <c r="Y694" s="65" t="s">
        <v>3091</v>
      </c>
      <c r="Z694" s="65" t="s">
        <v>4</v>
      </c>
      <c r="AA694" s="65" t="s">
        <v>2828</v>
      </c>
    </row>
    <row r="695" spans="1:27" ht="17.45" hidden="1" customHeight="1">
      <c r="A695" s="100" t="str">
        <f>IF(priority(Main[[#This Row],[Comments]])&lt;&gt;0, priority(Main[[#This Row],[Comments]]),"")</f>
        <v/>
      </c>
      <c r="B695" s="77" t="s">
        <v>1616</v>
      </c>
      <c r="C695" s="65" t="s">
        <v>4</v>
      </c>
      <c r="D695" s="66" t="s">
        <v>691</v>
      </c>
      <c r="E695" s="67"/>
      <c r="F695" s="67"/>
      <c r="G695" s="64" t="str">
        <f>IF(stdProdLT(Main[[#This Row],[Comments]])=0.1,"N/A",IF(stdProdLT(Main[[#This Row],[Comments]])=0,"",stdProdLT(Main[[#This Row],[Comments]])))</f>
        <v/>
      </c>
      <c r="H695" s="68" t="str">
        <f>IF(AND(Main[[#This Row],[In Stock Date]]&lt;&gt;"",Main[[#This Row],[Revised Due Date]]&lt;&gt;""),Main[[#This Row],[In Stock Date]]-Main[[#This Row],[Revised Due Date]],"")</f>
        <v/>
      </c>
      <c r="I695" s="65" t="s">
        <v>4</v>
      </c>
      <c r="J695" s="65" t="s">
        <v>4</v>
      </c>
      <c r="K695" s="71" t="s">
        <v>4</v>
      </c>
      <c r="L695" s="67"/>
      <c r="M695" s="69" t="str">
        <f>IF(Main[[#This Row],[Tech Start Date]]&lt;1/1/1990,"",IF(Main[[#This Row],[Class]]="C",WORKDAY(Main[[#This Row],[Tech Start Date]],9),IF(Main[[#This Row],[Class]]="B", WORKDAY(Main[[#This Row],[Tech Start Date]],6),IF(Main[[#This Row],[Class]]="A",WORKDAY(Main[[#This Row],[Tech Start Date]],2),""))))</f>
        <v/>
      </c>
      <c r="N695" s="69" t="str">
        <f>IF(Main[[#This Row],[Tech Start Date]]&lt;1/1/1990,"",IF(Main[[#This Row],[Class]]="C",WORKDAY(Main[[#This Row],[Tech Start Date]],19),IF(Main[[#This Row],[Class]]="B", WORKDAY(Main[[#This Row],[Tech Start Date]],12),IF(Main[[#This Row],[Class]]="A",WORKDAY(Main[[#This Row],[Tech Start Date]],4),""))))</f>
        <v/>
      </c>
      <c r="O695" s="69" t="str">
        <f>IF(Main[[#This Row],[Tech Start Date]]&lt;1/1/1990,"",IF(Main[[#This Row],[Class]]="C",WORKDAY(Main[[#This Row],[Tech Start Date]],23),IF(Main[[#This Row],[Class]]="B", WORKDAY(Main[[#This Row],[Tech Start Date]],15),IF(Main[[#This Row],[Class]]="A",WORKDAY(Main[[#This Row],[Tech Start Date]],5),""))))</f>
        <v/>
      </c>
      <c r="P695" s="69" t="str">
        <f>IF(Main[[#This Row],[Tech Start Date]]&lt;1/1/1990,"",IF(Main[[#This Row],[Class]]="C",WORKDAY(Main[[#This Row],[Tech Start Date]],28),IF(Main[[#This Row],[Class]]="B", WORKDAY(Main[[#This Row],[Tech Start Date]],19),IF(Main[[#This Row],[Class]]="A",WORKDAY(Main[[#This Row],[Tech Start Date]],9),""))))</f>
        <v/>
      </c>
      <c r="Q695" s="67"/>
      <c r="R695" s="67"/>
      <c r="S695" s="65" t="s">
        <v>11</v>
      </c>
      <c r="T695" s="70" t="s">
        <v>4</v>
      </c>
      <c r="U695" s="65" t="s">
        <v>14</v>
      </c>
      <c r="V695" s="65" t="s">
        <v>1914</v>
      </c>
      <c r="W695" s="65" t="s">
        <v>4</v>
      </c>
      <c r="X695" s="65" t="s">
        <v>708</v>
      </c>
      <c r="Y695" s="65" t="s">
        <v>3022</v>
      </c>
      <c r="Z695" s="65" t="s">
        <v>4</v>
      </c>
      <c r="AA695" s="65" t="s">
        <v>3402</v>
      </c>
    </row>
    <row r="696" spans="1:27" ht="17.45" hidden="1" customHeight="1">
      <c r="A696" s="100" t="str">
        <f>IF(priority(Main[[#This Row],[Comments]])&lt;&gt;0, priority(Main[[#This Row],[Comments]]),"")</f>
        <v/>
      </c>
      <c r="B696" s="77" t="s">
        <v>1805</v>
      </c>
      <c r="C696" s="65" t="s">
        <v>4</v>
      </c>
      <c r="D696" s="66" t="s">
        <v>836</v>
      </c>
      <c r="E696" s="67">
        <v>40430.597812499997</v>
      </c>
      <c r="F696" s="67">
        <v>40574</v>
      </c>
      <c r="G696" s="64" t="str">
        <f>IF(stdProdLT(Main[[#This Row],[Comments]])=0.1,"N/A",IF(stdProdLT(Main[[#This Row],[Comments]])=0,"",stdProdLT(Main[[#This Row],[Comments]])))</f>
        <v/>
      </c>
      <c r="H696" s="68">
        <f>IF(AND(Main[[#This Row],[In Stock Date]]&lt;&gt;"",Main[[#This Row],[Revised Due Date]]&lt;&gt;""),Main[[#This Row],[In Stock Date]]-Main[[#This Row],[Revised Due Date]],"")</f>
        <v>384</v>
      </c>
      <c r="I696" s="65" t="s">
        <v>81</v>
      </c>
      <c r="J696" s="65" t="s">
        <v>52</v>
      </c>
      <c r="K696" s="65" t="s">
        <v>1926</v>
      </c>
      <c r="L696" s="67"/>
      <c r="M696" s="69" t="str">
        <f>IF(Main[[#This Row],[Tech Start Date]]&lt;1/1/1990,"",IF(Main[[#This Row],[Class]]="C",WORKDAY(Main[[#This Row],[Tech Start Date]],9),IF(Main[[#This Row],[Class]]="B", WORKDAY(Main[[#This Row],[Tech Start Date]],6),IF(Main[[#This Row],[Class]]="A",WORKDAY(Main[[#This Row],[Tech Start Date]],2),""))))</f>
        <v/>
      </c>
      <c r="N696" s="69" t="str">
        <f>IF(Main[[#This Row],[Tech Start Date]]&lt;1/1/1990,"",IF(Main[[#This Row],[Class]]="C",WORKDAY(Main[[#This Row],[Tech Start Date]],19),IF(Main[[#This Row],[Class]]="B", WORKDAY(Main[[#This Row],[Tech Start Date]],12),IF(Main[[#This Row],[Class]]="A",WORKDAY(Main[[#This Row],[Tech Start Date]],4),""))))</f>
        <v/>
      </c>
      <c r="O696" s="69" t="str">
        <f>IF(Main[[#This Row],[Tech Start Date]]&lt;1/1/1990,"",IF(Main[[#This Row],[Class]]="C",WORKDAY(Main[[#This Row],[Tech Start Date]],23),IF(Main[[#This Row],[Class]]="B", WORKDAY(Main[[#This Row],[Tech Start Date]],15),IF(Main[[#This Row],[Class]]="A",WORKDAY(Main[[#This Row],[Tech Start Date]],5),""))))</f>
        <v/>
      </c>
      <c r="P696" s="69" t="str">
        <f>IF(Main[[#This Row],[Tech Start Date]]&lt;1/1/1990,"",IF(Main[[#This Row],[Class]]="C",WORKDAY(Main[[#This Row],[Tech Start Date]],28),IF(Main[[#This Row],[Class]]="B", WORKDAY(Main[[#This Row],[Tech Start Date]],19),IF(Main[[#This Row],[Class]]="A",WORKDAY(Main[[#This Row],[Tech Start Date]],9),""))))</f>
        <v/>
      </c>
      <c r="Q696" s="67">
        <v>40190</v>
      </c>
      <c r="R696" s="67">
        <v>40190</v>
      </c>
      <c r="S696" s="65" t="s">
        <v>17</v>
      </c>
      <c r="T696" s="70" t="s">
        <v>4</v>
      </c>
      <c r="U696" s="65" t="s">
        <v>29</v>
      </c>
      <c r="V696" s="65" t="s">
        <v>1917</v>
      </c>
      <c r="W696" s="65" t="s">
        <v>1919</v>
      </c>
      <c r="X696" s="65" t="s">
        <v>50</v>
      </c>
      <c r="Y696" s="65" t="s">
        <v>2985</v>
      </c>
      <c r="Z696" s="65" t="s">
        <v>81</v>
      </c>
      <c r="AA696" s="65" t="s">
        <v>65</v>
      </c>
    </row>
    <row r="697" spans="1:27" ht="17.45" hidden="1" customHeight="1">
      <c r="A697" s="100">
        <f>IF(priority(Main[[#This Row],[Comments]])&lt;&gt;0, priority(Main[[#This Row],[Comments]]),"")</f>
        <v>32.1</v>
      </c>
      <c r="B697" s="77" t="s">
        <v>2171</v>
      </c>
      <c r="C697" s="65" t="s">
        <v>2172</v>
      </c>
      <c r="D697" s="66" t="s">
        <v>2173</v>
      </c>
      <c r="E697" s="67"/>
      <c r="F697" s="67">
        <v>40795</v>
      </c>
      <c r="G697" s="64">
        <f>IF(stdProdLT(Main[[#This Row],[Comments]])=0.1,"N/A",IF(stdProdLT(Main[[#This Row],[Comments]])=0,"",stdProdLT(Main[[#This Row],[Comments]])))</f>
        <v>21</v>
      </c>
      <c r="H697" s="68" t="str">
        <f>IF(AND(Main[[#This Row],[In Stock Date]]&lt;&gt;"",Main[[#This Row],[Revised Due Date]]&lt;&gt;""),Main[[#This Row],[In Stock Date]]-Main[[#This Row],[Revised Due Date]],"")</f>
        <v/>
      </c>
      <c r="I697" s="65" t="s">
        <v>4</v>
      </c>
      <c r="J697" s="65" t="s">
        <v>4</v>
      </c>
      <c r="K697" s="65" t="s">
        <v>4</v>
      </c>
      <c r="L697" s="67"/>
      <c r="M697" s="69" t="str">
        <f>IF(Main[[#This Row],[Tech Start Date]]&lt;1/1/1990,"",IF(Main[[#This Row],[Class]]="C",WORKDAY(Main[[#This Row],[Tech Start Date]],9),IF(Main[[#This Row],[Class]]="B", WORKDAY(Main[[#This Row],[Tech Start Date]],6),IF(Main[[#This Row],[Class]]="A",WORKDAY(Main[[#This Row],[Tech Start Date]],2),""))))</f>
        <v/>
      </c>
      <c r="N697" s="69" t="str">
        <f>IF(Main[[#This Row],[Tech Start Date]]&lt;1/1/1990,"",IF(Main[[#This Row],[Class]]="C",WORKDAY(Main[[#This Row],[Tech Start Date]],19),IF(Main[[#This Row],[Class]]="B", WORKDAY(Main[[#This Row],[Tech Start Date]],12),IF(Main[[#This Row],[Class]]="A",WORKDAY(Main[[#This Row],[Tech Start Date]],4),""))))</f>
        <v/>
      </c>
      <c r="O697" s="69" t="str">
        <f>IF(Main[[#This Row],[Tech Start Date]]&lt;1/1/1990,"",IF(Main[[#This Row],[Class]]="C",WORKDAY(Main[[#This Row],[Tech Start Date]],23),IF(Main[[#This Row],[Class]]="B", WORKDAY(Main[[#This Row],[Tech Start Date]],15),IF(Main[[#This Row],[Class]]="A",WORKDAY(Main[[#This Row],[Tech Start Date]],5),""))))</f>
        <v/>
      </c>
      <c r="P697" s="69" t="str">
        <f>IF(Main[[#This Row],[Tech Start Date]]&lt;1/1/1990,"",IF(Main[[#This Row],[Class]]="C",WORKDAY(Main[[#This Row],[Tech Start Date]],28),IF(Main[[#This Row],[Class]]="B", WORKDAY(Main[[#This Row],[Tech Start Date]],19),IF(Main[[#This Row],[Class]]="A",WORKDAY(Main[[#This Row],[Tech Start Date]],9),""))))</f>
        <v/>
      </c>
      <c r="Q697" s="67">
        <v>40795</v>
      </c>
      <c r="R697" s="67"/>
      <c r="S697" s="65" t="s">
        <v>11</v>
      </c>
      <c r="T697" s="70" t="s">
        <v>2223</v>
      </c>
      <c r="U697" s="65" t="s">
        <v>14</v>
      </c>
      <c r="V697" s="65" t="s">
        <v>1914</v>
      </c>
      <c r="W697" s="65" t="s">
        <v>1919</v>
      </c>
      <c r="X697" s="65" t="s">
        <v>2829</v>
      </c>
      <c r="Y697" s="65" t="s">
        <v>2951</v>
      </c>
      <c r="Z697" s="65" t="s">
        <v>4</v>
      </c>
      <c r="AA697" s="65" t="s">
        <v>2829</v>
      </c>
    </row>
    <row r="698" spans="1:27" ht="17.45" hidden="1" customHeight="1">
      <c r="A698" s="100">
        <f>IF(priority(Main[[#This Row],[Comments]])&lt;&gt;0, priority(Main[[#This Row],[Comments]]),"")</f>
        <v>9</v>
      </c>
      <c r="B698" s="77" t="s">
        <v>2100</v>
      </c>
      <c r="C698" s="65" t="s">
        <v>53</v>
      </c>
      <c r="D698" s="66" t="s">
        <v>2101</v>
      </c>
      <c r="E698" s="67"/>
      <c r="F698" s="67">
        <v>40789</v>
      </c>
      <c r="G698" s="64">
        <f>IF(stdProdLT(Main[[#This Row],[Comments]])=0.1,"N/A",IF(stdProdLT(Main[[#This Row],[Comments]])=0,"",stdProdLT(Main[[#This Row],[Comments]])))</f>
        <v>42</v>
      </c>
      <c r="H698" s="68">
        <f>IF(AND(Main[[#This Row],[In Stock Date]]&lt;&gt;"",Main[[#This Row],[Revised Due Date]]&lt;&gt;""),Main[[#This Row],[In Stock Date]]-Main[[#This Row],[Revised Due Date]],"")</f>
        <v>1</v>
      </c>
      <c r="I698" s="65" t="s">
        <v>941</v>
      </c>
      <c r="J698" s="65" t="s">
        <v>28</v>
      </c>
      <c r="K698" s="71" t="s">
        <v>4</v>
      </c>
      <c r="L698" s="67"/>
      <c r="M698" s="69" t="str">
        <f>IF(Main[[#This Row],[Tech Start Date]]&lt;1/1/1990,"",IF(Main[[#This Row],[Class]]="C",WORKDAY(Main[[#This Row],[Tech Start Date]],9),IF(Main[[#This Row],[Class]]="B", WORKDAY(Main[[#This Row],[Tech Start Date]],6),IF(Main[[#This Row],[Class]]="A",WORKDAY(Main[[#This Row],[Tech Start Date]],2),""))))</f>
        <v/>
      </c>
      <c r="N698" s="69" t="str">
        <f>IF(Main[[#This Row],[Tech Start Date]]&lt;1/1/1990,"",IF(Main[[#This Row],[Class]]="C",WORKDAY(Main[[#This Row],[Tech Start Date]],19),IF(Main[[#This Row],[Class]]="B", WORKDAY(Main[[#This Row],[Tech Start Date]],12),IF(Main[[#This Row],[Class]]="A",WORKDAY(Main[[#This Row],[Tech Start Date]],4),""))))</f>
        <v/>
      </c>
      <c r="O698" s="69" t="str">
        <f>IF(Main[[#This Row],[Tech Start Date]]&lt;1/1/1990,"",IF(Main[[#This Row],[Class]]="C",WORKDAY(Main[[#This Row],[Tech Start Date]],23),IF(Main[[#This Row],[Class]]="B", WORKDAY(Main[[#This Row],[Tech Start Date]],15),IF(Main[[#This Row],[Class]]="A",WORKDAY(Main[[#This Row],[Tech Start Date]],5),""))))</f>
        <v/>
      </c>
      <c r="P698" s="69" t="str">
        <f>IF(Main[[#This Row],[Tech Start Date]]&lt;1/1/1990,"",IF(Main[[#This Row],[Class]]="C",WORKDAY(Main[[#This Row],[Tech Start Date]],28),IF(Main[[#This Row],[Class]]="B", WORKDAY(Main[[#This Row],[Tech Start Date]],19),IF(Main[[#This Row],[Class]]="A",WORKDAY(Main[[#This Row],[Tech Start Date]],9),""))))</f>
        <v/>
      </c>
      <c r="Q698" s="67"/>
      <c r="R698" s="67">
        <v>40788</v>
      </c>
      <c r="S698" s="65" t="s">
        <v>11</v>
      </c>
      <c r="T698" s="70" t="s">
        <v>2102</v>
      </c>
      <c r="U698" s="65" t="s">
        <v>14</v>
      </c>
      <c r="V698" s="65" t="s">
        <v>1915</v>
      </c>
      <c r="W698" s="65" t="s">
        <v>1916</v>
      </c>
      <c r="X698" s="65" t="s">
        <v>2816</v>
      </c>
      <c r="Y698" s="65" t="s">
        <v>2993</v>
      </c>
      <c r="Z698" s="65" t="s">
        <v>2053</v>
      </c>
      <c r="AA698" s="65" t="s">
        <v>3430</v>
      </c>
    </row>
    <row r="699" spans="1:27" ht="17.45" hidden="1" customHeight="1">
      <c r="A699" s="100" t="str">
        <f>IF(priority(Main[[#This Row],[Comments]])&lt;&gt;0, priority(Main[[#This Row],[Comments]]),"")</f>
        <v/>
      </c>
      <c r="B699" s="77" t="s">
        <v>2103</v>
      </c>
      <c r="C699" s="65" t="s">
        <v>2088</v>
      </c>
      <c r="D699" s="66" t="s">
        <v>2089</v>
      </c>
      <c r="E699" s="67"/>
      <c r="F699" s="67">
        <v>40831</v>
      </c>
      <c r="G699" s="64" t="str">
        <f>IF(stdProdLT(Main[[#This Row],[Comments]])=0.1,"N/A",IF(stdProdLT(Main[[#This Row],[Comments]])=0,"",stdProdLT(Main[[#This Row],[Comments]])))</f>
        <v/>
      </c>
      <c r="H699" s="68" t="str">
        <f>IF(AND(Main[[#This Row],[In Stock Date]]&lt;&gt;"",Main[[#This Row],[Revised Due Date]]&lt;&gt;""),Main[[#This Row],[In Stock Date]]-Main[[#This Row],[Revised Due Date]],"")</f>
        <v/>
      </c>
      <c r="I699" s="65" t="s">
        <v>4</v>
      </c>
      <c r="J699" s="65" t="s">
        <v>4</v>
      </c>
      <c r="K699" s="65" t="s">
        <v>4</v>
      </c>
      <c r="L699" s="67"/>
      <c r="M699" s="69" t="str">
        <f>IF(Main[[#This Row],[Tech Start Date]]&lt;1/1/1990,"",IF(Main[[#This Row],[Class]]="C",WORKDAY(Main[[#This Row],[Tech Start Date]],9),IF(Main[[#This Row],[Class]]="B", WORKDAY(Main[[#This Row],[Tech Start Date]],6),IF(Main[[#This Row],[Class]]="A",WORKDAY(Main[[#This Row],[Tech Start Date]],2),""))))</f>
        <v/>
      </c>
      <c r="N699" s="69" t="str">
        <f>IF(Main[[#This Row],[Tech Start Date]]&lt;1/1/1990,"",IF(Main[[#This Row],[Class]]="C",WORKDAY(Main[[#This Row],[Tech Start Date]],19),IF(Main[[#This Row],[Class]]="B", WORKDAY(Main[[#This Row],[Tech Start Date]],12),IF(Main[[#This Row],[Class]]="A",WORKDAY(Main[[#This Row],[Tech Start Date]],4),""))))</f>
        <v/>
      </c>
      <c r="O699" s="69" t="str">
        <f>IF(Main[[#This Row],[Tech Start Date]]&lt;1/1/1990,"",IF(Main[[#This Row],[Class]]="C",WORKDAY(Main[[#This Row],[Tech Start Date]],23),IF(Main[[#This Row],[Class]]="B", WORKDAY(Main[[#This Row],[Tech Start Date]],15),IF(Main[[#This Row],[Class]]="A",WORKDAY(Main[[#This Row],[Tech Start Date]],5),""))))</f>
        <v/>
      </c>
      <c r="P699" s="69" t="str">
        <f>IF(Main[[#This Row],[Tech Start Date]]&lt;1/1/1990,"",IF(Main[[#This Row],[Class]]="C",WORKDAY(Main[[#This Row],[Tech Start Date]],28),IF(Main[[#This Row],[Class]]="B", WORKDAY(Main[[#This Row],[Tech Start Date]],19),IF(Main[[#This Row],[Class]]="A",WORKDAY(Main[[#This Row],[Tech Start Date]],9),""))))</f>
        <v/>
      </c>
      <c r="Q699" s="67">
        <v>40786</v>
      </c>
      <c r="R699" s="67"/>
      <c r="S699" s="65" t="s">
        <v>11</v>
      </c>
      <c r="T699" s="70" t="s">
        <v>4</v>
      </c>
      <c r="U699" s="65" t="s">
        <v>12</v>
      </c>
      <c r="V699" s="65" t="s">
        <v>1917</v>
      </c>
      <c r="W699" s="65" t="s">
        <v>1922</v>
      </c>
      <c r="X699" s="65" t="s">
        <v>2831</v>
      </c>
      <c r="Y699" s="65" t="s">
        <v>2954</v>
      </c>
      <c r="Z699" s="65" t="s">
        <v>4</v>
      </c>
      <c r="AA699" s="65" t="s">
        <v>2831</v>
      </c>
    </row>
    <row r="700" spans="1:27" ht="17.45" hidden="1" customHeight="1">
      <c r="A700" s="100" t="str">
        <f>IF(priority(Main[[#This Row],[Comments]])&lt;&gt;0, priority(Main[[#This Row],[Comments]]),"")</f>
        <v/>
      </c>
      <c r="B700" s="77" t="s">
        <v>2081</v>
      </c>
      <c r="C700" s="65" t="s">
        <v>4</v>
      </c>
      <c r="D700" s="66" t="s">
        <v>2082</v>
      </c>
      <c r="E700" s="67"/>
      <c r="F700" s="67"/>
      <c r="G700" s="64" t="str">
        <f>IF(stdProdLT(Main[[#This Row],[Comments]])=0.1,"N/A",IF(stdProdLT(Main[[#This Row],[Comments]])=0,"",stdProdLT(Main[[#This Row],[Comments]])))</f>
        <v/>
      </c>
      <c r="H700" s="68" t="str">
        <f>IF(AND(Main[[#This Row],[In Stock Date]]&lt;&gt;"",Main[[#This Row],[Revised Due Date]]&lt;&gt;""),Main[[#This Row],[In Stock Date]]-Main[[#This Row],[Revised Due Date]],"")</f>
        <v/>
      </c>
      <c r="I700" s="65" t="s">
        <v>530</v>
      </c>
      <c r="J700" s="65" t="s">
        <v>28</v>
      </c>
      <c r="K700" s="65" t="s">
        <v>1923</v>
      </c>
      <c r="L700" s="67"/>
      <c r="M700" s="69" t="str">
        <f>IF(Main[[#This Row],[Tech Start Date]]&lt;1/1/1990,"",IF(Main[[#This Row],[Class]]="C",WORKDAY(Main[[#This Row],[Tech Start Date]],9),IF(Main[[#This Row],[Class]]="B", WORKDAY(Main[[#This Row],[Tech Start Date]],6),IF(Main[[#This Row],[Class]]="A",WORKDAY(Main[[#This Row],[Tech Start Date]],2),""))))</f>
        <v/>
      </c>
      <c r="N700" s="69" t="str">
        <f>IF(Main[[#This Row],[Tech Start Date]]&lt;1/1/1990,"",IF(Main[[#This Row],[Class]]="C",WORKDAY(Main[[#This Row],[Tech Start Date]],19),IF(Main[[#This Row],[Class]]="B", WORKDAY(Main[[#This Row],[Tech Start Date]],12),IF(Main[[#This Row],[Class]]="A",WORKDAY(Main[[#This Row],[Tech Start Date]],4),""))))</f>
        <v/>
      </c>
      <c r="O700" s="69" t="str">
        <f>IF(Main[[#This Row],[Tech Start Date]]&lt;1/1/1990,"",IF(Main[[#This Row],[Class]]="C",WORKDAY(Main[[#This Row],[Tech Start Date]],23),IF(Main[[#This Row],[Class]]="B", WORKDAY(Main[[#This Row],[Tech Start Date]],15),IF(Main[[#This Row],[Class]]="A",WORKDAY(Main[[#This Row],[Tech Start Date]],5),""))))</f>
        <v/>
      </c>
      <c r="P700" s="69" t="str">
        <f>IF(Main[[#This Row],[Tech Start Date]]&lt;1/1/1990,"",IF(Main[[#This Row],[Class]]="C",WORKDAY(Main[[#This Row],[Tech Start Date]],28),IF(Main[[#This Row],[Class]]="B", WORKDAY(Main[[#This Row],[Tech Start Date]],19),IF(Main[[#This Row],[Class]]="A",WORKDAY(Main[[#This Row],[Tech Start Date]],9),""))))</f>
        <v/>
      </c>
      <c r="Q700" s="67"/>
      <c r="R700" s="67"/>
      <c r="S700" s="65" t="s">
        <v>6</v>
      </c>
      <c r="T700" s="70" t="s">
        <v>4</v>
      </c>
      <c r="U700" s="65" t="s">
        <v>14</v>
      </c>
      <c r="V700" s="65" t="s">
        <v>1917</v>
      </c>
      <c r="W700" s="65" t="s">
        <v>1918</v>
      </c>
      <c r="X700" s="65" t="s">
        <v>2866</v>
      </c>
      <c r="Y700" s="65" t="s">
        <v>3000</v>
      </c>
      <c r="Z700" s="65" t="s">
        <v>44</v>
      </c>
      <c r="AA700" s="65" t="s">
        <v>2866</v>
      </c>
    </row>
    <row r="701" spans="1:27" ht="17.45" hidden="1" customHeight="1">
      <c r="A701" s="100" t="str">
        <f>IF(priority(Main[[#This Row],[Comments]])&lt;&gt;0, priority(Main[[#This Row],[Comments]]),"")</f>
        <v/>
      </c>
      <c r="B701" s="77" t="s">
        <v>1397</v>
      </c>
      <c r="C701" s="65" t="s">
        <v>4</v>
      </c>
      <c r="D701" s="66" t="s">
        <v>481</v>
      </c>
      <c r="E701" s="67">
        <v>40485.329618055555</v>
      </c>
      <c r="F701" s="67"/>
      <c r="G701" s="64" t="str">
        <f>IF(stdProdLT(Main[[#This Row],[Comments]])=0.1,"N/A",IF(stdProdLT(Main[[#This Row],[Comments]])=0,"",stdProdLT(Main[[#This Row],[Comments]])))</f>
        <v/>
      </c>
      <c r="H701" s="68" t="str">
        <f>IF(AND(Main[[#This Row],[In Stock Date]]&lt;&gt;"",Main[[#This Row],[Revised Due Date]]&lt;&gt;""),Main[[#This Row],[In Stock Date]]-Main[[#This Row],[Revised Due Date]],"")</f>
        <v/>
      </c>
      <c r="I701" s="65" t="s">
        <v>4</v>
      </c>
      <c r="J701" s="65" t="s">
        <v>28</v>
      </c>
      <c r="K701" s="71" t="s">
        <v>1926</v>
      </c>
      <c r="L701" s="67"/>
      <c r="M701" s="69" t="str">
        <f>IF(Main[[#This Row],[Tech Start Date]]&lt;1/1/1990,"",IF(Main[[#This Row],[Class]]="C",WORKDAY(Main[[#This Row],[Tech Start Date]],9),IF(Main[[#This Row],[Class]]="B", WORKDAY(Main[[#This Row],[Tech Start Date]],6),IF(Main[[#This Row],[Class]]="A",WORKDAY(Main[[#This Row],[Tech Start Date]],2),""))))</f>
        <v/>
      </c>
      <c r="N701" s="69" t="str">
        <f>IF(Main[[#This Row],[Tech Start Date]]&lt;1/1/1990,"",IF(Main[[#This Row],[Class]]="C",WORKDAY(Main[[#This Row],[Tech Start Date]],19),IF(Main[[#This Row],[Class]]="B", WORKDAY(Main[[#This Row],[Tech Start Date]],12),IF(Main[[#This Row],[Class]]="A",WORKDAY(Main[[#This Row],[Tech Start Date]],4),""))))</f>
        <v/>
      </c>
      <c r="O701" s="69" t="str">
        <f>IF(Main[[#This Row],[Tech Start Date]]&lt;1/1/1990,"",IF(Main[[#This Row],[Class]]="C",WORKDAY(Main[[#This Row],[Tech Start Date]],23),IF(Main[[#This Row],[Class]]="B", WORKDAY(Main[[#This Row],[Tech Start Date]],15),IF(Main[[#This Row],[Class]]="A",WORKDAY(Main[[#This Row],[Tech Start Date]],5),""))))</f>
        <v/>
      </c>
      <c r="P701" s="69" t="str">
        <f>IF(Main[[#This Row],[Tech Start Date]]&lt;1/1/1990,"",IF(Main[[#This Row],[Class]]="C",WORKDAY(Main[[#This Row],[Tech Start Date]],28),IF(Main[[#This Row],[Class]]="B", WORKDAY(Main[[#This Row],[Tech Start Date]],19),IF(Main[[#This Row],[Class]]="A",WORKDAY(Main[[#This Row],[Tech Start Date]],9),""))))</f>
        <v/>
      </c>
      <c r="Q701" s="67"/>
      <c r="R701" s="67"/>
      <c r="S701" s="65" t="s">
        <v>17</v>
      </c>
      <c r="T701" s="70" t="s">
        <v>4</v>
      </c>
      <c r="U701" s="65" t="s">
        <v>29</v>
      </c>
      <c r="V701" s="65" t="s">
        <v>1914</v>
      </c>
      <c r="W701" s="65" t="s">
        <v>1928</v>
      </c>
      <c r="X701" s="65" t="s">
        <v>2052</v>
      </c>
      <c r="Y701" s="65" t="s">
        <v>3002</v>
      </c>
      <c r="Z701" s="65" t="s">
        <v>4</v>
      </c>
      <c r="AA701" s="65" t="s">
        <v>2052</v>
      </c>
    </row>
    <row r="702" spans="1:27" ht="17.45" hidden="1" customHeight="1">
      <c r="A702" s="100" t="str">
        <f>IF(priority(Main[[#This Row],[Comments]])&lt;&gt;0, priority(Main[[#This Row],[Comments]]),"")</f>
        <v/>
      </c>
      <c r="B702" s="77" t="s">
        <v>1817</v>
      </c>
      <c r="C702" s="65" t="s">
        <v>42</v>
      </c>
      <c r="D702" s="66" t="s">
        <v>869</v>
      </c>
      <c r="E702" s="67">
        <v>39932.455243055556</v>
      </c>
      <c r="F702" s="67"/>
      <c r="G702" s="64" t="str">
        <f>IF(stdProdLT(Main[[#This Row],[Comments]])=0.1,"N/A",IF(stdProdLT(Main[[#This Row],[Comments]])=0,"",stdProdLT(Main[[#This Row],[Comments]])))</f>
        <v/>
      </c>
      <c r="H702" s="68" t="str">
        <f>IF(AND(Main[[#This Row],[In Stock Date]]&lt;&gt;"",Main[[#This Row],[Revised Due Date]]&lt;&gt;""),Main[[#This Row],[In Stock Date]]-Main[[#This Row],[Revised Due Date]],"")</f>
        <v/>
      </c>
      <c r="I702" s="65" t="s">
        <v>4</v>
      </c>
      <c r="J702" s="65" t="s">
        <v>4</v>
      </c>
      <c r="K702" s="65" t="s">
        <v>4</v>
      </c>
      <c r="L702" s="67"/>
      <c r="M702" s="69" t="str">
        <f>IF(Main[[#This Row],[Tech Start Date]]&lt;1/1/1990,"",IF(Main[[#This Row],[Class]]="C",WORKDAY(Main[[#This Row],[Tech Start Date]],9),IF(Main[[#This Row],[Class]]="B", WORKDAY(Main[[#This Row],[Tech Start Date]],6),IF(Main[[#This Row],[Class]]="A",WORKDAY(Main[[#This Row],[Tech Start Date]],2),""))))</f>
        <v/>
      </c>
      <c r="N702" s="69" t="str">
        <f>IF(Main[[#This Row],[Tech Start Date]]&lt;1/1/1990,"",IF(Main[[#This Row],[Class]]="C",WORKDAY(Main[[#This Row],[Tech Start Date]],19),IF(Main[[#This Row],[Class]]="B", WORKDAY(Main[[#This Row],[Tech Start Date]],12),IF(Main[[#This Row],[Class]]="A",WORKDAY(Main[[#This Row],[Tech Start Date]],4),""))))</f>
        <v/>
      </c>
      <c r="O702" s="69" t="str">
        <f>IF(Main[[#This Row],[Tech Start Date]]&lt;1/1/1990,"",IF(Main[[#This Row],[Class]]="C",WORKDAY(Main[[#This Row],[Tech Start Date]],23),IF(Main[[#This Row],[Class]]="B", WORKDAY(Main[[#This Row],[Tech Start Date]],15),IF(Main[[#This Row],[Class]]="A",WORKDAY(Main[[#This Row],[Tech Start Date]],5),""))))</f>
        <v/>
      </c>
      <c r="P702" s="69" t="str">
        <f>IF(Main[[#This Row],[Tech Start Date]]&lt;1/1/1990,"",IF(Main[[#This Row],[Class]]="C",WORKDAY(Main[[#This Row],[Tech Start Date]],28),IF(Main[[#This Row],[Class]]="B", WORKDAY(Main[[#This Row],[Tech Start Date]],19),IF(Main[[#This Row],[Class]]="A",WORKDAY(Main[[#This Row],[Tech Start Date]],9),""))))</f>
        <v/>
      </c>
      <c r="Q702" s="67">
        <v>40165</v>
      </c>
      <c r="R702" s="67">
        <v>40298</v>
      </c>
      <c r="S702" s="65" t="s">
        <v>17</v>
      </c>
      <c r="T702" s="70" t="s">
        <v>4</v>
      </c>
      <c r="U702" s="65" t="s">
        <v>29</v>
      </c>
      <c r="V702" s="65" t="s">
        <v>1915</v>
      </c>
      <c r="W702" s="65" t="s">
        <v>1918</v>
      </c>
      <c r="X702" s="65" t="s">
        <v>399</v>
      </c>
      <c r="Y702" s="65" t="s">
        <v>4</v>
      </c>
      <c r="Z702" s="65" t="s">
        <v>4</v>
      </c>
      <c r="AA702" s="65" t="s">
        <v>3431</v>
      </c>
    </row>
    <row r="703" spans="1:27" ht="17.45" hidden="1" customHeight="1">
      <c r="A703" s="100" t="str">
        <f>IF(priority(Main[[#This Row],[Comments]])&lt;&gt;0, priority(Main[[#This Row],[Comments]]),"")</f>
        <v/>
      </c>
      <c r="B703" s="77" t="s">
        <v>1618</v>
      </c>
      <c r="C703" s="65" t="s">
        <v>4</v>
      </c>
      <c r="D703" s="66" t="s">
        <v>695</v>
      </c>
      <c r="E703" s="67"/>
      <c r="F703" s="67"/>
      <c r="G703" s="64" t="str">
        <f>IF(stdProdLT(Main[[#This Row],[Comments]])=0.1,"N/A",IF(stdProdLT(Main[[#This Row],[Comments]])=0,"",stdProdLT(Main[[#This Row],[Comments]])))</f>
        <v/>
      </c>
      <c r="H703" s="68" t="str">
        <f>IF(AND(Main[[#This Row],[In Stock Date]]&lt;&gt;"",Main[[#This Row],[Revised Due Date]]&lt;&gt;""),Main[[#This Row],[In Stock Date]]-Main[[#This Row],[Revised Due Date]],"")</f>
        <v/>
      </c>
      <c r="I703" s="65" t="s">
        <v>4</v>
      </c>
      <c r="J703" s="65" t="s">
        <v>4</v>
      </c>
      <c r="K703" s="65" t="s">
        <v>4</v>
      </c>
      <c r="L703" s="67"/>
      <c r="M703" s="69" t="str">
        <f>IF(Main[[#This Row],[Tech Start Date]]&lt;1/1/1990,"",IF(Main[[#This Row],[Class]]="C",WORKDAY(Main[[#This Row],[Tech Start Date]],9),IF(Main[[#This Row],[Class]]="B", WORKDAY(Main[[#This Row],[Tech Start Date]],6),IF(Main[[#This Row],[Class]]="A",WORKDAY(Main[[#This Row],[Tech Start Date]],2),""))))</f>
        <v/>
      </c>
      <c r="N703" s="69" t="str">
        <f>IF(Main[[#This Row],[Tech Start Date]]&lt;1/1/1990,"",IF(Main[[#This Row],[Class]]="C",WORKDAY(Main[[#This Row],[Tech Start Date]],19),IF(Main[[#This Row],[Class]]="B", WORKDAY(Main[[#This Row],[Tech Start Date]],12),IF(Main[[#This Row],[Class]]="A",WORKDAY(Main[[#This Row],[Tech Start Date]],4),""))))</f>
        <v/>
      </c>
      <c r="O703" s="69" t="str">
        <f>IF(Main[[#This Row],[Tech Start Date]]&lt;1/1/1990,"",IF(Main[[#This Row],[Class]]="C",WORKDAY(Main[[#This Row],[Tech Start Date]],23),IF(Main[[#This Row],[Class]]="B", WORKDAY(Main[[#This Row],[Tech Start Date]],15),IF(Main[[#This Row],[Class]]="A",WORKDAY(Main[[#This Row],[Tech Start Date]],5),""))))</f>
        <v/>
      </c>
      <c r="P703" s="69" t="str">
        <f>IF(Main[[#This Row],[Tech Start Date]]&lt;1/1/1990,"",IF(Main[[#This Row],[Class]]="C",WORKDAY(Main[[#This Row],[Tech Start Date]],28),IF(Main[[#This Row],[Class]]="B", WORKDAY(Main[[#This Row],[Tech Start Date]],19),IF(Main[[#This Row],[Class]]="A",WORKDAY(Main[[#This Row],[Tech Start Date]],9),""))))</f>
        <v/>
      </c>
      <c r="Q703" s="67"/>
      <c r="R703" s="67"/>
      <c r="S703" s="65" t="s">
        <v>23</v>
      </c>
      <c r="T703" s="70" t="s">
        <v>4</v>
      </c>
      <c r="U703" s="65" t="s">
        <v>14</v>
      </c>
      <c r="V703" s="65" t="s">
        <v>1917</v>
      </c>
      <c r="W703" s="65" t="s">
        <v>1918</v>
      </c>
      <c r="X703" s="65" t="s">
        <v>399</v>
      </c>
      <c r="Y703" s="65" t="s">
        <v>4</v>
      </c>
      <c r="Z703" s="65" t="s">
        <v>4</v>
      </c>
      <c r="AA703" s="65" t="s">
        <v>3432</v>
      </c>
    </row>
    <row r="704" spans="1:27" ht="17.45" hidden="1" customHeight="1">
      <c r="A704" s="100" t="str">
        <f>IF(priority(Main[[#This Row],[Comments]])&lt;&gt;0, priority(Main[[#This Row],[Comments]]),"")</f>
        <v/>
      </c>
      <c r="B704" s="77" t="s">
        <v>1619</v>
      </c>
      <c r="C704" s="65" t="s">
        <v>122</v>
      </c>
      <c r="D704" s="66" t="s">
        <v>696</v>
      </c>
      <c r="E704" s="67"/>
      <c r="F704" s="67"/>
      <c r="G704" s="64" t="str">
        <f>IF(stdProdLT(Main[[#This Row],[Comments]])=0.1,"N/A",IF(stdProdLT(Main[[#This Row],[Comments]])=0,"",stdProdLT(Main[[#This Row],[Comments]])))</f>
        <v/>
      </c>
      <c r="H704" s="68" t="str">
        <f>IF(AND(Main[[#This Row],[In Stock Date]]&lt;&gt;"",Main[[#This Row],[Revised Due Date]]&lt;&gt;""),Main[[#This Row],[In Stock Date]]-Main[[#This Row],[Revised Due Date]],"")</f>
        <v/>
      </c>
      <c r="I704" s="65" t="s">
        <v>4</v>
      </c>
      <c r="J704" s="65" t="s">
        <v>4</v>
      </c>
      <c r="K704" s="71" t="s">
        <v>4</v>
      </c>
      <c r="L704" s="67"/>
      <c r="M704" s="69" t="str">
        <f>IF(Main[[#This Row],[Tech Start Date]]&lt;1/1/1990,"",IF(Main[[#This Row],[Class]]="C",WORKDAY(Main[[#This Row],[Tech Start Date]],9),IF(Main[[#This Row],[Class]]="B", WORKDAY(Main[[#This Row],[Tech Start Date]],6),IF(Main[[#This Row],[Class]]="A",WORKDAY(Main[[#This Row],[Tech Start Date]],2),""))))</f>
        <v/>
      </c>
      <c r="N704" s="69" t="str">
        <f>IF(Main[[#This Row],[Tech Start Date]]&lt;1/1/1990,"",IF(Main[[#This Row],[Class]]="C",WORKDAY(Main[[#This Row],[Tech Start Date]],19),IF(Main[[#This Row],[Class]]="B", WORKDAY(Main[[#This Row],[Tech Start Date]],12),IF(Main[[#This Row],[Class]]="A",WORKDAY(Main[[#This Row],[Tech Start Date]],4),""))))</f>
        <v/>
      </c>
      <c r="O704" s="69" t="str">
        <f>IF(Main[[#This Row],[Tech Start Date]]&lt;1/1/1990,"",IF(Main[[#This Row],[Class]]="C",WORKDAY(Main[[#This Row],[Tech Start Date]],23),IF(Main[[#This Row],[Class]]="B", WORKDAY(Main[[#This Row],[Tech Start Date]],15),IF(Main[[#This Row],[Class]]="A",WORKDAY(Main[[#This Row],[Tech Start Date]],5),""))))</f>
        <v/>
      </c>
      <c r="P704" s="69" t="str">
        <f>IF(Main[[#This Row],[Tech Start Date]]&lt;1/1/1990,"",IF(Main[[#This Row],[Class]]="C",WORKDAY(Main[[#This Row],[Tech Start Date]],28),IF(Main[[#This Row],[Class]]="B", WORKDAY(Main[[#This Row],[Tech Start Date]],19),IF(Main[[#This Row],[Class]]="A",WORKDAY(Main[[#This Row],[Tech Start Date]],9),""))))</f>
        <v/>
      </c>
      <c r="Q704" s="67"/>
      <c r="R704" s="67"/>
      <c r="S704" s="65" t="s">
        <v>11</v>
      </c>
      <c r="T704" s="70" t="s">
        <v>4</v>
      </c>
      <c r="U704" s="65" t="s">
        <v>14</v>
      </c>
      <c r="V704" s="65" t="s">
        <v>1914</v>
      </c>
      <c r="W704" s="65" t="s">
        <v>1925</v>
      </c>
      <c r="X704" s="65" t="s">
        <v>2820</v>
      </c>
      <c r="Y704" s="65" t="s">
        <v>3092</v>
      </c>
      <c r="Z704" s="65" t="s">
        <v>4</v>
      </c>
      <c r="AA704" s="65" t="s">
        <v>3433</v>
      </c>
    </row>
    <row r="705" spans="1:27" ht="17.45" hidden="1" customHeight="1">
      <c r="A705" s="100" t="str">
        <f>IF(priority(Main[[#This Row],[Comments]])&lt;&gt;0, priority(Main[[#This Row],[Comments]]),"")</f>
        <v/>
      </c>
      <c r="B705" s="77" t="s">
        <v>1621</v>
      </c>
      <c r="C705" s="65" t="s">
        <v>4</v>
      </c>
      <c r="D705" s="66" t="s">
        <v>697</v>
      </c>
      <c r="E705" s="67"/>
      <c r="F705" s="67">
        <v>40598</v>
      </c>
      <c r="G705" s="64" t="str">
        <f>IF(stdProdLT(Main[[#This Row],[Comments]])=0.1,"N/A",IF(stdProdLT(Main[[#This Row],[Comments]])=0,"",stdProdLT(Main[[#This Row],[Comments]])))</f>
        <v/>
      </c>
      <c r="H705" s="68" t="str">
        <f>IF(AND(Main[[#This Row],[In Stock Date]]&lt;&gt;"",Main[[#This Row],[Revised Due Date]]&lt;&gt;""),Main[[#This Row],[In Stock Date]]-Main[[#This Row],[Revised Due Date]],"")</f>
        <v/>
      </c>
      <c r="I705" s="65" t="s">
        <v>399</v>
      </c>
      <c r="J705" s="65" t="s">
        <v>75</v>
      </c>
      <c r="K705" s="71" t="s">
        <v>4</v>
      </c>
      <c r="L705" s="67"/>
      <c r="M705" s="69" t="str">
        <f>IF(Main[[#This Row],[Tech Start Date]]&lt;1/1/1990,"",IF(Main[[#This Row],[Class]]="C",WORKDAY(Main[[#This Row],[Tech Start Date]],9),IF(Main[[#This Row],[Class]]="B", WORKDAY(Main[[#This Row],[Tech Start Date]],6),IF(Main[[#This Row],[Class]]="A",WORKDAY(Main[[#This Row],[Tech Start Date]],2),""))))</f>
        <v/>
      </c>
      <c r="N705" s="69" t="str">
        <f>IF(Main[[#This Row],[Tech Start Date]]&lt;1/1/1990,"",IF(Main[[#This Row],[Class]]="C",WORKDAY(Main[[#This Row],[Tech Start Date]],19),IF(Main[[#This Row],[Class]]="B", WORKDAY(Main[[#This Row],[Tech Start Date]],12),IF(Main[[#This Row],[Class]]="A",WORKDAY(Main[[#This Row],[Tech Start Date]],4),""))))</f>
        <v/>
      </c>
      <c r="O705" s="69" t="str">
        <f>IF(Main[[#This Row],[Tech Start Date]]&lt;1/1/1990,"",IF(Main[[#This Row],[Class]]="C",WORKDAY(Main[[#This Row],[Tech Start Date]],23),IF(Main[[#This Row],[Class]]="B", WORKDAY(Main[[#This Row],[Tech Start Date]],15),IF(Main[[#This Row],[Class]]="A",WORKDAY(Main[[#This Row],[Tech Start Date]],5),""))))</f>
        <v/>
      </c>
      <c r="P705" s="69" t="str">
        <f>IF(Main[[#This Row],[Tech Start Date]]&lt;1/1/1990,"",IF(Main[[#This Row],[Class]]="C",WORKDAY(Main[[#This Row],[Tech Start Date]],28),IF(Main[[#This Row],[Class]]="B", WORKDAY(Main[[#This Row],[Tech Start Date]],19),IF(Main[[#This Row],[Class]]="A",WORKDAY(Main[[#This Row],[Tech Start Date]],9),""))))</f>
        <v/>
      </c>
      <c r="Q705" s="67">
        <v>40598</v>
      </c>
      <c r="R705" s="67"/>
      <c r="S705" s="65" t="s">
        <v>6</v>
      </c>
      <c r="T705" s="70" t="s">
        <v>4</v>
      </c>
      <c r="U705" s="65" t="s">
        <v>14</v>
      </c>
      <c r="V705" s="65" t="s">
        <v>1924</v>
      </c>
      <c r="W705" s="65" t="s">
        <v>1920</v>
      </c>
      <c r="X705" s="65" t="s">
        <v>2848</v>
      </c>
      <c r="Y705" s="65" t="s">
        <v>2979</v>
      </c>
      <c r="Z705" s="65" t="s">
        <v>306</v>
      </c>
      <c r="AA705" s="65" t="s">
        <v>2848</v>
      </c>
    </row>
    <row r="706" spans="1:27" ht="17.45" hidden="1" customHeight="1">
      <c r="A706" s="100" t="str">
        <f>IF(priority(Main[[#This Row],[Comments]])&lt;&gt;0, priority(Main[[#This Row],[Comments]]),"")</f>
        <v/>
      </c>
      <c r="B706" s="77" t="s">
        <v>2165</v>
      </c>
      <c r="C706" s="65" t="s">
        <v>2160</v>
      </c>
      <c r="D706" s="66" t="s">
        <v>2732</v>
      </c>
      <c r="E706" s="67">
        <v>40781.401631944442</v>
      </c>
      <c r="F706" s="67"/>
      <c r="G706" s="64" t="str">
        <f>IF(stdProdLT(Main[[#This Row],[Comments]])=0.1,"N/A",IF(stdProdLT(Main[[#This Row],[Comments]])=0,"",stdProdLT(Main[[#This Row],[Comments]])))</f>
        <v/>
      </c>
      <c r="H706" s="68" t="str">
        <f>IF(AND(Main[[#This Row],[In Stock Date]]&lt;&gt;"",Main[[#This Row],[Revised Due Date]]&lt;&gt;""),Main[[#This Row],[In Stock Date]]-Main[[#This Row],[Revised Due Date]],"")</f>
        <v/>
      </c>
      <c r="I706" s="65" t="s">
        <v>2051</v>
      </c>
      <c r="J706" s="65" t="s">
        <v>70</v>
      </c>
      <c r="K706" s="65" t="s">
        <v>1923</v>
      </c>
      <c r="L706" s="67"/>
      <c r="M706" s="69" t="str">
        <f>IF(Main[[#This Row],[Tech Start Date]]&lt;1/1/1990,"",IF(Main[[#This Row],[Class]]="C",WORKDAY(Main[[#This Row],[Tech Start Date]],9),IF(Main[[#This Row],[Class]]="B", WORKDAY(Main[[#This Row],[Tech Start Date]],6),IF(Main[[#This Row],[Class]]="A",WORKDAY(Main[[#This Row],[Tech Start Date]],2),""))))</f>
        <v/>
      </c>
      <c r="N706" s="69" t="str">
        <f>IF(Main[[#This Row],[Tech Start Date]]&lt;1/1/1990,"",IF(Main[[#This Row],[Class]]="C",WORKDAY(Main[[#This Row],[Tech Start Date]],19),IF(Main[[#This Row],[Class]]="B", WORKDAY(Main[[#This Row],[Tech Start Date]],12),IF(Main[[#This Row],[Class]]="A",WORKDAY(Main[[#This Row],[Tech Start Date]],4),""))))</f>
        <v/>
      </c>
      <c r="O706" s="69" t="str">
        <f>IF(Main[[#This Row],[Tech Start Date]]&lt;1/1/1990,"",IF(Main[[#This Row],[Class]]="C",WORKDAY(Main[[#This Row],[Tech Start Date]],23),IF(Main[[#This Row],[Class]]="B", WORKDAY(Main[[#This Row],[Tech Start Date]],15),IF(Main[[#This Row],[Class]]="A",WORKDAY(Main[[#This Row],[Tech Start Date]],5),""))))</f>
        <v/>
      </c>
      <c r="P706" s="69" t="str">
        <f>IF(Main[[#This Row],[Tech Start Date]]&lt;1/1/1990,"",IF(Main[[#This Row],[Class]]="C",WORKDAY(Main[[#This Row],[Tech Start Date]],28),IF(Main[[#This Row],[Class]]="B", WORKDAY(Main[[#This Row],[Tech Start Date]],19),IF(Main[[#This Row],[Class]]="A",WORKDAY(Main[[#This Row],[Tech Start Date]],9),""))))</f>
        <v/>
      </c>
      <c r="Q706" s="67">
        <v>40836</v>
      </c>
      <c r="R706" s="67"/>
      <c r="S706" s="65" t="s">
        <v>6</v>
      </c>
      <c r="T706" s="70" t="s">
        <v>4</v>
      </c>
      <c r="U706" s="65" t="s">
        <v>29</v>
      </c>
      <c r="V706" s="65" t="s">
        <v>1917</v>
      </c>
      <c r="W706" s="65" t="s">
        <v>1918</v>
      </c>
      <c r="X706" s="65" t="s">
        <v>2836</v>
      </c>
      <c r="Y706" s="65" t="s">
        <v>2965</v>
      </c>
      <c r="Z706" s="65" t="s">
        <v>30</v>
      </c>
      <c r="AA706" s="65" t="s">
        <v>2836</v>
      </c>
    </row>
    <row r="707" spans="1:27" ht="17.45" hidden="1" customHeight="1">
      <c r="A707" s="100" t="str">
        <f>IF(priority(Main[[#This Row],[Comments]])&lt;&gt;0, priority(Main[[#This Row],[Comments]]),"")</f>
        <v/>
      </c>
      <c r="B707" s="77" t="s">
        <v>2074</v>
      </c>
      <c r="C707" s="65" t="s">
        <v>4</v>
      </c>
      <c r="D707" s="66" t="s">
        <v>2386</v>
      </c>
      <c r="E707" s="67">
        <v>40760.554780092592</v>
      </c>
      <c r="F707" s="67"/>
      <c r="G707" s="64" t="str">
        <f>IF(stdProdLT(Main[[#This Row],[Comments]])=0.1,"N/A",IF(stdProdLT(Main[[#This Row],[Comments]])=0,"",stdProdLT(Main[[#This Row],[Comments]])))</f>
        <v/>
      </c>
      <c r="H707" s="68" t="str">
        <f>IF(AND(Main[[#This Row],[In Stock Date]]&lt;&gt;"",Main[[#This Row],[Revised Due Date]]&lt;&gt;""),Main[[#This Row],[In Stock Date]]-Main[[#This Row],[Revised Due Date]],"")</f>
        <v/>
      </c>
      <c r="I707" s="65" t="s">
        <v>4</v>
      </c>
      <c r="J707" s="65" t="s">
        <v>4</v>
      </c>
      <c r="K707" s="65" t="s">
        <v>4</v>
      </c>
      <c r="L707" s="67"/>
      <c r="M707" s="69" t="str">
        <f>IF(Main[[#This Row],[Tech Start Date]]&lt;1/1/1990,"",IF(Main[[#This Row],[Class]]="C",WORKDAY(Main[[#This Row],[Tech Start Date]],9),IF(Main[[#This Row],[Class]]="B", WORKDAY(Main[[#This Row],[Tech Start Date]],6),IF(Main[[#This Row],[Class]]="A",WORKDAY(Main[[#This Row],[Tech Start Date]],2),""))))</f>
        <v/>
      </c>
      <c r="N707" s="69" t="str">
        <f>IF(Main[[#This Row],[Tech Start Date]]&lt;1/1/1990,"",IF(Main[[#This Row],[Class]]="C",WORKDAY(Main[[#This Row],[Tech Start Date]],19),IF(Main[[#This Row],[Class]]="B", WORKDAY(Main[[#This Row],[Tech Start Date]],12),IF(Main[[#This Row],[Class]]="A",WORKDAY(Main[[#This Row],[Tech Start Date]],4),""))))</f>
        <v/>
      </c>
      <c r="O707" s="69" t="str">
        <f>IF(Main[[#This Row],[Tech Start Date]]&lt;1/1/1990,"",IF(Main[[#This Row],[Class]]="C",WORKDAY(Main[[#This Row],[Tech Start Date]],23),IF(Main[[#This Row],[Class]]="B", WORKDAY(Main[[#This Row],[Tech Start Date]],15),IF(Main[[#This Row],[Class]]="A",WORKDAY(Main[[#This Row],[Tech Start Date]],5),""))))</f>
        <v/>
      </c>
      <c r="P707" s="69" t="str">
        <f>IF(Main[[#This Row],[Tech Start Date]]&lt;1/1/1990,"",IF(Main[[#This Row],[Class]]="C",WORKDAY(Main[[#This Row],[Tech Start Date]],28),IF(Main[[#This Row],[Class]]="B", WORKDAY(Main[[#This Row],[Tech Start Date]],19),IF(Main[[#This Row],[Class]]="A",WORKDAY(Main[[#This Row],[Tech Start Date]],9),""))))</f>
        <v/>
      </c>
      <c r="Q707" s="67"/>
      <c r="R707" s="67"/>
      <c r="S707" s="65" t="s">
        <v>6</v>
      </c>
      <c r="T707" s="70" t="s">
        <v>4</v>
      </c>
      <c r="U707" s="65" t="s">
        <v>7</v>
      </c>
      <c r="V707" s="65" t="s">
        <v>1914</v>
      </c>
      <c r="W707" s="65" t="s">
        <v>1918</v>
      </c>
      <c r="X707" s="65" t="s">
        <v>306</v>
      </c>
      <c r="Y707" s="65" t="s">
        <v>4</v>
      </c>
      <c r="Z707" s="65" t="s">
        <v>4</v>
      </c>
      <c r="AA707" s="65" t="s">
        <v>4</v>
      </c>
    </row>
    <row r="708" spans="1:27" ht="17.45" hidden="1" customHeight="1">
      <c r="A708" s="100" t="str">
        <f>IF(priority(Main[[#This Row],[Comments]])&lt;&gt;0, priority(Main[[#This Row],[Comments]]),"")</f>
        <v/>
      </c>
      <c r="B708" s="77" t="s">
        <v>1622</v>
      </c>
      <c r="C708" s="65" t="s">
        <v>4</v>
      </c>
      <c r="D708" s="66" t="s">
        <v>698</v>
      </c>
      <c r="E708" s="67"/>
      <c r="F708" s="67"/>
      <c r="G708" s="64" t="str">
        <f>IF(stdProdLT(Main[[#This Row],[Comments]])=0.1,"N/A",IF(stdProdLT(Main[[#This Row],[Comments]])=0,"",stdProdLT(Main[[#This Row],[Comments]])))</f>
        <v/>
      </c>
      <c r="H708" s="68" t="str">
        <f>IF(AND(Main[[#This Row],[In Stock Date]]&lt;&gt;"",Main[[#This Row],[Revised Due Date]]&lt;&gt;""),Main[[#This Row],[In Stock Date]]-Main[[#This Row],[Revised Due Date]],"")</f>
        <v/>
      </c>
      <c r="I708" s="65" t="s">
        <v>4</v>
      </c>
      <c r="J708" s="65" t="s">
        <v>4</v>
      </c>
      <c r="K708" s="65" t="s">
        <v>4</v>
      </c>
      <c r="L708" s="67"/>
      <c r="M708" s="69" t="str">
        <f>IF(Main[[#This Row],[Tech Start Date]]&lt;1/1/1990,"",IF(Main[[#This Row],[Class]]="C",WORKDAY(Main[[#This Row],[Tech Start Date]],9),IF(Main[[#This Row],[Class]]="B", WORKDAY(Main[[#This Row],[Tech Start Date]],6),IF(Main[[#This Row],[Class]]="A",WORKDAY(Main[[#This Row],[Tech Start Date]],2),""))))</f>
        <v/>
      </c>
      <c r="N708" s="69" t="str">
        <f>IF(Main[[#This Row],[Tech Start Date]]&lt;1/1/1990,"",IF(Main[[#This Row],[Class]]="C",WORKDAY(Main[[#This Row],[Tech Start Date]],19),IF(Main[[#This Row],[Class]]="B", WORKDAY(Main[[#This Row],[Tech Start Date]],12),IF(Main[[#This Row],[Class]]="A",WORKDAY(Main[[#This Row],[Tech Start Date]],4),""))))</f>
        <v/>
      </c>
      <c r="O708" s="69" t="str">
        <f>IF(Main[[#This Row],[Tech Start Date]]&lt;1/1/1990,"",IF(Main[[#This Row],[Class]]="C",WORKDAY(Main[[#This Row],[Tech Start Date]],23),IF(Main[[#This Row],[Class]]="B", WORKDAY(Main[[#This Row],[Tech Start Date]],15),IF(Main[[#This Row],[Class]]="A",WORKDAY(Main[[#This Row],[Tech Start Date]],5),""))))</f>
        <v/>
      </c>
      <c r="P708" s="69" t="str">
        <f>IF(Main[[#This Row],[Tech Start Date]]&lt;1/1/1990,"",IF(Main[[#This Row],[Class]]="C",WORKDAY(Main[[#This Row],[Tech Start Date]],28),IF(Main[[#This Row],[Class]]="B", WORKDAY(Main[[#This Row],[Tech Start Date]],19),IF(Main[[#This Row],[Class]]="A",WORKDAY(Main[[#This Row],[Tech Start Date]],9),""))))</f>
        <v/>
      </c>
      <c r="Q708" s="67"/>
      <c r="R708" s="67"/>
      <c r="S708" s="65" t="s">
        <v>49</v>
      </c>
      <c r="T708" s="70" t="s">
        <v>4</v>
      </c>
      <c r="U708" s="65" t="s">
        <v>14</v>
      </c>
      <c r="V708" s="65" t="s">
        <v>1914</v>
      </c>
      <c r="W708" s="65" t="s">
        <v>1918</v>
      </c>
      <c r="X708" s="65" t="s">
        <v>306</v>
      </c>
      <c r="Y708" s="65" t="s">
        <v>4</v>
      </c>
      <c r="Z708" s="65" t="s">
        <v>4</v>
      </c>
      <c r="AA708" s="65" t="s">
        <v>4</v>
      </c>
    </row>
    <row r="709" spans="1:27" ht="17.45" hidden="1" customHeight="1">
      <c r="A709" s="100" t="str">
        <f>IF(priority(Main[[#This Row],[Comments]])&lt;&gt;0, priority(Main[[#This Row],[Comments]]),"")</f>
        <v/>
      </c>
      <c r="B709" s="77" t="s">
        <v>1623</v>
      </c>
      <c r="C709" s="65" t="s">
        <v>4</v>
      </c>
      <c r="D709" s="66" t="s">
        <v>699</v>
      </c>
      <c r="E709" s="67"/>
      <c r="F709" s="67"/>
      <c r="G709" s="64" t="str">
        <f>IF(stdProdLT(Main[[#This Row],[Comments]])=0.1,"N/A",IF(stdProdLT(Main[[#This Row],[Comments]])=0,"",stdProdLT(Main[[#This Row],[Comments]])))</f>
        <v/>
      </c>
      <c r="H709" s="68" t="str">
        <f>IF(AND(Main[[#This Row],[In Stock Date]]&lt;&gt;"",Main[[#This Row],[Revised Due Date]]&lt;&gt;""),Main[[#This Row],[In Stock Date]]-Main[[#This Row],[Revised Due Date]],"")</f>
        <v/>
      </c>
      <c r="I709" s="65" t="s">
        <v>4</v>
      </c>
      <c r="J709" s="65" t="s">
        <v>4</v>
      </c>
      <c r="K709" s="65" t="s">
        <v>4</v>
      </c>
      <c r="L709" s="67"/>
      <c r="M709" s="69" t="str">
        <f>IF(Main[[#This Row],[Tech Start Date]]&lt;1/1/1990,"",IF(Main[[#This Row],[Class]]="C",WORKDAY(Main[[#This Row],[Tech Start Date]],9),IF(Main[[#This Row],[Class]]="B", WORKDAY(Main[[#This Row],[Tech Start Date]],6),IF(Main[[#This Row],[Class]]="A",WORKDAY(Main[[#This Row],[Tech Start Date]],2),""))))</f>
        <v/>
      </c>
      <c r="N709" s="69" t="str">
        <f>IF(Main[[#This Row],[Tech Start Date]]&lt;1/1/1990,"",IF(Main[[#This Row],[Class]]="C",WORKDAY(Main[[#This Row],[Tech Start Date]],19),IF(Main[[#This Row],[Class]]="B", WORKDAY(Main[[#This Row],[Tech Start Date]],12),IF(Main[[#This Row],[Class]]="A",WORKDAY(Main[[#This Row],[Tech Start Date]],4),""))))</f>
        <v/>
      </c>
      <c r="O709" s="69" t="str">
        <f>IF(Main[[#This Row],[Tech Start Date]]&lt;1/1/1990,"",IF(Main[[#This Row],[Class]]="C",WORKDAY(Main[[#This Row],[Tech Start Date]],23),IF(Main[[#This Row],[Class]]="B", WORKDAY(Main[[#This Row],[Tech Start Date]],15),IF(Main[[#This Row],[Class]]="A",WORKDAY(Main[[#This Row],[Tech Start Date]],5),""))))</f>
        <v/>
      </c>
      <c r="P709" s="69" t="str">
        <f>IF(Main[[#This Row],[Tech Start Date]]&lt;1/1/1990,"",IF(Main[[#This Row],[Class]]="C",WORKDAY(Main[[#This Row],[Tech Start Date]],28),IF(Main[[#This Row],[Class]]="B", WORKDAY(Main[[#This Row],[Tech Start Date]],19),IF(Main[[#This Row],[Class]]="A",WORKDAY(Main[[#This Row],[Tech Start Date]],9),""))))</f>
        <v/>
      </c>
      <c r="Q709" s="67"/>
      <c r="R709" s="67"/>
      <c r="S709" s="65" t="s">
        <v>11</v>
      </c>
      <c r="T709" s="70" t="s">
        <v>4</v>
      </c>
      <c r="U709" s="65" t="s">
        <v>14</v>
      </c>
      <c r="V709" s="65" t="s">
        <v>1917</v>
      </c>
      <c r="W709" s="65" t="s">
        <v>1922</v>
      </c>
      <c r="X709" s="65" t="s">
        <v>306</v>
      </c>
      <c r="Y709" s="65" t="s">
        <v>4</v>
      </c>
      <c r="Z709" s="65" t="s">
        <v>4</v>
      </c>
      <c r="AA709" s="65" t="s">
        <v>4</v>
      </c>
    </row>
    <row r="710" spans="1:27" ht="17.45" hidden="1" customHeight="1">
      <c r="A710" s="100" t="str">
        <f>IF(priority(Main[[#This Row],[Comments]])&lt;&gt;0, priority(Main[[#This Row],[Comments]]),"")</f>
        <v/>
      </c>
      <c r="B710" s="77" t="s">
        <v>1624</v>
      </c>
      <c r="C710" s="65" t="s">
        <v>211</v>
      </c>
      <c r="D710" s="66" t="s">
        <v>212</v>
      </c>
      <c r="E710" s="67"/>
      <c r="F710" s="67">
        <v>40452</v>
      </c>
      <c r="G710" s="64" t="str">
        <f>IF(stdProdLT(Main[[#This Row],[Comments]])=0.1,"N/A",IF(stdProdLT(Main[[#This Row],[Comments]])=0,"",stdProdLT(Main[[#This Row],[Comments]])))</f>
        <v/>
      </c>
      <c r="H710" s="68" t="str">
        <f>IF(AND(Main[[#This Row],[In Stock Date]]&lt;&gt;"",Main[[#This Row],[Revised Due Date]]&lt;&gt;""),Main[[#This Row],[In Stock Date]]-Main[[#This Row],[Revised Due Date]],"")</f>
        <v/>
      </c>
      <c r="I710" s="65" t="s">
        <v>4</v>
      </c>
      <c r="J710" s="65" t="s">
        <v>4</v>
      </c>
      <c r="K710" s="65" t="s">
        <v>4</v>
      </c>
      <c r="L710" s="67"/>
      <c r="M710" s="69" t="str">
        <f>IF(Main[[#This Row],[Tech Start Date]]&lt;1/1/1990,"",IF(Main[[#This Row],[Class]]="C",WORKDAY(Main[[#This Row],[Tech Start Date]],9),IF(Main[[#This Row],[Class]]="B", WORKDAY(Main[[#This Row],[Tech Start Date]],6),IF(Main[[#This Row],[Class]]="A",WORKDAY(Main[[#This Row],[Tech Start Date]],2),""))))</f>
        <v/>
      </c>
      <c r="N710" s="69" t="str">
        <f>IF(Main[[#This Row],[Tech Start Date]]&lt;1/1/1990,"",IF(Main[[#This Row],[Class]]="C",WORKDAY(Main[[#This Row],[Tech Start Date]],19),IF(Main[[#This Row],[Class]]="B", WORKDAY(Main[[#This Row],[Tech Start Date]],12),IF(Main[[#This Row],[Class]]="A",WORKDAY(Main[[#This Row],[Tech Start Date]],4),""))))</f>
        <v/>
      </c>
      <c r="O710" s="69" t="str">
        <f>IF(Main[[#This Row],[Tech Start Date]]&lt;1/1/1990,"",IF(Main[[#This Row],[Class]]="C",WORKDAY(Main[[#This Row],[Tech Start Date]],23),IF(Main[[#This Row],[Class]]="B", WORKDAY(Main[[#This Row],[Tech Start Date]],15),IF(Main[[#This Row],[Class]]="A",WORKDAY(Main[[#This Row],[Tech Start Date]],5),""))))</f>
        <v/>
      </c>
      <c r="P710" s="69" t="str">
        <f>IF(Main[[#This Row],[Tech Start Date]]&lt;1/1/1990,"",IF(Main[[#This Row],[Class]]="C",WORKDAY(Main[[#This Row],[Tech Start Date]],28),IF(Main[[#This Row],[Class]]="B", WORKDAY(Main[[#This Row],[Tech Start Date]],19),IF(Main[[#This Row],[Class]]="A",WORKDAY(Main[[#This Row],[Tech Start Date]],9),""))))</f>
        <v/>
      </c>
      <c r="Q710" s="67">
        <v>40357</v>
      </c>
      <c r="R710" s="67"/>
      <c r="S710" s="65" t="s">
        <v>11</v>
      </c>
      <c r="T710" s="70" t="s">
        <v>4</v>
      </c>
      <c r="U710" s="65" t="s">
        <v>12</v>
      </c>
      <c r="V710" s="65" t="s">
        <v>1914</v>
      </c>
      <c r="W710" s="65" t="s">
        <v>1922</v>
      </c>
      <c r="X710" s="65" t="s">
        <v>2833</v>
      </c>
      <c r="Y710" s="65" t="s">
        <v>4</v>
      </c>
      <c r="Z710" s="65" t="s">
        <v>4</v>
      </c>
      <c r="AA710" s="65" t="s">
        <v>2833</v>
      </c>
    </row>
    <row r="711" spans="1:27" ht="17.45" hidden="1" customHeight="1">
      <c r="A711" s="100" t="str">
        <f>IF(priority(Main[[#This Row],[Comments]])&lt;&gt;0, priority(Main[[#This Row],[Comments]]),"")</f>
        <v/>
      </c>
      <c r="B711" s="77" t="s">
        <v>2226</v>
      </c>
      <c r="C711" s="65" t="s">
        <v>4</v>
      </c>
      <c r="D711" s="66" t="s">
        <v>2227</v>
      </c>
      <c r="E711" s="67">
        <v>40802.257071759261</v>
      </c>
      <c r="F711" s="67"/>
      <c r="G711" s="64" t="str">
        <f>IF(stdProdLT(Main[[#This Row],[Comments]])=0.1,"N/A",IF(stdProdLT(Main[[#This Row],[Comments]])=0,"",stdProdLT(Main[[#This Row],[Comments]])))</f>
        <v/>
      </c>
      <c r="H711" s="68" t="str">
        <f>IF(AND(Main[[#This Row],[In Stock Date]]&lt;&gt;"",Main[[#This Row],[Revised Due Date]]&lt;&gt;""),Main[[#This Row],[In Stock Date]]-Main[[#This Row],[Revised Due Date]],"")</f>
        <v/>
      </c>
      <c r="I711" s="65" t="s">
        <v>4</v>
      </c>
      <c r="J711" s="65" t="s">
        <v>4</v>
      </c>
      <c r="K711" s="65" t="s">
        <v>4</v>
      </c>
      <c r="L711" s="67"/>
      <c r="M711" s="69" t="str">
        <f>IF(Main[[#This Row],[Tech Start Date]]&lt;1/1/1990,"",IF(Main[[#This Row],[Class]]="C",WORKDAY(Main[[#This Row],[Tech Start Date]],9),IF(Main[[#This Row],[Class]]="B", WORKDAY(Main[[#This Row],[Tech Start Date]],6),IF(Main[[#This Row],[Class]]="A",WORKDAY(Main[[#This Row],[Tech Start Date]],2),""))))</f>
        <v/>
      </c>
      <c r="N711" s="69" t="str">
        <f>IF(Main[[#This Row],[Tech Start Date]]&lt;1/1/1990,"",IF(Main[[#This Row],[Class]]="C",WORKDAY(Main[[#This Row],[Tech Start Date]],19),IF(Main[[#This Row],[Class]]="B", WORKDAY(Main[[#This Row],[Tech Start Date]],12),IF(Main[[#This Row],[Class]]="A",WORKDAY(Main[[#This Row],[Tech Start Date]],4),""))))</f>
        <v/>
      </c>
      <c r="O711" s="69" t="str">
        <f>IF(Main[[#This Row],[Tech Start Date]]&lt;1/1/1990,"",IF(Main[[#This Row],[Class]]="C",WORKDAY(Main[[#This Row],[Tech Start Date]],23),IF(Main[[#This Row],[Class]]="B", WORKDAY(Main[[#This Row],[Tech Start Date]],15),IF(Main[[#This Row],[Class]]="A",WORKDAY(Main[[#This Row],[Tech Start Date]],5),""))))</f>
        <v/>
      </c>
      <c r="P711" s="69" t="str">
        <f>IF(Main[[#This Row],[Tech Start Date]]&lt;1/1/1990,"",IF(Main[[#This Row],[Class]]="C",WORKDAY(Main[[#This Row],[Tech Start Date]],28),IF(Main[[#This Row],[Class]]="B", WORKDAY(Main[[#This Row],[Tech Start Date]],19),IF(Main[[#This Row],[Class]]="A",WORKDAY(Main[[#This Row],[Tech Start Date]],9),""))))</f>
        <v/>
      </c>
      <c r="Q711" s="67">
        <v>40816</v>
      </c>
      <c r="R711" s="67"/>
      <c r="S711" s="65" t="s">
        <v>6</v>
      </c>
      <c r="T711" s="70" t="s">
        <v>4</v>
      </c>
      <c r="U711" s="65" t="s">
        <v>7</v>
      </c>
      <c r="V711" s="65" t="s">
        <v>1914</v>
      </c>
      <c r="W711" s="65" t="s">
        <v>1922</v>
      </c>
      <c r="X711" s="65" t="s">
        <v>2821</v>
      </c>
      <c r="Y711" s="65" t="s">
        <v>2936</v>
      </c>
      <c r="Z711" s="65" t="s">
        <v>4</v>
      </c>
      <c r="AA711" s="65" t="s">
        <v>2821</v>
      </c>
    </row>
    <row r="712" spans="1:27" ht="17.45" hidden="1" customHeight="1">
      <c r="A712" s="100" t="str">
        <f>IF(priority(Main[[#This Row],[Comments]])&lt;&gt;0, priority(Main[[#This Row],[Comments]]),"")</f>
        <v/>
      </c>
      <c r="B712" s="77" t="s">
        <v>1626</v>
      </c>
      <c r="C712" s="65" t="s">
        <v>347</v>
      </c>
      <c r="D712" s="66" t="s">
        <v>701</v>
      </c>
      <c r="E712" s="67"/>
      <c r="F712" s="67">
        <v>40664</v>
      </c>
      <c r="G712" s="64" t="str">
        <f>IF(stdProdLT(Main[[#This Row],[Comments]])=0.1,"N/A",IF(stdProdLT(Main[[#This Row],[Comments]])=0,"",stdProdLT(Main[[#This Row],[Comments]])))</f>
        <v/>
      </c>
      <c r="H712" s="68" t="str">
        <f>IF(AND(Main[[#This Row],[In Stock Date]]&lt;&gt;"",Main[[#This Row],[Revised Due Date]]&lt;&gt;""),Main[[#This Row],[In Stock Date]]-Main[[#This Row],[Revised Due Date]],"")</f>
        <v/>
      </c>
      <c r="I712" s="65" t="s">
        <v>399</v>
      </c>
      <c r="J712" s="65" t="s">
        <v>75</v>
      </c>
      <c r="K712" s="71" t="s">
        <v>1921</v>
      </c>
      <c r="L712" s="67"/>
      <c r="M712" s="69" t="str">
        <f>IF(Main[[#This Row],[Tech Start Date]]&lt;1/1/1990,"",IF(Main[[#This Row],[Class]]="C",WORKDAY(Main[[#This Row],[Tech Start Date]],9),IF(Main[[#This Row],[Class]]="B", WORKDAY(Main[[#This Row],[Tech Start Date]],6),IF(Main[[#This Row],[Class]]="A",WORKDAY(Main[[#This Row],[Tech Start Date]],2),""))))</f>
        <v/>
      </c>
      <c r="N712" s="69" t="str">
        <f>IF(Main[[#This Row],[Tech Start Date]]&lt;1/1/1990,"",IF(Main[[#This Row],[Class]]="C",WORKDAY(Main[[#This Row],[Tech Start Date]],19),IF(Main[[#This Row],[Class]]="B", WORKDAY(Main[[#This Row],[Tech Start Date]],12),IF(Main[[#This Row],[Class]]="A",WORKDAY(Main[[#This Row],[Tech Start Date]],4),""))))</f>
        <v/>
      </c>
      <c r="O712" s="69" t="str">
        <f>IF(Main[[#This Row],[Tech Start Date]]&lt;1/1/1990,"",IF(Main[[#This Row],[Class]]="C",WORKDAY(Main[[#This Row],[Tech Start Date]],23),IF(Main[[#This Row],[Class]]="B", WORKDAY(Main[[#This Row],[Tech Start Date]],15),IF(Main[[#This Row],[Class]]="A",WORKDAY(Main[[#This Row],[Tech Start Date]],5),""))))</f>
        <v/>
      </c>
      <c r="P712" s="69" t="str">
        <f>IF(Main[[#This Row],[Tech Start Date]]&lt;1/1/1990,"",IF(Main[[#This Row],[Class]]="C",WORKDAY(Main[[#This Row],[Tech Start Date]],28),IF(Main[[#This Row],[Class]]="B", WORKDAY(Main[[#This Row],[Tech Start Date]],19),IF(Main[[#This Row],[Class]]="A",WORKDAY(Main[[#This Row],[Tech Start Date]],9),""))))</f>
        <v/>
      </c>
      <c r="Q712" s="67"/>
      <c r="R712" s="67"/>
      <c r="S712" s="65" t="s">
        <v>11</v>
      </c>
      <c r="T712" s="70" t="s">
        <v>4</v>
      </c>
      <c r="U712" s="65" t="s">
        <v>14</v>
      </c>
      <c r="V712" s="65" t="s">
        <v>1917</v>
      </c>
      <c r="W712" s="65" t="s">
        <v>1920</v>
      </c>
      <c r="X712" s="65" t="s">
        <v>50</v>
      </c>
      <c r="Y712" s="65" t="s">
        <v>3093</v>
      </c>
      <c r="Z712" s="65" t="s">
        <v>306</v>
      </c>
      <c r="AA712" s="65" t="s">
        <v>2872</v>
      </c>
    </row>
    <row r="713" spans="1:27" ht="17.45" hidden="1" customHeight="1">
      <c r="A713" s="100" t="str">
        <f>IF(priority(Main[[#This Row],[Comments]])&lt;&gt;0, priority(Main[[#This Row],[Comments]]),"")</f>
        <v/>
      </c>
      <c r="B713" s="77" t="s">
        <v>1627</v>
      </c>
      <c r="C713" s="65" t="s">
        <v>4</v>
      </c>
      <c r="D713" s="66" t="s">
        <v>97</v>
      </c>
      <c r="E713" s="67"/>
      <c r="F713" s="67"/>
      <c r="G713" s="64" t="str">
        <f>IF(stdProdLT(Main[[#This Row],[Comments]])=0.1,"N/A",IF(stdProdLT(Main[[#This Row],[Comments]])=0,"",stdProdLT(Main[[#This Row],[Comments]])))</f>
        <v/>
      </c>
      <c r="H713" s="68" t="str">
        <f>IF(AND(Main[[#This Row],[In Stock Date]]&lt;&gt;"",Main[[#This Row],[Revised Due Date]]&lt;&gt;""),Main[[#This Row],[In Stock Date]]-Main[[#This Row],[Revised Due Date]],"")</f>
        <v/>
      </c>
      <c r="I713" s="65" t="s">
        <v>4</v>
      </c>
      <c r="J713" s="65" t="s">
        <v>4</v>
      </c>
      <c r="K713" s="71" t="s">
        <v>4</v>
      </c>
      <c r="L713" s="67"/>
      <c r="M713" s="69" t="str">
        <f>IF(Main[[#This Row],[Tech Start Date]]&lt;1/1/1990,"",IF(Main[[#This Row],[Class]]="C",WORKDAY(Main[[#This Row],[Tech Start Date]],9),IF(Main[[#This Row],[Class]]="B", WORKDAY(Main[[#This Row],[Tech Start Date]],6),IF(Main[[#This Row],[Class]]="A",WORKDAY(Main[[#This Row],[Tech Start Date]],2),""))))</f>
        <v/>
      </c>
      <c r="N713" s="69" t="str">
        <f>IF(Main[[#This Row],[Tech Start Date]]&lt;1/1/1990,"",IF(Main[[#This Row],[Class]]="C",WORKDAY(Main[[#This Row],[Tech Start Date]],19),IF(Main[[#This Row],[Class]]="B", WORKDAY(Main[[#This Row],[Tech Start Date]],12),IF(Main[[#This Row],[Class]]="A",WORKDAY(Main[[#This Row],[Tech Start Date]],4),""))))</f>
        <v/>
      </c>
      <c r="O713" s="69" t="str">
        <f>IF(Main[[#This Row],[Tech Start Date]]&lt;1/1/1990,"",IF(Main[[#This Row],[Class]]="C",WORKDAY(Main[[#This Row],[Tech Start Date]],23),IF(Main[[#This Row],[Class]]="B", WORKDAY(Main[[#This Row],[Tech Start Date]],15),IF(Main[[#This Row],[Class]]="A",WORKDAY(Main[[#This Row],[Tech Start Date]],5),""))))</f>
        <v/>
      </c>
      <c r="P713" s="69" t="str">
        <f>IF(Main[[#This Row],[Tech Start Date]]&lt;1/1/1990,"",IF(Main[[#This Row],[Class]]="C",WORKDAY(Main[[#This Row],[Tech Start Date]],28),IF(Main[[#This Row],[Class]]="B", WORKDAY(Main[[#This Row],[Tech Start Date]],19),IF(Main[[#This Row],[Class]]="A",WORKDAY(Main[[#This Row],[Tech Start Date]],9),""))))</f>
        <v/>
      </c>
      <c r="Q713" s="67">
        <v>40858</v>
      </c>
      <c r="R713" s="67"/>
      <c r="S713" s="65" t="s">
        <v>17</v>
      </c>
      <c r="T713" s="70" t="s">
        <v>4</v>
      </c>
      <c r="U713" s="65" t="s">
        <v>14</v>
      </c>
      <c r="V713" s="65" t="s">
        <v>1914</v>
      </c>
      <c r="W713" s="65" t="s">
        <v>1919</v>
      </c>
      <c r="X713" s="65" t="s">
        <v>50</v>
      </c>
      <c r="Y713" s="65" t="s">
        <v>2959</v>
      </c>
      <c r="Z713" s="65" t="s">
        <v>4</v>
      </c>
      <c r="AA713" s="65" t="s">
        <v>2828</v>
      </c>
    </row>
    <row r="714" spans="1:27" ht="17.45" hidden="1" customHeight="1">
      <c r="A714" s="100" t="str">
        <f>IF(priority(Main[[#This Row],[Comments]])&lt;&gt;0, priority(Main[[#This Row],[Comments]]),"")</f>
        <v/>
      </c>
      <c r="B714" s="77" t="s">
        <v>1628</v>
      </c>
      <c r="C714" s="65" t="s">
        <v>4</v>
      </c>
      <c r="D714" s="66" t="s">
        <v>97</v>
      </c>
      <c r="E714" s="67"/>
      <c r="F714" s="67"/>
      <c r="G714" s="64" t="str">
        <f>IF(stdProdLT(Main[[#This Row],[Comments]])=0.1,"N/A",IF(stdProdLT(Main[[#This Row],[Comments]])=0,"",stdProdLT(Main[[#This Row],[Comments]])))</f>
        <v/>
      </c>
      <c r="H714" s="68" t="str">
        <f>IF(AND(Main[[#This Row],[In Stock Date]]&lt;&gt;"",Main[[#This Row],[Revised Due Date]]&lt;&gt;""),Main[[#This Row],[In Stock Date]]-Main[[#This Row],[Revised Due Date]],"")</f>
        <v/>
      </c>
      <c r="I714" s="65" t="s">
        <v>4</v>
      </c>
      <c r="J714" s="65" t="s">
        <v>4</v>
      </c>
      <c r="K714" s="65" t="s">
        <v>4</v>
      </c>
      <c r="L714" s="67"/>
      <c r="M714" s="69" t="str">
        <f>IF(Main[[#This Row],[Tech Start Date]]&lt;1/1/1990,"",IF(Main[[#This Row],[Class]]="C",WORKDAY(Main[[#This Row],[Tech Start Date]],9),IF(Main[[#This Row],[Class]]="B", WORKDAY(Main[[#This Row],[Tech Start Date]],6),IF(Main[[#This Row],[Class]]="A",WORKDAY(Main[[#This Row],[Tech Start Date]],2),""))))</f>
        <v/>
      </c>
      <c r="N714" s="69" t="str">
        <f>IF(Main[[#This Row],[Tech Start Date]]&lt;1/1/1990,"",IF(Main[[#This Row],[Class]]="C",WORKDAY(Main[[#This Row],[Tech Start Date]],19),IF(Main[[#This Row],[Class]]="B", WORKDAY(Main[[#This Row],[Tech Start Date]],12),IF(Main[[#This Row],[Class]]="A",WORKDAY(Main[[#This Row],[Tech Start Date]],4),""))))</f>
        <v/>
      </c>
      <c r="O714" s="69" t="str">
        <f>IF(Main[[#This Row],[Tech Start Date]]&lt;1/1/1990,"",IF(Main[[#This Row],[Class]]="C",WORKDAY(Main[[#This Row],[Tech Start Date]],23),IF(Main[[#This Row],[Class]]="B", WORKDAY(Main[[#This Row],[Tech Start Date]],15),IF(Main[[#This Row],[Class]]="A",WORKDAY(Main[[#This Row],[Tech Start Date]],5),""))))</f>
        <v/>
      </c>
      <c r="P714" s="69" t="str">
        <f>IF(Main[[#This Row],[Tech Start Date]]&lt;1/1/1990,"",IF(Main[[#This Row],[Class]]="C",WORKDAY(Main[[#This Row],[Tech Start Date]],28),IF(Main[[#This Row],[Class]]="B", WORKDAY(Main[[#This Row],[Tech Start Date]],19),IF(Main[[#This Row],[Class]]="A",WORKDAY(Main[[#This Row],[Tech Start Date]],9),""))))</f>
        <v/>
      </c>
      <c r="Q714" s="67">
        <v>40858</v>
      </c>
      <c r="R714" s="67"/>
      <c r="S714" s="65" t="s">
        <v>17</v>
      </c>
      <c r="T714" s="70" t="s">
        <v>4</v>
      </c>
      <c r="U714" s="65" t="s">
        <v>12</v>
      </c>
      <c r="V714" s="65" t="s">
        <v>1914</v>
      </c>
      <c r="W714" s="65" t="s">
        <v>1919</v>
      </c>
      <c r="X714" s="65" t="s">
        <v>50</v>
      </c>
      <c r="Y714" s="65" t="s">
        <v>2959</v>
      </c>
      <c r="Z714" s="65" t="s">
        <v>4</v>
      </c>
      <c r="AA714" s="65" t="s">
        <v>2828</v>
      </c>
    </row>
    <row r="715" spans="1:27" ht="17.45" hidden="1" customHeight="1">
      <c r="A715" s="100" t="str">
        <f>IF(priority(Main[[#This Row],[Comments]])&lt;&gt;0, priority(Main[[#This Row],[Comments]]),"")</f>
        <v/>
      </c>
      <c r="B715" s="77" t="s">
        <v>1629</v>
      </c>
      <c r="C715" s="65" t="s">
        <v>4</v>
      </c>
      <c r="D715" s="66" t="s">
        <v>702</v>
      </c>
      <c r="E715" s="67">
        <v>40455.919641203705</v>
      </c>
      <c r="F715" s="67"/>
      <c r="G715" s="64" t="str">
        <f>IF(stdProdLT(Main[[#This Row],[Comments]])=0.1,"N/A",IF(stdProdLT(Main[[#This Row],[Comments]])=0,"",stdProdLT(Main[[#This Row],[Comments]])))</f>
        <v/>
      </c>
      <c r="H715" s="68" t="str">
        <f>IF(AND(Main[[#This Row],[In Stock Date]]&lt;&gt;"",Main[[#This Row],[Revised Due Date]]&lt;&gt;""),Main[[#This Row],[In Stock Date]]-Main[[#This Row],[Revised Due Date]],"")</f>
        <v/>
      </c>
      <c r="I715" s="65" t="s">
        <v>4</v>
      </c>
      <c r="J715" s="65" t="s">
        <v>28</v>
      </c>
      <c r="K715" s="65" t="s">
        <v>1926</v>
      </c>
      <c r="L715" s="67"/>
      <c r="M715" s="69" t="str">
        <f>IF(Main[[#This Row],[Tech Start Date]]&lt;1/1/1990,"",IF(Main[[#This Row],[Class]]="C",WORKDAY(Main[[#This Row],[Tech Start Date]],9),IF(Main[[#This Row],[Class]]="B", WORKDAY(Main[[#This Row],[Tech Start Date]],6),IF(Main[[#This Row],[Class]]="A",WORKDAY(Main[[#This Row],[Tech Start Date]],2),""))))</f>
        <v/>
      </c>
      <c r="N715" s="69" t="str">
        <f>IF(Main[[#This Row],[Tech Start Date]]&lt;1/1/1990,"",IF(Main[[#This Row],[Class]]="C",WORKDAY(Main[[#This Row],[Tech Start Date]],19),IF(Main[[#This Row],[Class]]="B", WORKDAY(Main[[#This Row],[Tech Start Date]],12),IF(Main[[#This Row],[Class]]="A",WORKDAY(Main[[#This Row],[Tech Start Date]],4),""))))</f>
        <v/>
      </c>
      <c r="O715" s="69" t="str">
        <f>IF(Main[[#This Row],[Tech Start Date]]&lt;1/1/1990,"",IF(Main[[#This Row],[Class]]="C",WORKDAY(Main[[#This Row],[Tech Start Date]],23),IF(Main[[#This Row],[Class]]="B", WORKDAY(Main[[#This Row],[Tech Start Date]],15),IF(Main[[#This Row],[Class]]="A",WORKDAY(Main[[#This Row],[Tech Start Date]],5),""))))</f>
        <v/>
      </c>
      <c r="P715" s="69" t="str">
        <f>IF(Main[[#This Row],[Tech Start Date]]&lt;1/1/1990,"",IF(Main[[#This Row],[Class]]="C",WORKDAY(Main[[#This Row],[Tech Start Date]],28),IF(Main[[#This Row],[Class]]="B", WORKDAY(Main[[#This Row],[Tech Start Date]],19),IF(Main[[#This Row],[Class]]="A",WORKDAY(Main[[#This Row],[Tech Start Date]],9),""))))</f>
        <v/>
      </c>
      <c r="Q715" s="67">
        <v>40543</v>
      </c>
      <c r="R715" s="67"/>
      <c r="S715" s="65" t="s">
        <v>17</v>
      </c>
      <c r="T715" s="70" t="s">
        <v>4</v>
      </c>
      <c r="U715" s="65" t="s">
        <v>7</v>
      </c>
      <c r="V715" s="65" t="s">
        <v>1914</v>
      </c>
      <c r="W715" s="65" t="s">
        <v>1918</v>
      </c>
      <c r="X715" s="65" t="s">
        <v>129</v>
      </c>
      <c r="Y715" s="65" t="s">
        <v>2933</v>
      </c>
      <c r="Z715" s="65" t="s">
        <v>129</v>
      </c>
      <c r="AA715" s="65" t="s">
        <v>129</v>
      </c>
    </row>
    <row r="716" spans="1:27" ht="17.45" hidden="1" customHeight="1">
      <c r="A716" s="100" t="str">
        <f>IF(priority(Main[[#This Row],[Comments]])&lt;&gt;0, priority(Main[[#This Row],[Comments]]),"")</f>
        <v/>
      </c>
      <c r="B716" s="77" t="s">
        <v>1630</v>
      </c>
      <c r="C716" s="65" t="s">
        <v>4</v>
      </c>
      <c r="D716" s="66" t="s">
        <v>703</v>
      </c>
      <c r="E716" s="67">
        <v>40711.477789351855</v>
      </c>
      <c r="F716" s="67"/>
      <c r="G716" s="64" t="str">
        <f>IF(stdProdLT(Main[[#This Row],[Comments]])=0.1,"N/A",IF(stdProdLT(Main[[#This Row],[Comments]])=0,"",stdProdLT(Main[[#This Row],[Comments]])))</f>
        <v/>
      </c>
      <c r="H716" s="68" t="str">
        <f>IF(AND(Main[[#This Row],[In Stock Date]]&lt;&gt;"",Main[[#This Row],[Revised Due Date]]&lt;&gt;""),Main[[#This Row],[In Stock Date]]-Main[[#This Row],[Revised Due Date]],"")</f>
        <v/>
      </c>
      <c r="I716" s="65" t="s">
        <v>4</v>
      </c>
      <c r="J716" s="65" t="s">
        <v>4</v>
      </c>
      <c r="K716" s="65" t="s">
        <v>4</v>
      </c>
      <c r="L716" s="67"/>
      <c r="M716" s="69" t="str">
        <f>IF(Main[[#This Row],[Tech Start Date]]&lt;1/1/1990,"",IF(Main[[#This Row],[Class]]="C",WORKDAY(Main[[#This Row],[Tech Start Date]],9),IF(Main[[#This Row],[Class]]="B", WORKDAY(Main[[#This Row],[Tech Start Date]],6),IF(Main[[#This Row],[Class]]="A",WORKDAY(Main[[#This Row],[Tech Start Date]],2),""))))</f>
        <v/>
      </c>
      <c r="N716" s="69" t="str">
        <f>IF(Main[[#This Row],[Tech Start Date]]&lt;1/1/1990,"",IF(Main[[#This Row],[Class]]="C",WORKDAY(Main[[#This Row],[Tech Start Date]],19),IF(Main[[#This Row],[Class]]="B", WORKDAY(Main[[#This Row],[Tech Start Date]],12),IF(Main[[#This Row],[Class]]="A",WORKDAY(Main[[#This Row],[Tech Start Date]],4),""))))</f>
        <v/>
      </c>
      <c r="O716" s="69" t="str">
        <f>IF(Main[[#This Row],[Tech Start Date]]&lt;1/1/1990,"",IF(Main[[#This Row],[Class]]="C",WORKDAY(Main[[#This Row],[Tech Start Date]],23),IF(Main[[#This Row],[Class]]="B", WORKDAY(Main[[#This Row],[Tech Start Date]],15),IF(Main[[#This Row],[Class]]="A",WORKDAY(Main[[#This Row],[Tech Start Date]],5),""))))</f>
        <v/>
      </c>
      <c r="P716" s="69" t="str">
        <f>IF(Main[[#This Row],[Tech Start Date]]&lt;1/1/1990,"",IF(Main[[#This Row],[Class]]="C",WORKDAY(Main[[#This Row],[Tech Start Date]],28),IF(Main[[#This Row],[Class]]="B", WORKDAY(Main[[#This Row],[Tech Start Date]],19),IF(Main[[#This Row],[Class]]="A",WORKDAY(Main[[#This Row],[Tech Start Date]],9),""))))</f>
        <v/>
      </c>
      <c r="Q716" s="67">
        <v>40753</v>
      </c>
      <c r="R716" s="67"/>
      <c r="S716" s="65" t="s">
        <v>6</v>
      </c>
      <c r="T716" s="70" t="s">
        <v>4</v>
      </c>
      <c r="U716" s="65" t="s">
        <v>7</v>
      </c>
      <c r="V716" s="65" t="s">
        <v>1914</v>
      </c>
      <c r="W716" s="65" t="s">
        <v>1922</v>
      </c>
      <c r="X716" s="65" t="s">
        <v>2821</v>
      </c>
      <c r="Y716" s="65" t="s">
        <v>2936</v>
      </c>
      <c r="Z716" s="65" t="s">
        <v>4</v>
      </c>
      <c r="AA716" s="65" t="s">
        <v>2821</v>
      </c>
    </row>
    <row r="717" spans="1:27" ht="17.45" hidden="1" customHeight="1">
      <c r="A717" s="100" t="str">
        <f>IF(priority(Main[[#This Row],[Comments]])&lt;&gt;0, priority(Main[[#This Row],[Comments]]),"")</f>
        <v/>
      </c>
      <c r="B717" s="77" t="s">
        <v>1632</v>
      </c>
      <c r="C717" s="65" t="s">
        <v>47</v>
      </c>
      <c r="D717" s="66" t="s">
        <v>705</v>
      </c>
      <c r="E717" s="67"/>
      <c r="F717" s="67"/>
      <c r="G717" s="64" t="str">
        <f>IF(stdProdLT(Main[[#This Row],[Comments]])=0.1,"N/A",IF(stdProdLT(Main[[#This Row],[Comments]])=0,"",stdProdLT(Main[[#This Row],[Comments]])))</f>
        <v/>
      </c>
      <c r="H717" s="68" t="str">
        <f>IF(AND(Main[[#This Row],[In Stock Date]]&lt;&gt;"",Main[[#This Row],[Revised Due Date]]&lt;&gt;""),Main[[#This Row],[In Stock Date]]-Main[[#This Row],[Revised Due Date]],"")</f>
        <v/>
      </c>
      <c r="I717" s="65" t="s">
        <v>4</v>
      </c>
      <c r="J717" s="65" t="s">
        <v>4</v>
      </c>
      <c r="K717" s="65" t="s">
        <v>4</v>
      </c>
      <c r="L717" s="67"/>
      <c r="M717" s="69" t="str">
        <f>IF(Main[[#This Row],[Tech Start Date]]&lt;1/1/1990,"",IF(Main[[#This Row],[Class]]="C",WORKDAY(Main[[#This Row],[Tech Start Date]],9),IF(Main[[#This Row],[Class]]="B", WORKDAY(Main[[#This Row],[Tech Start Date]],6),IF(Main[[#This Row],[Class]]="A",WORKDAY(Main[[#This Row],[Tech Start Date]],2),""))))</f>
        <v/>
      </c>
      <c r="N717" s="69" t="str">
        <f>IF(Main[[#This Row],[Tech Start Date]]&lt;1/1/1990,"",IF(Main[[#This Row],[Class]]="C",WORKDAY(Main[[#This Row],[Tech Start Date]],19),IF(Main[[#This Row],[Class]]="B", WORKDAY(Main[[#This Row],[Tech Start Date]],12),IF(Main[[#This Row],[Class]]="A",WORKDAY(Main[[#This Row],[Tech Start Date]],4),""))))</f>
        <v/>
      </c>
      <c r="O717" s="69" t="str">
        <f>IF(Main[[#This Row],[Tech Start Date]]&lt;1/1/1990,"",IF(Main[[#This Row],[Class]]="C",WORKDAY(Main[[#This Row],[Tech Start Date]],23),IF(Main[[#This Row],[Class]]="B", WORKDAY(Main[[#This Row],[Tech Start Date]],15),IF(Main[[#This Row],[Class]]="A",WORKDAY(Main[[#This Row],[Tech Start Date]],5),""))))</f>
        <v/>
      </c>
      <c r="P717" s="69" t="str">
        <f>IF(Main[[#This Row],[Tech Start Date]]&lt;1/1/1990,"",IF(Main[[#This Row],[Class]]="C",WORKDAY(Main[[#This Row],[Tech Start Date]],28),IF(Main[[#This Row],[Class]]="B", WORKDAY(Main[[#This Row],[Tech Start Date]],19),IF(Main[[#This Row],[Class]]="A",WORKDAY(Main[[#This Row],[Tech Start Date]],9),""))))</f>
        <v/>
      </c>
      <c r="Q717" s="67"/>
      <c r="R717" s="67"/>
      <c r="S717" s="65" t="s">
        <v>49</v>
      </c>
      <c r="T717" s="70" t="s">
        <v>4</v>
      </c>
      <c r="U717" s="65" t="s">
        <v>14</v>
      </c>
      <c r="V717" s="65" t="s">
        <v>1917</v>
      </c>
      <c r="W717" s="65" t="s">
        <v>1918</v>
      </c>
      <c r="X717" s="65" t="s">
        <v>306</v>
      </c>
      <c r="Y717" s="65" t="s">
        <v>2941</v>
      </c>
      <c r="Z717" s="65" t="s">
        <v>4</v>
      </c>
      <c r="AA717" s="65" t="s">
        <v>3377</v>
      </c>
    </row>
    <row r="718" spans="1:27" ht="17.45" hidden="1" customHeight="1">
      <c r="A718" s="100" t="str">
        <f>IF(priority(Main[[#This Row],[Comments]])&lt;&gt;0, priority(Main[[#This Row],[Comments]]),"")</f>
        <v/>
      </c>
      <c r="B718" s="77" t="s">
        <v>1457</v>
      </c>
      <c r="C718" s="65" t="s">
        <v>4</v>
      </c>
      <c r="D718" s="66" t="s">
        <v>524</v>
      </c>
      <c r="E718" s="67">
        <v>40926.590763888889</v>
      </c>
      <c r="F718" s="67"/>
      <c r="G718" s="64" t="str">
        <f>IF(stdProdLT(Main[[#This Row],[Comments]])=0.1,"N/A",IF(stdProdLT(Main[[#This Row],[Comments]])=0,"",stdProdLT(Main[[#This Row],[Comments]])))</f>
        <v/>
      </c>
      <c r="H718" s="68" t="str">
        <f>IF(AND(Main[[#This Row],[In Stock Date]]&lt;&gt;"",Main[[#This Row],[Revised Due Date]]&lt;&gt;""),Main[[#This Row],[In Stock Date]]-Main[[#This Row],[Revised Due Date]],"")</f>
        <v/>
      </c>
      <c r="I718" s="65" t="s">
        <v>530</v>
      </c>
      <c r="J718" s="65" t="s">
        <v>28</v>
      </c>
      <c r="K718" s="71" t="s">
        <v>1923</v>
      </c>
      <c r="L718" s="67"/>
      <c r="M718" s="69" t="str">
        <f>IF(Main[[#This Row],[Tech Start Date]]&lt;1/1/1990,"",IF(Main[[#This Row],[Class]]="C",WORKDAY(Main[[#This Row],[Tech Start Date]],9),IF(Main[[#This Row],[Class]]="B", WORKDAY(Main[[#This Row],[Tech Start Date]],6),IF(Main[[#This Row],[Class]]="A",WORKDAY(Main[[#This Row],[Tech Start Date]],2),""))))</f>
        <v/>
      </c>
      <c r="N718" s="69" t="str">
        <f>IF(Main[[#This Row],[Tech Start Date]]&lt;1/1/1990,"",IF(Main[[#This Row],[Class]]="C",WORKDAY(Main[[#This Row],[Tech Start Date]],19),IF(Main[[#This Row],[Class]]="B", WORKDAY(Main[[#This Row],[Tech Start Date]],12),IF(Main[[#This Row],[Class]]="A",WORKDAY(Main[[#This Row],[Tech Start Date]],4),""))))</f>
        <v/>
      </c>
      <c r="O718" s="69" t="str">
        <f>IF(Main[[#This Row],[Tech Start Date]]&lt;1/1/1990,"",IF(Main[[#This Row],[Class]]="C",WORKDAY(Main[[#This Row],[Tech Start Date]],23),IF(Main[[#This Row],[Class]]="B", WORKDAY(Main[[#This Row],[Tech Start Date]],15),IF(Main[[#This Row],[Class]]="A",WORKDAY(Main[[#This Row],[Tech Start Date]],5),""))))</f>
        <v/>
      </c>
      <c r="P718" s="69" t="str">
        <f>IF(Main[[#This Row],[Tech Start Date]]&lt;1/1/1990,"",IF(Main[[#This Row],[Class]]="C",WORKDAY(Main[[#This Row],[Tech Start Date]],28),IF(Main[[#This Row],[Class]]="B", WORKDAY(Main[[#This Row],[Tech Start Date]],19),IF(Main[[#This Row],[Class]]="A",WORKDAY(Main[[#This Row],[Tech Start Date]],9),""))))</f>
        <v/>
      </c>
      <c r="Q718" s="67"/>
      <c r="R718" s="67"/>
      <c r="S718" s="65" t="s">
        <v>6</v>
      </c>
      <c r="T718" s="70" t="s">
        <v>4</v>
      </c>
      <c r="U718" s="65" t="s">
        <v>29</v>
      </c>
      <c r="V718" s="65" t="s">
        <v>1917</v>
      </c>
      <c r="W718" s="65" t="s">
        <v>1918</v>
      </c>
      <c r="X718" s="65" t="s">
        <v>2819</v>
      </c>
      <c r="Y718" s="65" t="s">
        <v>2932</v>
      </c>
      <c r="Z718" s="65" t="s">
        <v>30</v>
      </c>
      <c r="AA718" s="65" t="s">
        <v>2819</v>
      </c>
    </row>
    <row r="719" spans="1:27" ht="17.45" hidden="1" customHeight="1">
      <c r="A719" s="100" t="str">
        <f>IF(priority(Main[[#This Row],[Comments]])&lt;&gt;0, priority(Main[[#This Row],[Comments]]),"")</f>
        <v/>
      </c>
      <c r="B719" s="77" t="s">
        <v>2047</v>
      </c>
      <c r="C719" s="65" t="s">
        <v>4</v>
      </c>
      <c r="D719" s="66" t="s">
        <v>2048</v>
      </c>
      <c r="E719" s="67">
        <v>40753.114606481482</v>
      </c>
      <c r="F719" s="67"/>
      <c r="G719" s="64" t="str">
        <f>IF(stdProdLT(Main[[#This Row],[Comments]])=0.1,"N/A",IF(stdProdLT(Main[[#This Row],[Comments]])=0,"",stdProdLT(Main[[#This Row],[Comments]])))</f>
        <v/>
      </c>
      <c r="H719" s="68" t="str">
        <f>IF(AND(Main[[#This Row],[In Stock Date]]&lt;&gt;"",Main[[#This Row],[Revised Due Date]]&lt;&gt;""),Main[[#This Row],[In Stock Date]]-Main[[#This Row],[Revised Due Date]],"")</f>
        <v/>
      </c>
      <c r="I719" s="65" t="s">
        <v>4</v>
      </c>
      <c r="J719" s="65" t="s">
        <v>4</v>
      </c>
      <c r="K719" s="65" t="s">
        <v>4</v>
      </c>
      <c r="L719" s="67"/>
      <c r="M719" s="69" t="str">
        <f>IF(Main[[#This Row],[Tech Start Date]]&lt;1/1/1990,"",IF(Main[[#This Row],[Class]]="C",WORKDAY(Main[[#This Row],[Tech Start Date]],9),IF(Main[[#This Row],[Class]]="B", WORKDAY(Main[[#This Row],[Tech Start Date]],6),IF(Main[[#This Row],[Class]]="A",WORKDAY(Main[[#This Row],[Tech Start Date]],2),""))))</f>
        <v/>
      </c>
      <c r="N719" s="69" t="str">
        <f>IF(Main[[#This Row],[Tech Start Date]]&lt;1/1/1990,"",IF(Main[[#This Row],[Class]]="C",WORKDAY(Main[[#This Row],[Tech Start Date]],19),IF(Main[[#This Row],[Class]]="B", WORKDAY(Main[[#This Row],[Tech Start Date]],12),IF(Main[[#This Row],[Class]]="A",WORKDAY(Main[[#This Row],[Tech Start Date]],4),""))))</f>
        <v/>
      </c>
      <c r="O719" s="69" t="str">
        <f>IF(Main[[#This Row],[Tech Start Date]]&lt;1/1/1990,"",IF(Main[[#This Row],[Class]]="C",WORKDAY(Main[[#This Row],[Tech Start Date]],23),IF(Main[[#This Row],[Class]]="B", WORKDAY(Main[[#This Row],[Tech Start Date]],15),IF(Main[[#This Row],[Class]]="A",WORKDAY(Main[[#This Row],[Tech Start Date]],5),""))))</f>
        <v/>
      </c>
      <c r="P719" s="69" t="str">
        <f>IF(Main[[#This Row],[Tech Start Date]]&lt;1/1/1990,"",IF(Main[[#This Row],[Class]]="C",WORKDAY(Main[[#This Row],[Tech Start Date]],28),IF(Main[[#This Row],[Class]]="B", WORKDAY(Main[[#This Row],[Tech Start Date]],19),IF(Main[[#This Row],[Class]]="A",WORKDAY(Main[[#This Row],[Tech Start Date]],9),""))))</f>
        <v/>
      </c>
      <c r="Q719" s="67">
        <v>40786</v>
      </c>
      <c r="R719" s="67"/>
      <c r="S719" s="65" t="s">
        <v>6</v>
      </c>
      <c r="T719" s="70" t="s">
        <v>4</v>
      </c>
      <c r="U719" s="65" t="s">
        <v>7</v>
      </c>
      <c r="V719" s="65" t="s">
        <v>1914</v>
      </c>
      <c r="W719" s="65" t="s">
        <v>4</v>
      </c>
      <c r="X719" s="65" t="s">
        <v>2822</v>
      </c>
      <c r="Y719" s="65" t="s">
        <v>2938</v>
      </c>
      <c r="Z719" s="65" t="s">
        <v>4</v>
      </c>
      <c r="AA719" s="65" t="s">
        <v>2822</v>
      </c>
    </row>
    <row r="720" spans="1:27" ht="17.45" hidden="1" customHeight="1">
      <c r="A720" s="100" t="str">
        <f>IF(priority(Main[[#This Row],[Comments]])&lt;&gt;0, priority(Main[[#This Row],[Comments]]),"")</f>
        <v/>
      </c>
      <c r="B720" s="77" t="s">
        <v>1640</v>
      </c>
      <c r="C720" s="65" t="s">
        <v>4</v>
      </c>
      <c r="D720" s="66" t="s">
        <v>39</v>
      </c>
      <c r="E720" s="67"/>
      <c r="F720" s="67"/>
      <c r="G720" s="64" t="str">
        <f>IF(stdProdLT(Main[[#This Row],[Comments]])=0.1,"N/A",IF(stdProdLT(Main[[#This Row],[Comments]])=0,"",stdProdLT(Main[[#This Row],[Comments]])))</f>
        <v/>
      </c>
      <c r="H720" s="68" t="str">
        <f>IF(AND(Main[[#This Row],[In Stock Date]]&lt;&gt;"",Main[[#This Row],[Revised Due Date]]&lt;&gt;""),Main[[#This Row],[In Stock Date]]-Main[[#This Row],[Revised Due Date]],"")</f>
        <v/>
      </c>
      <c r="I720" s="65" t="s">
        <v>4</v>
      </c>
      <c r="J720" s="65" t="s">
        <v>4</v>
      </c>
      <c r="K720" s="71" t="s">
        <v>4</v>
      </c>
      <c r="L720" s="67"/>
      <c r="M720" s="69" t="str">
        <f>IF(Main[[#This Row],[Tech Start Date]]&lt;1/1/1990,"",IF(Main[[#This Row],[Class]]="C",WORKDAY(Main[[#This Row],[Tech Start Date]],9),IF(Main[[#This Row],[Class]]="B", WORKDAY(Main[[#This Row],[Tech Start Date]],6),IF(Main[[#This Row],[Class]]="A",WORKDAY(Main[[#This Row],[Tech Start Date]],2),""))))</f>
        <v/>
      </c>
      <c r="N720" s="69" t="str">
        <f>IF(Main[[#This Row],[Tech Start Date]]&lt;1/1/1990,"",IF(Main[[#This Row],[Class]]="C",WORKDAY(Main[[#This Row],[Tech Start Date]],19),IF(Main[[#This Row],[Class]]="B", WORKDAY(Main[[#This Row],[Tech Start Date]],12),IF(Main[[#This Row],[Class]]="A",WORKDAY(Main[[#This Row],[Tech Start Date]],4),""))))</f>
        <v/>
      </c>
      <c r="O720" s="69" t="str">
        <f>IF(Main[[#This Row],[Tech Start Date]]&lt;1/1/1990,"",IF(Main[[#This Row],[Class]]="C",WORKDAY(Main[[#This Row],[Tech Start Date]],23),IF(Main[[#This Row],[Class]]="B", WORKDAY(Main[[#This Row],[Tech Start Date]],15),IF(Main[[#This Row],[Class]]="A",WORKDAY(Main[[#This Row],[Tech Start Date]],5),""))))</f>
        <v/>
      </c>
      <c r="P720" s="69" t="str">
        <f>IF(Main[[#This Row],[Tech Start Date]]&lt;1/1/1990,"",IF(Main[[#This Row],[Class]]="C",WORKDAY(Main[[#This Row],[Tech Start Date]],28),IF(Main[[#This Row],[Class]]="B", WORKDAY(Main[[#This Row],[Tech Start Date]],19),IF(Main[[#This Row],[Class]]="A",WORKDAY(Main[[#This Row],[Tech Start Date]],9),""))))</f>
        <v/>
      </c>
      <c r="Q720" s="67">
        <v>40669</v>
      </c>
      <c r="R720" s="67"/>
      <c r="S720" s="65" t="s">
        <v>6</v>
      </c>
      <c r="T720" s="70" t="s">
        <v>4</v>
      </c>
      <c r="U720" s="65" t="s">
        <v>14</v>
      </c>
      <c r="V720" s="65" t="s">
        <v>1917</v>
      </c>
      <c r="W720" s="65" t="s">
        <v>4</v>
      </c>
      <c r="X720" s="65" t="s">
        <v>2818</v>
      </c>
      <c r="Y720" s="65" t="s">
        <v>2929</v>
      </c>
      <c r="Z720" s="65" t="s">
        <v>4</v>
      </c>
      <c r="AA720" s="65" t="s">
        <v>2818</v>
      </c>
    </row>
    <row r="721" spans="1:27" ht="17.45" hidden="1" customHeight="1">
      <c r="A721" s="100" t="str">
        <f>IF(priority(Main[[#This Row],[Comments]])&lt;&gt;0, priority(Main[[#This Row],[Comments]]),"")</f>
        <v/>
      </c>
      <c r="B721" s="77" t="s">
        <v>1638</v>
      </c>
      <c r="C721" s="65" t="s">
        <v>67</v>
      </c>
      <c r="D721" s="66" t="s">
        <v>709</v>
      </c>
      <c r="E721" s="67"/>
      <c r="F721" s="67">
        <v>40751</v>
      </c>
      <c r="G721" s="64" t="str">
        <f>IF(stdProdLT(Main[[#This Row],[Comments]])=0.1,"N/A",IF(stdProdLT(Main[[#This Row],[Comments]])=0,"",stdProdLT(Main[[#This Row],[Comments]])))</f>
        <v/>
      </c>
      <c r="H721" s="68" t="str">
        <f>IF(AND(Main[[#This Row],[In Stock Date]]&lt;&gt;"",Main[[#This Row],[Revised Due Date]]&lt;&gt;""),Main[[#This Row],[In Stock Date]]-Main[[#This Row],[Revised Due Date]],"")</f>
        <v/>
      </c>
      <c r="I721" s="65" t="s">
        <v>4</v>
      </c>
      <c r="J721" s="65" t="s">
        <v>28</v>
      </c>
      <c r="K721" s="65" t="s">
        <v>1926</v>
      </c>
      <c r="L721" s="67"/>
      <c r="M721" s="69" t="str">
        <f>IF(Main[[#This Row],[Tech Start Date]]&lt;1/1/1990,"",IF(Main[[#This Row],[Class]]="C",WORKDAY(Main[[#This Row],[Tech Start Date]],9),IF(Main[[#This Row],[Class]]="B", WORKDAY(Main[[#This Row],[Tech Start Date]],6),IF(Main[[#This Row],[Class]]="A",WORKDAY(Main[[#This Row],[Tech Start Date]],2),""))))</f>
        <v/>
      </c>
      <c r="N721" s="69" t="str">
        <f>IF(Main[[#This Row],[Tech Start Date]]&lt;1/1/1990,"",IF(Main[[#This Row],[Class]]="C",WORKDAY(Main[[#This Row],[Tech Start Date]],19),IF(Main[[#This Row],[Class]]="B", WORKDAY(Main[[#This Row],[Tech Start Date]],12),IF(Main[[#This Row],[Class]]="A",WORKDAY(Main[[#This Row],[Tech Start Date]],4),""))))</f>
        <v/>
      </c>
      <c r="O721" s="69" t="str">
        <f>IF(Main[[#This Row],[Tech Start Date]]&lt;1/1/1990,"",IF(Main[[#This Row],[Class]]="C",WORKDAY(Main[[#This Row],[Tech Start Date]],23),IF(Main[[#This Row],[Class]]="B", WORKDAY(Main[[#This Row],[Tech Start Date]],15),IF(Main[[#This Row],[Class]]="A",WORKDAY(Main[[#This Row],[Tech Start Date]],5),""))))</f>
        <v/>
      </c>
      <c r="P721" s="69" t="str">
        <f>IF(Main[[#This Row],[Tech Start Date]]&lt;1/1/1990,"",IF(Main[[#This Row],[Class]]="C",WORKDAY(Main[[#This Row],[Tech Start Date]],28),IF(Main[[#This Row],[Class]]="B", WORKDAY(Main[[#This Row],[Tech Start Date]],19),IF(Main[[#This Row],[Class]]="A",WORKDAY(Main[[#This Row],[Tech Start Date]],9),""))))</f>
        <v/>
      </c>
      <c r="Q721" s="67">
        <v>40581</v>
      </c>
      <c r="R721" s="67"/>
      <c r="S721" s="65" t="s">
        <v>17</v>
      </c>
      <c r="T721" s="70" t="s">
        <v>4</v>
      </c>
      <c r="U721" s="65" t="s">
        <v>14</v>
      </c>
      <c r="V721" s="65" t="s">
        <v>1917</v>
      </c>
      <c r="W721" s="65" t="s">
        <v>1920</v>
      </c>
      <c r="X721" s="65" t="s">
        <v>2829</v>
      </c>
      <c r="Y721" s="65" t="s">
        <v>2951</v>
      </c>
      <c r="Z721" s="65" t="s">
        <v>968</v>
      </c>
      <c r="AA721" s="65" t="s">
        <v>2829</v>
      </c>
    </row>
    <row r="722" spans="1:27" ht="17.45" hidden="1" customHeight="1">
      <c r="A722" s="100" t="str">
        <f>IF(priority(Main[[#This Row],[Comments]])&lt;&gt;0, priority(Main[[#This Row],[Comments]]),"")</f>
        <v/>
      </c>
      <c r="B722" s="77" t="s">
        <v>1991</v>
      </c>
      <c r="C722" s="65" t="s">
        <v>4</v>
      </c>
      <c r="D722" s="66" t="s">
        <v>1992</v>
      </c>
      <c r="E722" s="67">
        <v>40737.450219907405</v>
      </c>
      <c r="F722" s="67"/>
      <c r="G722" s="64" t="str">
        <f>IF(stdProdLT(Main[[#This Row],[Comments]])=0.1,"N/A",IF(stdProdLT(Main[[#This Row],[Comments]])=0,"",stdProdLT(Main[[#This Row],[Comments]])))</f>
        <v/>
      </c>
      <c r="H722" s="68" t="str">
        <f>IF(AND(Main[[#This Row],[In Stock Date]]&lt;&gt;"",Main[[#This Row],[Revised Due Date]]&lt;&gt;""),Main[[#This Row],[In Stock Date]]-Main[[#This Row],[Revised Due Date]],"")</f>
        <v/>
      </c>
      <c r="I722" s="65" t="s">
        <v>4</v>
      </c>
      <c r="J722" s="65" t="s">
        <v>4</v>
      </c>
      <c r="K722" s="71" t="s">
        <v>4</v>
      </c>
      <c r="L722" s="67"/>
      <c r="M722" s="69" t="str">
        <f>IF(Main[[#This Row],[Tech Start Date]]&lt;1/1/1990,"",IF(Main[[#This Row],[Class]]="C",WORKDAY(Main[[#This Row],[Tech Start Date]],9),IF(Main[[#This Row],[Class]]="B", WORKDAY(Main[[#This Row],[Tech Start Date]],6),IF(Main[[#This Row],[Class]]="A",WORKDAY(Main[[#This Row],[Tech Start Date]],2),""))))</f>
        <v/>
      </c>
      <c r="N722" s="69" t="str">
        <f>IF(Main[[#This Row],[Tech Start Date]]&lt;1/1/1990,"",IF(Main[[#This Row],[Class]]="C",WORKDAY(Main[[#This Row],[Tech Start Date]],19),IF(Main[[#This Row],[Class]]="B", WORKDAY(Main[[#This Row],[Tech Start Date]],12),IF(Main[[#This Row],[Class]]="A",WORKDAY(Main[[#This Row],[Tech Start Date]],4),""))))</f>
        <v/>
      </c>
      <c r="O722" s="69" t="str">
        <f>IF(Main[[#This Row],[Tech Start Date]]&lt;1/1/1990,"",IF(Main[[#This Row],[Class]]="C",WORKDAY(Main[[#This Row],[Tech Start Date]],23),IF(Main[[#This Row],[Class]]="B", WORKDAY(Main[[#This Row],[Tech Start Date]],15),IF(Main[[#This Row],[Class]]="A",WORKDAY(Main[[#This Row],[Tech Start Date]],5),""))))</f>
        <v/>
      </c>
      <c r="P722" s="69" t="str">
        <f>IF(Main[[#This Row],[Tech Start Date]]&lt;1/1/1990,"",IF(Main[[#This Row],[Class]]="C",WORKDAY(Main[[#This Row],[Tech Start Date]],28),IF(Main[[#This Row],[Class]]="B", WORKDAY(Main[[#This Row],[Tech Start Date]],19),IF(Main[[#This Row],[Class]]="A",WORKDAY(Main[[#This Row],[Tech Start Date]],9),""))))</f>
        <v/>
      </c>
      <c r="Q722" s="67">
        <v>40759</v>
      </c>
      <c r="R722" s="67"/>
      <c r="S722" s="65" t="s">
        <v>6</v>
      </c>
      <c r="T722" s="70" t="s">
        <v>4</v>
      </c>
      <c r="U722" s="65" t="s">
        <v>7</v>
      </c>
      <c r="V722" s="65" t="s">
        <v>1914</v>
      </c>
      <c r="W722" s="65" t="s">
        <v>1922</v>
      </c>
      <c r="X722" s="65" t="s">
        <v>2821</v>
      </c>
      <c r="Y722" s="65" t="s">
        <v>2936</v>
      </c>
      <c r="Z722" s="65" t="s">
        <v>4</v>
      </c>
      <c r="AA722" s="65" t="s">
        <v>2821</v>
      </c>
    </row>
    <row r="723" spans="1:27" ht="17.45" hidden="1" customHeight="1">
      <c r="A723" s="100" t="str">
        <f>IF(priority(Main[[#This Row],[Comments]])&lt;&gt;0, priority(Main[[#This Row],[Comments]]),"")</f>
        <v/>
      </c>
      <c r="B723" s="77" t="s">
        <v>1437</v>
      </c>
      <c r="C723" s="65" t="s">
        <v>180</v>
      </c>
      <c r="D723" s="66" t="s">
        <v>515</v>
      </c>
      <c r="E723" s="67"/>
      <c r="F723" s="67">
        <v>40374</v>
      </c>
      <c r="G723" s="64" t="str">
        <f>IF(stdProdLT(Main[[#This Row],[Comments]])=0.1,"N/A",IF(stdProdLT(Main[[#This Row],[Comments]])=0,"",stdProdLT(Main[[#This Row],[Comments]])))</f>
        <v/>
      </c>
      <c r="H723" s="68" t="str">
        <f>IF(AND(Main[[#This Row],[In Stock Date]]&lt;&gt;"",Main[[#This Row],[Revised Due Date]]&lt;&gt;""),Main[[#This Row],[In Stock Date]]-Main[[#This Row],[Revised Due Date]],"")</f>
        <v/>
      </c>
      <c r="I723" s="65" t="s">
        <v>4</v>
      </c>
      <c r="J723" s="65" t="s">
        <v>4</v>
      </c>
      <c r="K723" s="65" t="s">
        <v>4</v>
      </c>
      <c r="L723" s="67"/>
      <c r="M723" s="69" t="str">
        <f>IF(Main[[#This Row],[Tech Start Date]]&lt;1/1/1990,"",IF(Main[[#This Row],[Class]]="C",WORKDAY(Main[[#This Row],[Tech Start Date]],9),IF(Main[[#This Row],[Class]]="B", WORKDAY(Main[[#This Row],[Tech Start Date]],6),IF(Main[[#This Row],[Class]]="A",WORKDAY(Main[[#This Row],[Tech Start Date]],2),""))))</f>
        <v/>
      </c>
      <c r="N723" s="69" t="str">
        <f>IF(Main[[#This Row],[Tech Start Date]]&lt;1/1/1990,"",IF(Main[[#This Row],[Class]]="C",WORKDAY(Main[[#This Row],[Tech Start Date]],19),IF(Main[[#This Row],[Class]]="B", WORKDAY(Main[[#This Row],[Tech Start Date]],12),IF(Main[[#This Row],[Class]]="A",WORKDAY(Main[[#This Row],[Tech Start Date]],4),""))))</f>
        <v/>
      </c>
      <c r="O723" s="69" t="str">
        <f>IF(Main[[#This Row],[Tech Start Date]]&lt;1/1/1990,"",IF(Main[[#This Row],[Class]]="C",WORKDAY(Main[[#This Row],[Tech Start Date]],23),IF(Main[[#This Row],[Class]]="B", WORKDAY(Main[[#This Row],[Tech Start Date]],15),IF(Main[[#This Row],[Class]]="A",WORKDAY(Main[[#This Row],[Tech Start Date]],5),""))))</f>
        <v/>
      </c>
      <c r="P723" s="69" t="str">
        <f>IF(Main[[#This Row],[Tech Start Date]]&lt;1/1/1990,"",IF(Main[[#This Row],[Class]]="C",WORKDAY(Main[[#This Row],[Tech Start Date]],28),IF(Main[[#This Row],[Class]]="B", WORKDAY(Main[[#This Row],[Tech Start Date]],19),IF(Main[[#This Row],[Class]]="A",WORKDAY(Main[[#This Row],[Tech Start Date]],9),""))))</f>
        <v/>
      </c>
      <c r="Q723" s="67">
        <v>40298</v>
      </c>
      <c r="R723" s="67"/>
      <c r="S723" s="65" t="s">
        <v>11</v>
      </c>
      <c r="T723" s="70" t="s">
        <v>4</v>
      </c>
      <c r="U723" s="65" t="s">
        <v>14</v>
      </c>
      <c r="V723" s="65" t="s">
        <v>1914</v>
      </c>
      <c r="W723" s="65" t="s">
        <v>1920</v>
      </c>
      <c r="X723" s="65" t="s">
        <v>2824</v>
      </c>
      <c r="Y723" s="65" t="s">
        <v>2943</v>
      </c>
      <c r="Z723" s="65" t="s">
        <v>4</v>
      </c>
      <c r="AA723" s="65" t="s">
        <v>2824</v>
      </c>
    </row>
    <row r="724" spans="1:27" ht="17.45" hidden="1" customHeight="1">
      <c r="A724" s="100" t="str">
        <f>IF(priority(Main[[#This Row],[Comments]])&lt;&gt;0, priority(Main[[#This Row],[Comments]]),"")</f>
        <v/>
      </c>
      <c r="B724" s="77" t="s">
        <v>1641</v>
      </c>
      <c r="C724" s="65" t="s">
        <v>4</v>
      </c>
      <c r="D724" s="66" t="s">
        <v>710</v>
      </c>
      <c r="E724" s="67"/>
      <c r="F724" s="67"/>
      <c r="G724" s="64" t="str">
        <f>IF(stdProdLT(Main[[#This Row],[Comments]])=0.1,"N/A",IF(stdProdLT(Main[[#This Row],[Comments]])=0,"",stdProdLT(Main[[#This Row],[Comments]])))</f>
        <v/>
      </c>
      <c r="H724" s="68" t="str">
        <f>IF(AND(Main[[#This Row],[In Stock Date]]&lt;&gt;"",Main[[#This Row],[Revised Due Date]]&lt;&gt;""),Main[[#This Row],[In Stock Date]]-Main[[#This Row],[Revised Due Date]],"")</f>
        <v/>
      </c>
      <c r="I724" s="65" t="s">
        <v>4</v>
      </c>
      <c r="J724" s="65" t="s">
        <v>28</v>
      </c>
      <c r="K724" s="65" t="s">
        <v>1923</v>
      </c>
      <c r="L724" s="67"/>
      <c r="M724" s="69" t="str">
        <f>IF(Main[[#This Row],[Tech Start Date]]&lt;1/1/1990,"",IF(Main[[#This Row],[Class]]="C",WORKDAY(Main[[#This Row],[Tech Start Date]],9),IF(Main[[#This Row],[Class]]="B", WORKDAY(Main[[#This Row],[Tech Start Date]],6),IF(Main[[#This Row],[Class]]="A",WORKDAY(Main[[#This Row],[Tech Start Date]],2),""))))</f>
        <v/>
      </c>
      <c r="N724" s="69" t="str">
        <f>IF(Main[[#This Row],[Tech Start Date]]&lt;1/1/1990,"",IF(Main[[#This Row],[Class]]="C",WORKDAY(Main[[#This Row],[Tech Start Date]],19),IF(Main[[#This Row],[Class]]="B", WORKDAY(Main[[#This Row],[Tech Start Date]],12),IF(Main[[#This Row],[Class]]="A",WORKDAY(Main[[#This Row],[Tech Start Date]],4),""))))</f>
        <v/>
      </c>
      <c r="O724" s="69" t="str">
        <f>IF(Main[[#This Row],[Tech Start Date]]&lt;1/1/1990,"",IF(Main[[#This Row],[Class]]="C",WORKDAY(Main[[#This Row],[Tech Start Date]],23),IF(Main[[#This Row],[Class]]="B", WORKDAY(Main[[#This Row],[Tech Start Date]],15),IF(Main[[#This Row],[Class]]="A",WORKDAY(Main[[#This Row],[Tech Start Date]],5),""))))</f>
        <v/>
      </c>
      <c r="P724" s="69" t="str">
        <f>IF(Main[[#This Row],[Tech Start Date]]&lt;1/1/1990,"",IF(Main[[#This Row],[Class]]="C",WORKDAY(Main[[#This Row],[Tech Start Date]],28),IF(Main[[#This Row],[Class]]="B", WORKDAY(Main[[#This Row],[Tech Start Date]],19),IF(Main[[#This Row],[Class]]="A",WORKDAY(Main[[#This Row],[Tech Start Date]],9),""))))</f>
        <v/>
      </c>
      <c r="Q724" s="67">
        <v>40647</v>
      </c>
      <c r="R724" s="67"/>
      <c r="S724" s="65" t="s">
        <v>6</v>
      </c>
      <c r="T724" s="70" t="s">
        <v>4</v>
      </c>
      <c r="U724" s="65" t="s">
        <v>14</v>
      </c>
      <c r="V724" s="65" t="s">
        <v>1914</v>
      </c>
      <c r="W724" s="65" t="s">
        <v>1918</v>
      </c>
      <c r="X724" s="65" t="s">
        <v>2821</v>
      </c>
      <c r="Y724" s="65" t="s">
        <v>2936</v>
      </c>
      <c r="Z724" s="65" t="s">
        <v>129</v>
      </c>
      <c r="AA724" s="65" t="s">
        <v>2821</v>
      </c>
    </row>
    <row r="725" spans="1:27" ht="17.45" hidden="1" customHeight="1">
      <c r="A725" s="100" t="str">
        <f>IF(priority(Main[[#This Row],[Comments]])&lt;&gt;0, priority(Main[[#This Row],[Comments]]),"")</f>
        <v/>
      </c>
      <c r="B725" s="77" t="s">
        <v>3256</v>
      </c>
      <c r="C725" s="65" t="s">
        <v>4</v>
      </c>
      <c r="D725" s="66" t="s">
        <v>3333</v>
      </c>
      <c r="E725" s="67">
        <v>40931.598935185182</v>
      </c>
      <c r="F725" s="67"/>
      <c r="G725" s="64" t="str">
        <f>IF(stdProdLT(Main[[#This Row],[Comments]])=0.1,"N/A",IF(stdProdLT(Main[[#This Row],[Comments]])=0,"",stdProdLT(Main[[#This Row],[Comments]])))</f>
        <v/>
      </c>
      <c r="H725" s="68" t="str">
        <f>IF(AND(Main[[#This Row],[In Stock Date]]&lt;&gt;"",Main[[#This Row],[Revised Due Date]]&lt;&gt;""),Main[[#This Row],[In Stock Date]]-Main[[#This Row],[Revised Due Date]],"")</f>
        <v/>
      </c>
      <c r="I725" s="65" t="s">
        <v>4</v>
      </c>
      <c r="J725" s="65" t="s">
        <v>4</v>
      </c>
      <c r="K725" s="65" t="s">
        <v>4</v>
      </c>
      <c r="L725" s="67"/>
      <c r="M725" s="69" t="str">
        <f>IF(Main[[#This Row],[Tech Start Date]]&lt;1/1/1990,"",IF(Main[[#This Row],[Class]]="C",WORKDAY(Main[[#This Row],[Tech Start Date]],9),IF(Main[[#This Row],[Class]]="B", WORKDAY(Main[[#This Row],[Tech Start Date]],6),IF(Main[[#This Row],[Class]]="A",WORKDAY(Main[[#This Row],[Tech Start Date]],2),""))))</f>
        <v/>
      </c>
      <c r="N725" s="69" t="str">
        <f>IF(Main[[#This Row],[Tech Start Date]]&lt;1/1/1990,"",IF(Main[[#This Row],[Class]]="C",WORKDAY(Main[[#This Row],[Tech Start Date]],19),IF(Main[[#This Row],[Class]]="B", WORKDAY(Main[[#This Row],[Tech Start Date]],12),IF(Main[[#This Row],[Class]]="A",WORKDAY(Main[[#This Row],[Tech Start Date]],4),""))))</f>
        <v/>
      </c>
      <c r="O725" s="69" t="str">
        <f>IF(Main[[#This Row],[Tech Start Date]]&lt;1/1/1990,"",IF(Main[[#This Row],[Class]]="C",WORKDAY(Main[[#This Row],[Tech Start Date]],23),IF(Main[[#This Row],[Class]]="B", WORKDAY(Main[[#This Row],[Tech Start Date]],15),IF(Main[[#This Row],[Class]]="A",WORKDAY(Main[[#This Row],[Tech Start Date]],5),""))))</f>
        <v/>
      </c>
      <c r="P725" s="69" t="str">
        <f>IF(Main[[#This Row],[Tech Start Date]]&lt;1/1/1990,"",IF(Main[[#This Row],[Class]]="C",WORKDAY(Main[[#This Row],[Tech Start Date]],28),IF(Main[[#This Row],[Class]]="B", WORKDAY(Main[[#This Row],[Tech Start Date]],19),IF(Main[[#This Row],[Class]]="A",WORKDAY(Main[[#This Row],[Tech Start Date]],9),""))))</f>
        <v/>
      </c>
      <c r="Q725" s="67"/>
      <c r="R725" s="67"/>
      <c r="S725" s="65" t="s">
        <v>17</v>
      </c>
      <c r="T725" s="70" t="s">
        <v>4</v>
      </c>
      <c r="U725" s="65" t="s">
        <v>29</v>
      </c>
      <c r="V725" s="65" t="s">
        <v>1917</v>
      </c>
      <c r="W725" s="65" t="s">
        <v>1919</v>
      </c>
      <c r="X725" s="65" t="s">
        <v>1976</v>
      </c>
      <c r="Y725" s="65" t="s">
        <v>4</v>
      </c>
      <c r="Z725" s="65" t="s">
        <v>4</v>
      </c>
      <c r="AA725" s="65" t="s">
        <v>1976</v>
      </c>
    </row>
    <row r="726" spans="1:27" ht="17.45" hidden="1" customHeight="1">
      <c r="A726" s="100" t="str">
        <f>IF(priority(Main[[#This Row],[Comments]])&lt;&gt;0, priority(Main[[#This Row],[Comments]]),"")</f>
        <v/>
      </c>
      <c r="B726" s="77" t="s">
        <v>1642</v>
      </c>
      <c r="C726" s="65" t="s">
        <v>4</v>
      </c>
      <c r="D726" s="66" t="s">
        <v>711</v>
      </c>
      <c r="E726" s="67"/>
      <c r="F726" s="67"/>
      <c r="G726" s="64" t="str">
        <f>IF(stdProdLT(Main[[#This Row],[Comments]])=0.1,"N/A",IF(stdProdLT(Main[[#This Row],[Comments]])=0,"",stdProdLT(Main[[#This Row],[Comments]])))</f>
        <v/>
      </c>
      <c r="H726" s="68" t="str">
        <f>IF(AND(Main[[#This Row],[In Stock Date]]&lt;&gt;"",Main[[#This Row],[Revised Due Date]]&lt;&gt;""),Main[[#This Row],[In Stock Date]]-Main[[#This Row],[Revised Due Date]],"")</f>
        <v/>
      </c>
      <c r="I726" s="65" t="s">
        <v>4</v>
      </c>
      <c r="J726" s="65" t="s">
        <v>4</v>
      </c>
      <c r="K726" s="71" t="s">
        <v>4</v>
      </c>
      <c r="L726" s="67"/>
      <c r="M726" s="69" t="str">
        <f>IF(Main[[#This Row],[Tech Start Date]]&lt;1/1/1990,"",IF(Main[[#This Row],[Class]]="C",WORKDAY(Main[[#This Row],[Tech Start Date]],9),IF(Main[[#This Row],[Class]]="B", WORKDAY(Main[[#This Row],[Tech Start Date]],6),IF(Main[[#This Row],[Class]]="A",WORKDAY(Main[[#This Row],[Tech Start Date]],2),""))))</f>
        <v/>
      </c>
      <c r="N726" s="69" t="str">
        <f>IF(Main[[#This Row],[Tech Start Date]]&lt;1/1/1990,"",IF(Main[[#This Row],[Class]]="C",WORKDAY(Main[[#This Row],[Tech Start Date]],19),IF(Main[[#This Row],[Class]]="B", WORKDAY(Main[[#This Row],[Tech Start Date]],12),IF(Main[[#This Row],[Class]]="A",WORKDAY(Main[[#This Row],[Tech Start Date]],4),""))))</f>
        <v/>
      </c>
      <c r="O726" s="69" t="str">
        <f>IF(Main[[#This Row],[Tech Start Date]]&lt;1/1/1990,"",IF(Main[[#This Row],[Class]]="C",WORKDAY(Main[[#This Row],[Tech Start Date]],23),IF(Main[[#This Row],[Class]]="B", WORKDAY(Main[[#This Row],[Tech Start Date]],15),IF(Main[[#This Row],[Class]]="A",WORKDAY(Main[[#This Row],[Tech Start Date]],5),""))))</f>
        <v/>
      </c>
      <c r="P726" s="69" t="str">
        <f>IF(Main[[#This Row],[Tech Start Date]]&lt;1/1/1990,"",IF(Main[[#This Row],[Class]]="C",WORKDAY(Main[[#This Row],[Tech Start Date]],28),IF(Main[[#This Row],[Class]]="B", WORKDAY(Main[[#This Row],[Tech Start Date]],19),IF(Main[[#This Row],[Class]]="A",WORKDAY(Main[[#This Row],[Tech Start Date]],9),""))))</f>
        <v/>
      </c>
      <c r="Q726" s="67">
        <v>40672</v>
      </c>
      <c r="R726" s="67"/>
      <c r="S726" s="65" t="s">
        <v>6</v>
      </c>
      <c r="T726" s="70" t="s">
        <v>4</v>
      </c>
      <c r="U726" s="65" t="s">
        <v>14</v>
      </c>
      <c r="V726" s="65" t="s">
        <v>1917</v>
      </c>
      <c r="W726" s="65" t="s">
        <v>4</v>
      </c>
      <c r="X726" s="65" t="s">
        <v>2822</v>
      </c>
      <c r="Y726" s="65" t="s">
        <v>2938</v>
      </c>
      <c r="Z726" s="65" t="s">
        <v>4</v>
      </c>
      <c r="AA726" s="65" t="s">
        <v>2822</v>
      </c>
    </row>
    <row r="727" spans="1:27" ht="17.45" hidden="1" customHeight="1">
      <c r="A727" s="100" t="str">
        <f>IF(priority(Main[[#This Row],[Comments]])&lt;&gt;0, priority(Main[[#This Row],[Comments]]),"")</f>
        <v/>
      </c>
      <c r="B727" s="77" t="s">
        <v>1643</v>
      </c>
      <c r="C727" s="65" t="s">
        <v>4</v>
      </c>
      <c r="D727" s="66" t="s">
        <v>712</v>
      </c>
      <c r="E727" s="67"/>
      <c r="F727" s="67"/>
      <c r="G727" s="64" t="str">
        <f>IF(stdProdLT(Main[[#This Row],[Comments]])=0.1,"N/A",IF(stdProdLT(Main[[#This Row],[Comments]])=0,"",stdProdLT(Main[[#This Row],[Comments]])))</f>
        <v/>
      </c>
      <c r="H727" s="68" t="str">
        <f>IF(AND(Main[[#This Row],[In Stock Date]]&lt;&gt;"",Main[[#This Row],[Revised Due Date]]&lt;&gt;""),Main[[#This Row],[In Stock Date]]-Main[[#This Row],[Revised Due Date]],"")</f>
        <v/>
      </c>
      <c r="I727" s="65" t="s">
        <v>4</v>
      </c>
      <c r="J727" s="65" t="s">
        <v>4</v>
      </c>
      <c r="K727" s="65" t="s">
        <v>4</v>
      </c>
      <c r="L727" s="67"/>
      <c r="M727" s="69" t="str">
        <f>IF(Main[[#This Row],[Tech Start Date]]&lt;1/1/1990,"",IF(Main[[#This Row],[Class]]="C",WORKDAY(Main[[#This Row],[Tech Start Date]],9),IF(Main[[#This Row],[Class]]="B", WORKDAY(Main[[#This Row],[Tech Start Date]],6),IF(Main[[#This Row],[Class]]="A",WORKDAY(Main[[#This Row],[Tech Start Date]],2),""))))</f>
        <v/>
      </c>
      <c r="N727" s="69" t="str">
        <f>IF(Main[[#This Row],[Tech Start Date]]&lt;1/1/1990,"",IF(Main[[#This Row],[Class]]="C",WORKDAY(Main[[#This Row],[Tech Start Date]],19),IF(Main[[#This Row],[Class]]="B", WORKDAY(Main[[#This Row],[Tech Start Date]],12),IF(Main[[#This Row],[Class]]="A",WORKDAY(Main[[#This Row],[Tech Start Date]],4),""))))</f>
        <v/>
      </c>
      <c r="O727" s="69" t="str">
        <f>IF(Main[[#This Row],[Tech Start Date]]&lt;1/1/1990,"",IF(Main[[#This Row],[Class]]="C",WORKDAY(Main[[#This Row],[Tech Start Date]],23),IF(Main[[#This Row],[Class]]="B", WORKDAY(Main[[#This Row],[Tech Start Date]],15),IF(Main[[#This Row],[Class]]="A",WORKDAY(Main[[#This Row],[Tech Start Date]],5),""))))</f>
        <v/>
      </c>
      <c r="P727" s="69" t="str">
        <f>IF(Main[[#This Row],[Tech Start Date]]&lt;1/1/1990,"",IF(Main[[#This Row],[Class]]="C",WORKDAY(Main[[#This Row],[Tech Start Date]],28),IF(Main[[#This Row],[Class]]="B", WORKDAY(Main[[#This Row],[Tech Start Date]],19),IF(Main[[#This Row],[Class]]="A",WORKDAY(Main[[#This Row],[Tech Start Date]],9),""))))</f>
        <v/>
      </c>
      <c r="Q727" s="67"/>
      <c r="R727" s="67"/>
      <c r="S727" s="65" t="s">
        <v>23</v>
      </c>
      <c r="T727" s="70" t="s">
        <v>4</v>
      </c>
      <c r="U727" s="65" t="s">
        <v>14</v>
      </c>
      <c r="V727" s="65" t="s">
        <v>1917</v>
      </c>
      <c r="W727" s="65" t="s">
        <v>1918</v>
      </c>
      <c r="X727" s="65" t="s">
        <v>399</v>
      </c>
      <c r="Y727" s="65" t="s">
        <v>4</v>
      </c>
      <c r="Z727" s="65" t="s">
        <v>4</v>
      </c>
      <c r="AA727" s="65" t="s">
        <v>3434</v>
      </c>
    </row>
    <row r="728" spans="1:27" ht="17.45" hidden="1" customHeight="1">
      <c r="A728" s="100" t="str">
        <f>IF(priority(Main[[#This Row],[Comments]])&lt;&gt;0, priority(Main[[#This Row],[Comments]]),"")</f>
        <v/>
      </c>
      <c r="B728" s="77" t="s">
        <v>1853</v>
      </c>
      <c r="C728" s="65" t="s">
        <v>4</v>
      </c>
      <c r="D728" s="66" t="s">
        <v>909</v>
      </c>
      <c r="E728" s="67"/>
      <c r="F728" s="67"/>
      <c r="G728" s="64" t="str">
        <f>IF(stdProdLT(Main[[#This Row],[Comments]])=0.1,"N/A",IF(stdProdLT(Main[[#This Row],[Comments]])=0,"",stdProdLT(Main[[#This Row],[Comments]])))</f>
        <v/>
      </c>
      <c r="H728" s="68" t="str">
        <f>IF(AND(Main[[#This Row],[In Stock Date]]&lt;&gt;"",Main[[#This Row],[Revised Due Date]]&lt;&gt;""),Main[[#This Row],[In Stock Date]]-Main[[#This Row],[Revised Due Date]],"")</f>
        <v/>
      </c>
      <c r="I728" s="65" t="s">
        <v>852</v>
      </c>
      <c r="J728" s="65" t="s">
        <v>4</v>
      </c>
      <c r="K728" s="65" t="s">
        <v>1926</v>
      </c>
      <c r="L728" s="67"/>
      <c r="M728" s="69" t="str">
        <f>IF(Main[[#This Row],[Tech Start Date]]&lt;1/1/1990,"",IF(Main[[#This Row],[Class]]="C",WORKDAY(Main[[#This Row],[Tech Start Date]],9),IF(Main[[#This Row],[Class]]="B", WORKDAY(Main[[#This Row],[Tech Start Date]],6),IF(Main[[#This Row],[Class]]="A",WORKDAY(Main[[#This Row],[Tech Start Date]],2),""))))</f>
        <v/>
      </c>
      <c r="N728" s="69" t="str">
        <f>IF(Main[[#This Row],[Tech Start Date]]&lt;1/1/1990,"",IF(Main[[#This Row],[Class]]="C",WORKDAY(Main[[#This Row],[Tech Start Date]],19),IF(Main[[#This Row],[Class]]="B", WORKDAY(Main[[#This Row],[Tech Start Date]],12),IF(Main[[#This Row],[Class]]="A",WORKDAY(Main[[#This Row],[Tech Start Date]],4),""))))</f>
        <v/>
      </c>
      <c r="O728" s="69" t="str">
        <f>IF(Main[[#This Row],[Tech Start Date]]&lt;1/1/1990,"",IF(Main[[#This Row],[Class]]="C",WORKDAY(Main[[#This Row],[Tech Start Date]],23),IF(Main[[#This Row],[Class]]="B", WORKDAY(Main[[#This Row],[Tech Start Date]],15),IF(Main[[#This Row],[Class]]="A",WORKDAY(Main[[#This Row],[Tech Start Date]],5),""))))</f>
        <v/>
      </c>
      <c r="P728" s="69" t="str">
        <f>IF(Main[[#This Row],[Tech Start Date]]&lt;1/1/1990,"",IF(Main[[#This Row],[Class]]="C",WORKDAY(Main[[#This Row],[Tech Start Date]],28),IF(Main[[#This Row],[Class]]="B", WORKDAY(Main[[#This Row],[Tech Start Date]],19),IF(Main[[#This Row],[Class]]="A",WORKDAY(Main[[#This Row],[Tech Start Date]],9),""))))</f>
        <v/>
      </c>
      <c r="Q728" s="67"/>
      <c r="R728" s="67">
        <v>40543</v>
      </c>
      <c r="S728" s="65" t="s">
        <v>17</v>
      </c>
      <c r="T728" s="70" t="s">
        <v>4</v>
      </c>
      <c r="U728" s="65" t="s">
        <v>14</v>
      </c>
      <c r="V728" s="65" t="s">
        <v>1917</v>
      </c>
      <c r="W728" s="65" t="s">
        <v>1922</v>
      </c>
      <c r="X728" s="65" t="s">
        <v>306</v>
      </c>
      <c r="Y728" s="65" t="s">
        <v>4</v>
      </c>
      <c r="Z728" s="65" t="s">
        <v>415</v>
      </c>
      <c r="AA728" s="65" t="s">
        <v>3435</v>
      </c>
    </row>
    <row r="729" spans="1:27" ht="17.45" hidden="1" customHeight="1">
      <c r="A729" s="100" t="str">
        <f>IF(priority(Main[[#This Row],[Comments]])&lt;&gt;0, priority(Main[[#This Row],[Comments]]),"")</f>
        <v/>
      </c>
      <c r="B729" s="77" t="s">
        <v>1644</v>
      </c>
      <c r="C729" s="65" t="s">
        <v>113</v>
      </c>
      <c r="D729" s="66" t="s">
        <v>713</v>
      </c>
      <c r="E729" s="67"/>
      <c r="F729" s="67">
        <v>40817</v>
      </c>
      <c r="G729" s="64" t="str">
        <f>IF(stdProdLT(Main[[#This Row],[Comments]])=0.1,"N/A",IF(stdProdLT(Main[[#This Row],[Comments]])=0,"",stdProdLT(Main[[#This Row],[Comments]])))</f>
        <v/>
      </c>
      <c r="H729" s="68" t="str">
        <f>IF(AND(Main[[#This Row],[In Stock Date]]&lt;&gt;"",Main[[#This Row],[Revised Due Date]]&lt;&gt;""),Main[[#This Row],[In Stock Date]]-Main[[#This Row],[Revised Due Date]],"")</f>
        <v/>
      </c>
      <c r="I729" s="65" t="s">
        <v>4</v>
      </c>
      <c r="J729" s="65" t="s">
        <v>28</v>
      </c>
      <c r="K729" s="65" t="s">
        <v>1927</v>
      </c>
      <c r="L729" s="67"/>
      <c r="M729" s="69" t="str">
        <f>IF(Main[[#This Row],[Tech Start Date]]&lt;1/1/1990,"",IF(Main[[#This Row],[Class]]="C",WORKDAY(Main[[#This Row],[Tech Start Date]],9),IF(Main[[#This Row],[Class]]="B", WORKDAY(Main[[#This Row],[Tech Start Date]],6),IF(Main[[#This Row],[Class]]="A",WORKDAY(Main[[#This Row],[Tech Start Date]],2),""))))</f>
        <v/>
      </c>
      <c r="N729" s="69" t="str">
        <f>IF(Main[[#This Row],[Tech Start Date]]&lt;1/1/1990,"",IF(Main[[#This Row],[Class]]="C",WORKDAY(Main[[#This Row],[Tech Start Date]],19),IF(Main[[#This Row],[Class]]="B", WORKDAY(Main[[#This Row],[Tech Start Date]],12),IF(Main[[#This Row],[Class]]="A",WORKDAY(Main[[#This Row],[Tech Start Date]],4),""))))</f>
        <v/>
      </c>
      <c r="O729" s="69" t="str">
        <f>IF(Main[[#This Row],[Tech Start Date]]&lt;1/1/1990,"",IF(Main[[#This Row],[Class]]="C",WORKDAY(Main[[#This Row],[Tech Start Date]],23),IF(Main[[#This Row],[Class]]="B", WORKDAY(Main[[#This Row],[Tech Start Date]],15),IF(Main[[#This Row],[Class]]="A",WORKDAY(Main[[#This Row],[Tech Start Date]],5),""))))</f>
        <v/>
      </c>
      <c r="P729" s="69" t="str">
        <f>IF(Main[[#This Row],[Tech Start Date]]&lt;1/1/1990,"",IF(Main[[#This Row],[Class]]="C",WORKDAY(Main[[#This Row],[Tech Start Date]],28),IF(Main[[#This Row],[Class]]="B", WORKDAY(Main[[#This Row],[Tech Start Date]],19),IF(Main[[#This Row],[Class]]="A",WORKDAY(Main[[#This Row],[Tech Start Date]],9),""))))</f>
        <v/>
      </c>
      <c r="Q729" s="67">
        <v>40634</v>
      </c>
      <c r="R729" s="67"/>
      <c r="S729" s="65" t="s">
        <v>11</v>
      </c>
      <c r="T729" s="70" t="s">
        <v>4</v>
      </c>
      <c r="U729" s="65" t="s">
        <v>14</v>
      </c>
      <c r="V729" s="65" t="s">
        <v>1914</v>
      </c>
      <c r="W729" s="65" t="s">
        <v>1920</v>
      </c>
      <c r="X729" s="65" t="s">
        <v>2833</v>
      </c>
      <c r="Y729" s="65" t="s">
        <v>2939</v>
      </c>
      <c r="Z729" s="65" t="s">
        <v>129</v>
      </c>
      <c r="AA729" s="65" t="s">
        <v>2833</v>
      </c>
    </row>
    <row r="730" spans="1:27" ht="17.45" hidden="1" customHeight="1">
      <c r="A730" s="100" t="str">
        <f>IF(priority(Main[[#This Row],[Comments]])&lt;&gt;0, priority(Main[[#This Row],[Comments]]),"")</f>
        <v/>
      </c>
      <c r="B730" s="77" t="s">
        <v>1645</v>
      </c>
      <c r="C730" s="65" t="s">
        <v>4</v>
      </c>
      <c r="D730" s="66" t="s">
        <v>39</v>
      </c>
      <c r="E730" s="67"/>
      <c r="F730" s="67"/>
      <c r="G730" s="64" t="str">
        <f>IF(stdProdLT(Main[[#This Row],[Comments]])=0.1,"N/A",IF(stdProdLT(Main[[#This Row],[Comments]])=0,"",stdProdLT(Main[[#This Row],[Comments]])))</f>
        <v/>
      </c>
      <c r="H730" s="68" t="str">
        <f>IF(AND(Main[[#This Row],[In Stock Date]]&lt;&gt;"",Main[[#This Row],[Revised Due Date]]&lt;&gt;""),Main[[#This Row],[In Stock Date]]-Main[[#This Row],[Revised Due Date]],"")</f>
        <v/>
      </c>
      <c r="I730" s="65" t="s">
        <v>4</v>
      </c>
      <c r="J730" s="65" t="s">
        <v>4</v>
      </c>
      <c r="K730" s="65" t="s">
        <v>4</v>
      </c>
      <c r="L730" s="67"/>
      <c r="M730" s="69" t="str">
        <f>IF(Main[[#This Row],[Tech Start Date]]&lt;1/1/1990,"",IF(Main[[#This Row],[Class]]="C",WORKDAY(Main[[#This Row],[Tech Start Date]],9),IF(Main[[#This Row],[Class]]="B", WORKDAY(Main[[#This Row],[Tech Start Date]],6),IF(Main[[#This Row],[Class]]="A",WORKDAY(Main[[#This Row],[Tech Start Date]],2),""))))</f>
        <v/>
      </c>
      <c r="N730" s="69" t="str">
        <f>IF(Main[[#This Row],[Tech Start Date]]&lt;1/1/1990,"",IF(Main[[#This Row],[Class]]="C",WORKDAY(Main[[#This Row],[Tech Start Date]],19),IF(Main[[#This Row],[Class]]="B", WORKDAY(Main[[#This Row],[Tech Start Date]],12),IF(Main[[#This Row],[Class]]="A",WORKDAY(Main[[#This Row],[Tech Start Date]],4),""))))</f>
        <v/>
      </c>
      <c r="O730" s="69" t="str">
        <f>IF(Main[[#This Row],[Tech Start Date]]&lt;1/1/1990,"",IF(Main[[#This Row],[Class]]="C",WORKDAY(Main[[#This Row],[Tech Start Date]],23),IF(Main[[#This Row],[Class]]="B", WORKDAY(Main[[#This Row],[Tech Start Date]],15),IF(Main[[#This Row],[Class]]="A",WORKDAY(Main[[#This Row],[Tech Start Date]],5),""))))</f>
        <v/>
      </c>
      <c r="P730" s="69" t="str">
        <f>IF(Main[[#This Row],[Tech Start Date]]&lt;1/1/1990,"",IF(Main[[#This Row],[Class]]="C",WORKDAY(Main[[#This Row],[Tech Start Date]],28),IF(Main[[#This Row],[Class]]="B", WORKDAY(Main[[#This Row],[Tech Start Date]],19),IF(Main[[#This Row],[Class]]="A",WORKDAY(Main[[#This Row],[Tech Start Date]],9),""))))</f>
        <v/>
      </c>
      <c r="Q730" s="67">
        <v>40669</v>
      </c>
      <c r="R730" s="67"/>
      <c r="S730" s="65" t="s">
        <v>6</v>
      </c>
      <c r="T730" s="70" t="s">
        <v>4</v>
      </c>
      <c r="U730" s="65" t="s">
        <v>14</v>
      </c>
      <c r="V730" s="65" t="s">
        <v>1917</v>
      </c>
      <c r="W730" s="65" t="s">
        <v>4</v>
      </c>
      <c r="X730" s="65" t="s">
        <v>2818</v>
      </c>
      <c r="Y730" s="65" t="s">
        <v>2929</v>
      </c>
      <c r="Z730" s="65" t="s">
        <v>4</v>
      </c>
      <c r="AA730" s="65" t="s">
        <v>2818</v>
      </c>
    </row>
    <row r="731" spans="1:27" ht="17.45" hidden="1" customHeight="1">
      <c r="A731" s="100" t="str">
        <f>IF(priority(Main[[#This Row],[Comments]])&lt;&gt;0, priority(Main[[#This Row],[Comments]]),"")</f>
        <v/>
      </c>
      <c r="B731" s="77" t="s">
        <v>1646</v>
      </c>
      <c r="C731" s="65" t="s">
        <v>4</v>
      </c>
      <c r="D731" s="66" t="s">
        <v>714</v>
      </c>
      <c r="E731" s="67"/>
      <c r="F731" s="67"/>
      <c r="G731" s="64" t="str">
        <f>IF(stdProdLT(Main[[#This Row],[Comments]])=0.1,"N/A",IF(stdProdLT(Main[[#This Row],[Comments]])=0,"",stdProdLT(Main[[#This Row],[Comments]])))</f>
        <v/>
      </c>
      <c r="H731" s="68" t="str">
        <f>IF(AND(Main[[#This Row],[In Stock Date]]&lt;&gt;"",Main[[#This Row],[Revised Due Date]]&lt;&gt;""),Main[[#This Row],[In Stock Date]]-Main[[#This Row],[Revised Due Date]],"")</f>
        <v/>
      </c>
      <c r="I731" s="65" t="s">
        <v>4</v>
      </c>
      <c r="J731" s="65" t="s">
        <v>4</v>
      </c>
      <c r="K731" s="65" t="s">
        <v>4</v>
      </c>
      <c r="L731" s="67"/>
      <c r="M731" s="69" t="str">
        <f>IF(Main[[#This Row],[Tech Start Date]]&lt;1/1/1990,"",IF(Main[[#This Row],[Class]]="C",WORKDAY(Main[[#This Row],[Tech Start Date]],9),IF(Main[[#This Row],[Class]]="B", WORKDAY(Main[[#This Row],[Tech Start Date]],6),IF(Main[[#This Row],[Class]]="A",WORKDAY(Main[[#This Row],[Tech Start Date]],2),""))))</f>
        <v/>
      </c>
      <c r="N731" s="69" t="str">
        <f>IF(Main[[#This Row],[Tech Start Date]]&lt;1/1/1990,"",IF(Main[[#This Row],[Class]]="C",WORKDAY(Main[[#This Row],[Tech Start Date]],19),IF(Main[[#This Row],[Class]]="B", WORKDAY(Main[[#This Row],[Tech Start Date]],12),IF(Main[[#This Row],[Class]]="A",WORKDAY(Main[[#This Row],[Tech Start Date]],4),""))))</f>
        <v/>
      </c>
      <c r="O731" s="69" t="str">
        <f>IF(Main[[#This Row],[Tech Start Date]]&lt;1/1/1990,"",IF(Main[[#This Row],[Class]]="C",WORKDAY(Main[[#This Row],[Tech Start Date]],23),IF(Main[[#This Row],[Class]]="B", WORKDAY(Main[[#This Row],[Tech Start Date]],15),IF(Main[[#This Row],[Class]]="A",WORKDAY(Main[[#This Row],[Tech Start Date]],5),""))))</f>
        <v/>
      </c>
      <c r="P731" s="69" t="str">
        <f>IF(Main[[#This Row],[Tech Start Date]]&lt;1/1/1990,"",IF(Main[[#This Row],[Class]]="C",WORKDAY(Main[[#This Row],[Tech Start Date]],28),IF(Main[[#This Row],[Class]]="B", WORKDAY(Main[[#This Row],[Tech Start Date]],19),IF(Main[[#This Row],[Class]]="A",WORKDAY(Main[[#This Row],[Tech Start Date]],9),""))))</f>
        <v/>
      </c>
      <c r="Q731" s="67"/>
      <c r="R731" s="67"/>
      <c r="S731" s="65" t="s">
        <v>11</v>
      </c>
      <c r="T731" s="70" t="s">
        <v>4</v>
      </c>
      <c r="U731" s="65" t="s">
        <v>12</v>
      </c>
      <c r="V731" s="65" t="s">
        <v>1915</v>
      </c>
      <c r="W731" s="65" t="s">
        <v>4</v>
      </c>
      <c r="X731" s="65" t="s">
        <v>2862</v>
      </c>
      <c r="Y731" s="65" t="s">
        <v>4</v>
      </c>
      <c r="Z731" s="65" t="s">
        <v>4</v>
      </c>
      <c r="AA731" s="65" t="s">
        <v>4</v>
      </c>
    </row>
    <row r="732" spans="1:27" ht="17.45" hidden="1" customHeight="1">
      <c r="A732" s="100" t="str">
        <f>IF(priority(Main[[#This Row],[Comments]])&lt;&gt;0, priority(Main[[#This Row],[Comments]]),"")</f>
        <v/>
      </c>
      <c r="B732" s="77" t="s">
        <v>1648</v>
      </c>
      <c r="C732" s="65" t="s">
        <v>4</v>
      </c>
      <c r="D732" s="66" t="s">
        <v>715</v>
      </c>
      <c r="E732" s="67">
        <v>40715.129143518519</v>
      </c>
      <c r="F732" s="67"/>
      <c r="G732" s="64" t="str">
        <f>IF(stdProdLT(Main[[#This Row],[Comments]])=0.1,"N/A",IF(stdProdLT(Main[[#This Row],[Comments]])=0,"",stdProdLT(Main[[#This Row],[Comments]])))</f>
        <v/>
      </c>
      <c r="H732" s="68" t="str">
        <f>IF(AND(Main[[#This Row],[In Stock Date]]&lt;&gt;"",Main[[#This Row],[Revised Due Date]]&lt;&gt;""),Main[[#This Row],[In Stock Date]]-Main[[#This Row],[Revised Due Date]],"")</f>
        <v/>
      </c>
      <c r="I732" s="65" t="s">
        <v>4</v>
      </c>
      <c r="J732" s="65" t="s">
        <v>4</v>
      </c>
      <c r="K732" s="65" t="s">
        <v>4</v>
      </c>
      <c r="L732" s="67"/>
      <c r="M732" s="69" t="str">
        <f>IF(Main[[#This Row],[Tech Start Date]]&lt;1/1/1990,"",IF(Main[[#This Row],[Class]]="C",WORKDAY(Main[[#This Row],[Tech Start Date]],9),IF(Main[[#This Row],[Class]]="B", WORKDAY(Main[[#This Row],[Tech Start Date]],6),IF(Main[[#This Row],[Class]]="A",WORKDAY(Main[[#This Row],[Tech Start Date]],2),""))))</f>
        <v/>
      </c>
      <c r="N732" s="69" t="str">
        <f>IF(Main[[#This Row],[Tech Start Date]]&lt;1/1/1990,"",IF(Main[[#This Row],[Class]]="C",WORKDAY(Main[[#This Row],[Tech Start Date]],19),IF(Main[[#This Row],[Class]]="B", WORKDAY(Main[[#This Row],[Tech Start Date]],12),IF(Main[[#This Row],[Class]]="A",WORKDAY(Main[[#This Row],[Tech Start Date]],4),""))))</f>
        <v/>
      </c>
      <c r="O732" s="69" t="str">
        <f>IF(Main[[#This Row],[Tech Start Date]]&lt;1/1/1990,"",IF(Main[[#This Row],[Class]]="C",WORKDAY(Main[[#This Row],[Tech Start Date]],23),IF(Main[[#This Row],[Class]]="B", WORKDAY(Main[[#This Row],[Tech Start Date]],15),IF(Main[[#This Row],[Class]]="A",WORKDAY(Main[[#This Row],[Tech Start Date]],5),""))))</f>
        <v/>
      </c>
      <c r="P732" s="69" t="str">
        <f>IF(Main[[#This Row],[Tech Start Date]]&lt;1/1/1990,"",IF(Main[[#This Row],[Class]]="C",WORKDAY(Main[[#This Row],[Tech Start Date]],28),IF(Main[[#This Row],[Class]]="B", WORKDAY(Main[[#This Row],[Tech Start Date]],19),IF(Main[[#This Row],[Class]]="A",WORKDAY(Main[[#This Row],[Tech Start Date]],9),""))))</f>
        <v/>
      </c>
      <c r="Q732" s="67">
        <v>40717</v>
      </c>
      <c r="R732" s="67"/>
      <c r="S732" s="65" t="s">
        <v>49</v>
      </c>
      <c r="T732" s="70" t="s">
        <v>4</v>
      </c>
      <c r="U732" s="65" t="s">
        <v>7</v>
      </c>
      <c r="V732" s="65" t="s">
        <v>1915</v>
      </c>
      <c r="W732" s="65" t="s">
        <v>1918</v>
      </c>
      <c r="X732" s="65" t="s">
        <v>2857</v>
      </c>
      <c r="Y732" s="65" t="s">
        <v>2998</v>
      </c>
      <c r="Z732" s="65" t="s">
        <v>4</v>
      </c>
      <c r="AA732" s="65" t="s">
        <v>2857</v>
      </c>
    </row>
    <row r="733" spans="1:27" ht="17.45" hidden="1" customHeight="1">
      <c r="A733" s="100" t="str">
        <f>IF(priority(Main[[#This Row],[Comments]])&lt;&gt;0, priority(Main[[#This Row],[Comments]]),"")</f>
        <v/>
      </c>
      <c r="B733" s="77" t="s">
        <v>2104</v>
      </c>
      <c r="C733" s="65" t="s">
        <v>4</v>
      </c>
      <c r="D733" s="66" t="s">
        <v>2105</v>
      </c>
      <c r="E733" s="67">
        <v>40770.430092592593</v>
      </c>
      <c r="F733" s="67"/>
      <c r="G733" s="64" t="str">
        <f>IF(stdProdLT(Main[[#This Row],[Comments]])=0.1,"N/A",IF(stdProdLT(Main[[#This Row],[Comments]])=0,"",stdProdLT(Main[[#This Row],[Comments]])))</f>
        <v/>
      </c>
      <c r="H733" s="68" t="str">
        <f>IF(AND(Main[[#This Row],[In Stock Date]]&lt;&gt;"",Main[[#This Row],[Revised Due Date]]&lt;&gt;""),Main[[#This Row],[In Stock Date]]-Main[[#This Row],[Revised Due Date]],"")</f>
        <v/>
      </c>
      <c r="I733" s="65" t="s">
        <v>4</v>
      </c>
      <c r="J733" s="65" t="s">
        <v>4</v>
      </c>
      <c r="K733" s="65" t="s">
        <v>4</v>
      </c>
      <c r="L733" s="67"/>
      <c r="M733" s="69" t="str">
        <f>IF(Main[[#This Row],[Tech Start Date]]&lt;1/1/1990,"",IF(Main[[#This Row],[Class]]="C",WORKDAY(Main[[#This Row],[Tech Start Date]],9),IF(Main[[#This Row],[Class]]="B", WORKDAY(Main[[#This Row],[Tech Start Date]],6),IF(Main[[#This Row],[Class]]="A",WORKDAY(Main[[#This Row],[Tech Start Date]],2),""))))</f>
        <v/>
      </c>
      <c r="N733" s="69" t="str">
        <f>IF(Main[[#This Row],[Tech Start Date]]&lt;1/1/1990,"",IF(Main[[#This Row],[Class]]="C",WORKDAY(Main[[#This Row],[Tech Start Date]],19),IF(Main[[#This Row],[Class]]="B", WORKDAY(Main[[#This Row],[Tech Start Date]],12),IF(Main[[#This Row],[Class]]="A",WORKDAY(Main[[#This Row],[Tech Start Date]],4),""))))</f>
        <v/>
      </c>
      <c r="O733" s="69" t="str">
        <f>IF(Main[[#This Row],[Tech Start Date]]&lt;1/1/1990,"",IF(Main[[#This Row],[Class]]="C",WORKDAY(Main[[#This Row],[Tech Start Date]],23),IF(Main[[#This Row],[Class]]="B", WORKDAY(Main[[#This Row],[Tech Start Date]],15),IF(Main[[#This Row],[Class]]="A",WORKDAY(Main[[#This Row],[Tech Start Date]],5),""))))</f>
        <v/>
      </c>
      <c r="P733" s="69" t="str">
        <f>IF(Main[[#This Row],[Tech Start Date]]&lt;1/1/1990,"",IF(Main[[#This Row],[Class]]="C",WORKDAY(Main[[#This Row],[Tech Start Date]],28),IF(Main[[#This Row],[Class]]="B", WORKDAY(Main[[#This Row],[Tech Start Date]],19),IF(Main[[#This Row],[Class]]="A",WORKDAY(Main[[#This Row],[Tech Start Date]],9),""))))</f>
        <v/>
      </c>
      <c r="Q733" s="67">
        <v>40791</v>
      </c>
      <c r="R733" s="67"/>
      <c r="S733" s="65" t="s">
        <v>6</v>
      </c>
      <c r="T733" s="70" t="s">
        <v>4</v>
      </c>
      <c r="U733" s="65" t="s">
        <v>7</v>
      </c>
      <c r="V733" s="65" t="s">
        <v>1914</v>
      </c>
      <c r="W733" s="65" t="s">
        <v>4</v>
      </c>
      <c r="X733" s="65" t="s">
        <v>2822</v>
      </c>
      <c r="Y733" s="65" t="s">
        <v>2938</v>
      </c>
      <c r="Z733" s="65" t="s">
        <v>4</v>
      </c>
      <c r="AA733" s="65" t="s">
        <v>2822</v>
      </c>
    </row>
    <row r="734" spans="1:27" ht="17.45" hidden="1" customHeight="1">
      <c r="A734" s="100">
        <f>IF(priority(Main[[#This Row],[Comments]])&lt;&gt;0, priority(Main[[#This Row],[Comments]]),"")</f>
        <v>12.9</v>
      </c>
      <c r="B734" s="77" t="s">
        <v>3610</v>
      </c>
      <c r="C734" s="65" t="s">
        <v>2749</v>
      </c>
      <c r="D734" s="66" t="s">
        <v>3611</v>
      </c>
      <c r="E734" s="67">
        <v>40967.720405092594</v>
      </c>
      <c r="F734" s="67">
        <v>41030</v>
      </c>
      <c r="G734" s="64" t="str">
        <f>IF(stdProdLT(Main[[#This Row],[Comments]])=0.1,"N/A",IF(stdProdLT(Main[[#This Row],[Comments]])=0,"",stdProdLT(Main[[#This Row],[Comments]])))</f>
        <v>N/A</v>
      </c>
      <c r="H734" s="68" t="str">
        <f>IF(AND(Main[[#This Row],[In Stock Date]]&lt;&gt;"",Main[[#This Row],[Revised Due Date]]&lt;&gt;""),Main[[#This Row],[In Stock Date]]-Main[[#This Row],[Revised Due Date]],"")</f>
        <v/>
      </c>
      <c r="I734" s="65" t="s">
        <v>4</v>
      </c>
      <c r="J734" s="65" t="s">
        <v>4</v>
      </c>
      <c r="K734" s="71" t="s">
        <v>4</v>
      </c>
      <c r="L734" s="67"/>
      <c r="M734" s="69" t="str">
        <f>IF(Main[[#This Row],[Tech Start Date]]&lt;1/1/1990,"",IF(Main[[#This Row],[Class]]="C",WORKDAY(Main[[#This Row],[Tech Start Date]],9),IF(Main[[#This Row],[Class]]="B", WORKDAY(Main[[#This Row],[Tech Start Date]],6),IF(Main[[#This Row],[Class]]="A",WORKDAY(Main[[#This Row],[Tech Start Date]],2),""))))</f>
        <v/>
      </c>
      <c r="N734" s="69" t="str">
        <f>IF(Main[[#This Row],[Tech Start Date]]&lt;1/1/1990,"",IF(Main[[#This Row],[Class]]="C",WORKDAY(Main[[#This Row],[Tech Start Date]],19),IF(Main[[#This Row],[Class]]="B", WORKDAY(Main[[#This Row],[Tech Start Date]],12),IF(Main[[#This Row],[Class]]="A",WORKDAY(Main[[#This Row],[Tech Start Date]],4),""))))</f>
        <v/>
      </c>
      <c r="O734" s="69" t="str">
        <f>IF(Main[[#This Row],[Tech Start Date]]&lt;1/1/1990,"",IF(Main[[#This Row],[Class]]="C",WORKDAY(Main[[#This Row],[Tech Start Date]],23),IF(Main[[#This Row],[Class]]="B", WORKDAY(Main[[#This Row],[Tech Start Date]],15),IF(Main[[#This Row],[Class]]="A",WORKDAY(Main[[#This Row],[Tech Start Date]],5),""))))</f>
        <v/>
      </c>
      <c r="P734" s="69" t="str">
        <f>IF(Main[[#This Row],[Tech Start Date]]&lt;1/1/1990,"",IF(Main[[#This Row],[Class]]="C",WORKDAY(Main[[#This Row],[Tech Start Date]],28),IF(Main[[#This Row],[Class]]="B", WORKDAY(Main[[#This Row],[Tech Start Date]],19),IF(Main[[#This Row],[Class]]="A",WORKDAY(Main[[#This Row],[Tech Start Date]],9),""))))</f>
        <v/>
      </c>
      <c r="Q734" s="67"/>
      <c r="R734" s="67"/>
      <c r="S734" s="65" t="s">
        <v>11</v>
      </c>
      <c r="T734" s="70" t="s">
        <v>3939</v>
      </c>
      <c r="U734" s="65" t="s">
        <v>7</v>
      </c>
      <c r="V734" s="65" t="s">
        <v>1917</v>
      </c>
      <c r="W734" s="65" t="s">
        <v>1922</v>
      </c>
      <c r="X734" s="65" t="s">
        <v>50</v>
      </c>
      <c r="Y734" s="65" t="s">
        <v>3612</v>
      </c>
      <c r="Z734" s="65" t="s">
        <v>4</v>
      </c>
      <c r="AA734" s="65" t="s">
        <v>3450</v>
      </c>
    </row>
    <row r="735" spans="1:27" ht="17.45" hidden="1" customHeight="1">
      <c r="A735" s="100" t="str">
        <f>IF(priority(Main[[#This Row],[Comments]])&lt;&gt;0, priority(Main[[#This Row],[Comments]]),"")</f>
        <v/>
      </c>
      <c r="B735" s="77" t="s">
        <v>1649</v>
      </c>
      <c r="C735" s="65" t="s">
        <v>4</v>
      </c>
      <c r="D735" s="66" t="s">
        <v>716</v>
      </c>
      <c r="E735" s="67">
        <v>40651.462372685186</v>
      </c>
      <c r="F735" s="67"/>
      <c r="G735" s="64" t="str">
        <f>IF(stdProdLT(Main[[#This Row],[Comments]])=0.1,"N/A",IF(stdProdLT(Main[[#This Row],[Comments]])=0,"",stdProdLT(Main[[#This Row],[Comments]])))</f>
        <v/>
      </c>
      <c r="H735" s="68" t="str">
        <f>IF(AND(Main[[#This Row],[In Stock Date]]&lt;&gt;"",Main[[#This Row],[Revised Due Date]]&lt;&gt;""),Main[[#This Row],[In Stock Date]]-Main[[#This Row],[Revised Due Date]],"")</f>
        <v/>
      </c>
      <c r="I735" s="65" t="s">
        <v>30</v>
      </c>
      <c r="J735" s="65" t="s">
        <v>28</v>
      </c>
      <c r="K735" s="71" t="s">
        <v>1923</v>
      </c>
      <c r="L735" s="67"/>
      <c r="M735" s="69" t="str">
        <f>IF(Main[[#This Row],[Tech Start Date]]&lt;1/1/1990,"",IF(Main[[#This Row],[Class]]="C",WORKDAY(Main[[#This Row],[Tech Start Date]],9),IF(Main[[#This Row],[Class]]="B", WORKDAY(Main[[#This Row],[Tech Start Date]],6),IF(Main[[#This Row],[Class]]="A",WORKDAY(Main[[#This Row],[Tech Start Date]],2),""))))</f>
        <v/>
      </c>
      <c r="N735" s="69" t="str">
        <f>IF(Main[[#This Row],[Tech Start Date]]&lt;1/1/1990,"",IF(Main[[#This Row],[Class]]="C",WORKDAY(Main[[#This Row],[Tech Start Date]],19),IF(Main[[#This Row],[Class]]="B", WORKDAY(Main[[#This Row],[Tech Start Date]],12),IF(Main[[#This Row],[Class]]="A",WORKDAY(Main[[#This Row],[Tech Start Date]],4),""))))</f>
        <v/>
      </c>
      <c r="O735" s="69" t="str">
        <f>IF(Main[[#This Row],[Tech Start Date]]&lt;1/1/1990,"",IF(Main[[#This Row],[Class]]="C",WORKDAY(Main[[#This Row],[Tech Start Date]],23),IF(Main[[#This Row],[Class]]="B", WORKDAY(Main[[#This Row],[Tech Start Date]],15),IF(Main[[#This Row],[Class]]="A",WORKDAY(Main[[#This Row],[Tech Start Date]],5),""))))</f>
        <v/>
      </c>
      <c r="P735" s="69" t="str">
        <f>IF(Main[[#This Row],[Tech Start Date]]&lt;1/1/1990,"",IF(Main[[#This Row],[Class]]="C",WORKDAY(Main[[#This Row],[Tech Start Date]],28),IF(Main[[#This Row],[Class]]="B", WORKDAY(Main[[#This Row],[Tech Start Date]],19),IF(Main[[#This Row],[Class]]="A",WORKDAY(Main[[#This Row],[Tech Start Date]],9),""))))</f>
        <v/>
      </c>
      <c r="Q735" s="67">
        <v>40694</v>
      </c>
      <c r="R735" s="67"/>
      <c r="S735" s="65" t="s">
        <v>6</v>
      </c>
      <c r="T735" s="70" t="s">
        <v>4</v>
      </c>
      <c r="U735" s="65" t="s">
        <v>29</v>
      </c>
      <c r="V735" s="65" t="s">
        <v>1917</v>
      </c>
      <c r="W735" s="65" t="s">
        <v>1918</v>
      </c>
      <c r="X735" s="65" t="s">
        <v>30</v>
      </c>
      <c r="Y735" s="65" t="s">
        <v>2957</v>
      </c>
      <c r="Z735" s="65" t="s">
        <v>30</v>
      </c>
      <c r="AA735" s="65" t="s">
        <v>30</v>
      </c>
    </row>
    <row r="736" spans="1:27" ht="17.45" hidden="1" customHeight="1">
      <c r="A736" s="100" t="str">
        <f>IF(priority(Main[[#This Row],[Comments]])&lt;&gt;0, priority(Main[[#This Row],[Comments]]),"")</f>
        <v/>
      </c>
      <c r="B736" s="77" t="s">
        <v>1571</v>
      </c>
      <c r="C736" s="65" t="s">
        <v>4</v>
      </c>
      <c r="D736" s="66" t="s">
        <v>3940</v>
      </c>
      <c r="E736" s="67">
        <v>40626.478437500002</v>
      </c>
      <c r="F736" s="67"/>
      <c r="G736" s="64" t="str">
        <f>IF(stdProdLT(Main[[#This Row],[Comments]])=0.1,"N/A",IF(stdProdLT(Main[[#This Row],[Comments]])=0,"",stdProdLT(Main[[#This Row],[Comments]])))</f>
        <v/>
      </c>
      <c r="H736" s="68" t="str">
        <f>IF(AND(Main[[#This Row],[In Stock Date]]&lt;&gt;"",Main[[#This Row],[Revised Due Date]]&lt;&gt;""),Main[[#This Row],[In Stock Date]]-Main[[#This Row],[Revised Due Date]],"")</f>
        <v/>
      </c>
      <c r="I736" s="65" t="s">
        <v>102</v>
      </c>
      <c r="J736" s="65" t="s">
        <v>51</v>
      </c>
      <c r="K736" s="65" t="s">
        <v>1923</v>
      </c>
      <c r="L736" s="67"/>
      <c r="M736" s="69" t="str">
        <f>IF(Main[[#This Row],[Tech Start Date]]&lt;1/1/1990,"",IF(Main[[#This Row],[Class]]="C",WORKDAY(Main[[#This Row],[Tech Start Date]],9),IF(Main[[#This Row],[Class]]="B", WORKDAY(Main[[#This Row],[Tech Start Date]],6),IF(Main[[#This Row],[Class]]="A",WORKDAY(Main[[#This Row],[Tech Start Date]],2),""))))</f>
        <v/>
      </c>
      <c r="N736" s="69" t="str">
        <f>IF(Main[[#This Row],[Tech Start Date]]&lt;1/1/1990,"",IF(Main[[#This Row],[Class]]="C",WORKDAY(Main[[#This Row],[Tech Start Date]],19),IF(Main[[#This Row],[Class]]="B", WORKDAY(Main[[#This Row],[Tech Start Date]],12),IF(Main[[#This Row],[Class]]="A",WORKDAY(Main[[#This Row],[Tech Start Date]],4),""))))</f>
        <v/>
      </c>
      <c r="O736" s="69" t="str">
        <f>IF(Main[[#This Row],[Tech Start Date]]&lt;1/1/1990,"",IF(Main[[#This Row],[Class]]="C",WORKDAY(Main[[#This Row],[Tech Start Date]],23),IF(Main[[#This Row],[Class]]="B", WORKDAY(Main[[#This Row],[Tech Start Date]],15),IF(Main[[#This Row],[Class]]="A",WORKDAY(Main[[#This Row],[Tech Start Date]],5),""))))</f>
        <v/>
      </c>
      <c r="P736" s="69" t="str">
        <f>IF(Main[[#This Row],[Tech Start Date]]&lt;1/1/1990,"",IF(Main[[#This Row],[Class]]="C",WORKDAY(Main[[#This Row],[Tech Start Date]],28),IF(Main[[#This Row],[Class]]="B", WORKDAY(Main[[#This Row],[Tech Start Date]],19),IF(Main[[#This Row],[Class]]="A",WORKDAY(Main[[#This Row],[Tech Start Date]],9),""))))</f>
        <v/>
      </c>
      <c r="Q736" s="67">
        <v>40999</v>
      </c>
      <c r="R736" s="67"/>
      <c r="S736" s="65" t="s">
        <v>6</v>
      </c>
      <c r="T736" s="70" t="s">
        <v>4</v>
      </c>
      <c r="U736" s="65" t="s">
        <v>29</v>
      </c>
      <c r="V736" s="65" t="s">
        <v>1917</v>
      </c>
      <c r="W736" s="65" t="s">
        <v>1918</v>
      </c>
      <c r="X736" s="65" t="s">
        <v>74</v>
      </c>
      <c r="Y736" s="65" t="s">
        <v>3031</v>
      </c>
      <c r="Z736" s="65" t="s">
        <v>306</v>
      </c>
      <c r="AA736" s="65" t="s">
        <v>74</v>
      </c>
    </row>
    <row r="737" spans="1:27" ht="17.45" hidden="1" customHeight="1">
      <c r="A737" s="100" t="str">
        <f>IF(priority(Main[[#This Row],[Comments]])&lt;&gt;0, priority(Main[[#This Row],[Comments]]),"")</f>
        <v/>
      </c>
      <c r="B737" s="77" t="s">
        <v>2062</v>
      </c>
      <c r="C737" s="65" t="s">
        <v>4</v>
      </c>
      <c r="D737" s="66" t="s">
        <v>2063</v>
      </c>
      <c r="E737" s="67">
        <v>40759.465995370374</v>
      </c>
      <c r="F737" s="67"/>
      <c r="G737" s="64" t="str">
        <f>IF(stdProdLT(Main[[#This Row],[Comments]])=0.1,"N/A",IF(stdProdLT(Main[[#This Row],[Comments]])=0,"",stdProdLT(Main[[#This Row],[Comments]])))</f>
        <v/>
      </c>
      <c r="H737" s="68" t="str">
        <f>IF(AND(Main[[#This Row],[In Stock Date]]&lt;&gt;"",Main[[#This Row],[Revised Due Date]]&lt;&gt;""),Main[[#This Row],[In Stock Date]]-Main[[#This Row],[Revised Due Date]],"")</f>
        <v/>
      </c>
      <c r="I737" s="65" t="s">
        <v>912</v>
      </c>
      <c r="J737" s="65" t="s">
        <v>52</v>
      </c>
      <c r="K737" s="65" t="s">
        <v>4</v>
      </c>
      <c r="L737" s="67"/>
      <c r="M737" s="69" t="str">
        <f>IF(Main[[#This Row],[Tech Start Date]]&lt;1/1/1990,"",IF(Main[[#This Row],[Class]]="C",WORKDAY(Main[[#This Row],[Tech Start Date]],9),IF(Main[[#This Row],[Class]]="B", WORKDAY(Main[[#This Row],[Tech Start Date]],6),IF(Main[[#This Row],[Class]]="A",WORKDAY(Main[[#This Row],[Tech Start Date]],2),""))))</f>
        <v/>
      </c>
      <c r="N737" s="69" t="str">
        <f>IF(Main[[#This Row],[Tech Start Date]]&lt;1/1/1990,"",IF(Main[[#This Row],[Class]]="C",WORKDAY(Main[[#This Row],[Tech Start Date]],19),IF(Main[[#This Row],[Class]]="B", WORKDAY(Main[[#This Row],[Tech Start Date]],12),IF(Main[[#This Row],[Class]]="A",WORKDAY(Main[[#This Row],[Tech Start Date]],4),""))))</f>
        <v/>
      </c>
      <c r="O737" s="69" t="str">
        <f>IF(Main[[#This Row],[Tech Start Date]]&lt;1/1/1990,"",IF(Main[[#This Row],[Class]]="C",WORKDAY(Main[[#This Row],[Tech Start Date]],23),IF(Main[[#This Row],[Class]]="B", WORKDAY(Main[[#This Row],[Tech Start Date]],15),IF(Main[[#This Row],[Class]]="A",WORKDAY(Main[[#This Row],[Tech Start Date]],5),""))))</f>
        <v/>
      </c>
      <c r="P737" s="69" t="str">
        <f>IF(Main[[#This Row],[Tech Start Date]]&lt;1/1/1990,"",IF(Main[[#This Row],[Class]]="C",WORKDAY(Main[[#This Row],[Tech Start Date]],28),IF(Main[[#This Row],[Class]]="B", WORKDAY(Main[[#This Row],[Tech Start Date]],19),IF(Main[[#This Row],[Class]]="A",WORKDAY(Main[[#This Row],[Tech Start Date]],9),""))))</f>
        <v/>
      </c>
      <c r="Q737" s="67"/>
      <c r="R737" s="67"/>
      <c r="S737" s="65" t="s">
        <v>6</v>
      </c>
      <c r="T737" s="70" t="s">
        <v>4</v>
      </c>
      <c r="U737" s="65" t="s">
        <v>29</v>
      </c>
      <c r="V737" s="65" t="s">
        <v>1914</v>
      </c>
      <c r="W737" s="65" t="s">
        <v>1918</v>
      </c>
      <c r="X737" s="65" t="s">
        <v>912</v>
      </c>
      <c r="Y737" s="65" t="s">
        <v>3057</v>
      </c>
      <c r="Z737" s="65" t="s">
        <v>4</v>
      </c>
      <c r="AA737" s="65" t="s">
        <v>912</v>
      </c>
    </row>
    <row r="738" spans="1:27" ht="17.45" hidden="1" customHeight="1">
      <c r="A738" s="100" t="str">
        <f>IF(priority(Main[[#This Row],[Comments]])&lt;&gt;0, priority(Main[[#This Row],[Comments]]),"")</f>
        <v/>
      </c>
      <c r="B738" s="77" t="s">
        <v>1650</v>
      </c>
      <c r="C738" s="65" t="s">
        <v>33</v>
      </c>
      <c r="D738" s="66" t="s">
        <v>717</v>
      </c>
      <c r="E738" s="67"/>
      <c r="F738" s="67">
        <v>40530</v>
      </c>
      <c r="G738" s="64" t="str">
        <f>IF(stdProdLT(Main[[#This Row],[Comments]])=0.1,"N/A",IF(stdProdLT(Main[[#This Row],[Comments]])=0,"",stdProdLT(Main[[#This Row],[Comments]])))</f>
        <v/>
      </c>
      <c r="H738" s="68" t="str">
        <f>IF(AND(Main[[#This Row],[In Stock Date]]&lt;&gt;"",Main[[#This Row],[Revised Due Date]]&lt;&gt;""),Main[[#This Row],[In Stock Date]]-Main[[#This Row],[Revised Due Date]],"")</f>
        <v/>
      </c>
      <c r="I738" s="65" t="s">
        <v>74</v>
      </c>
      <c r="J738" s="65" t="s">
        <v>28</v>
      </c>
      <c r="K738" s="65" t="s">
        <v>1926</v>
      </c>
      <c r="L738" s="67"/>
      <c r="M738" s="69" t="str">
        <f>IF(Main[[#This Row],[Tech Start Date]]&lt;1/1/1990,"",IF(Main[[#This Row],[Class]]="C",WORKDAY(Main[[#This Row],[Tech Start Date]],9),IF(Main[[#This Row],[Class]]="B", WORKDAY(Main[[#This Row],[Tech Start Date]],6),IF(Main[[#This Row],[Class]]="A",WORKDAY(Main[[#This Row],[Tech Start Date]],2),""))))</f>
        <v/>
      </c>
      <c r="N738" s="69" t="str">
        <f>IF(Main[[#This Row],[Tech Start Date]]&lt;1/1/1990,"",IF(Main[[#This Row],[Class]]="C",WORKDAY(Main[[#This Row],[Tech Start Date]],19),IF(Main[[#This Row],[Class]]="B", WORKDAY(Main[[#This Row],[Tech Start Date]],12),IF(Main[[#This Row],[Class]]="A",WORKDAY(Main[[#This Row],[Tech Start Date]],4),""))))</f>
        <v/>
      </c>
      <c r="O738" s="69" t="str">
        <f>IF(Main[[#This Row],[Tech Start Date]]&lt;1/1/1990,"",IF(Main[[#This Row],[Class]]="C",WORKDAY(Main[[#This Row],[Tech Start Date]],23),IF(Main[[#This Row],[Class]]="B", WORKDAY(Main[[#This Row],[Tech Start Date]],15),IF(Main[[#This Row],[Class]]="A",WORKDAY(Main[[#This Row],[Tech Start Date]],5),""))))</f>
        <v/>
      </c>
      <c r="P738" s="69" t="str">
        <f>IF(Main[[#This Row],[Tech Start Date]]&lt;1/1/1990,"",IF(Main[[#This Row],[Class]]="C",WORKDAY(Main[[#This Row],[Tech Start Date]],28),IF(Main[[#This Row],[Class]]="B", WORKDAY(Main[[#This Row],[Tech Start Date]],19),IF(Main[[#This Row],[Class]]="A",WORKDAY(Main[[#This Row],[Tech Start Date]],9),""))))</f>
        <v/>
      </c>
      <c r="Q738" s="67">
        <v>40390</v>
      </c>
      <c r="R738" s="67"/>
      <c r="S738" s="65" t="s">
        <v>17</v>
      </c>
      <c r="T738" s="70" t="s">
        <v>4</v>
      </c>
      <c r="U738" s="65" t="s">
        <v>14</v>
      </c>
      <c r="V738" s="65" t="s">
        <v>1917</v>
      </c>
      <c r="W738" s="65" t="s">
        <v>1919</v>
      </c>
      <c r="X738" s="65" t="s">
        <v>2826</v>
      </c>
      <c r="Y738" s="65" t="s">
        <v>4</v>
      </c>
      <c r="Z738" s="65" t="s">
        <v>74</v>
      </c>
      <c r="AA738" s="65" t="s">
        <v>2826</v>
      </c>
    </row>
    <row r="739" spans="1:27" ht="17.45" hidden="1" customHeight="1">
      <c r="A739" s="100" t="str">
        <f>IF(priority(Main[[#This Row],[Comments]])&lt;&gt;0, priority(Main[[#This Row],[Comments]]),"")</f>
        <v/>
      </c>
      <c r="B739" s="77" t="s">
        <v>1651</v>
      </c>
      <c r="C739" s="65" t="s">
        <v>4</v>
      </c>
      <c r="D739" s="66" t="s">
        <v>537</v>
      </c>
      <c r="E739" s="67"/>
      <c r="F739" s="67"/>
      <c r="G739" s="64" t="str">
        <f>IF(stdProdLT(Main[[#This Row],[Comments]])=0.1,"N/A",IF(stdProdLT(Main[[#This Row],[Comments]])=0,"",stdProdLT(Main[[#This Row],[Comments]])))</f>
        <v/>
      </c>
      <c r="H739" s="68" t="str">
        <f>IF(AND(Main[[#This Row],[In Stock Date]]&lt;&gt;"",Main[[#This Row],[Revised Due Date]]&lt;&gt;""),Main[[#This Row],[In Stock Date]]-Main[[#This Row],[Revised Due Date]],"")</f>
        <v/>
      </c>
      <c r="I739" s="65" t="s">
        <v>4</v>
      </c>
      <c r="J739" s="65" t="s">
        <v>4</v>
      </c>
      <c r="K739" s="71" t="s">
        <v>4</v>
      </c>
      <c r="L739" s="67"/>
      <c r="M739" s="69" t="str">
        <f>IF(Main[[#This Row],[Tech Start Date]]&lt;1/1/1990,"",IF(Main[[#This Row],[Class]]="C",WORKDAY(Main[[#This Row],[Tech Start Date]],9),IF(Main[[#This Row],[Class]]="B", WORKDAY(Main[[#This Row],[Tech Start Date]],6),IF(Main[[#This Row],[Class]]="A",WORKDAY(Main[[#This Row],[Tech Start Date]],2),""))))</f>
        <v/>
      </c>
      <c r="N739" s="69" t="str">
        <f>IF(Main[[#This Row],[Tech Start Date]]&lt;1/1/1990,"",IF(Main[[#This Row],[Class]]="C",WORKDAY(Main[[#This Row],[Tech Start Date]],19),IF(Main[[#This Row],[Class]]="B", WORKDAY(Main[[#This Row],[Tech Start Date]],12),IF(Main[[#This Row],[Class]]="A",WORKDAY(Main[[#This Row],[Tech Start Date]],4),""))))</f>
        <v/>
      </c>
      <c r="O739" s="69" t="str">
        <f>IF(Main[[#This Row],[Tech Start Date]]&lt;1/1/1990,"",IF(Main[[#This Row],[Class]]="C",WORKDAY(Main[[#This Row],[Tech Start Date]],23),IF(Main[[#This Row],[Class]]="B", WORKDAY(Main[[#This Row],[Tech Start Date]],15),IF(Main[[#This Row],[Class]]="A",WORKDAY(Main[[#This Row],[Tech Start Date]],5),""))))</f>
        <v/>
      </c>
      <c r="P739" s="69" t="str">
        <f>IF(Main[[#This Row],[Tech Start Date]]&lt;1/1/1990,"",IF(Main[[#This Row],[Class]]="C",WORKDAY(Main[[#This Row],[Tech Start Date]],28),IF(Main[[#This Row],[Class]]="B", WORKDAY(Main[[#This Row],[Tech Start Date]],19),IF(Main[[#This Row],[Class]]="A",WORKDAY(Main[[#This Row],[Tech Start Date]],9),""))))</f>
        <v/>
      </c>
      <c r="Q739" s="67">
        <v>40606</v>
      </c>
      <c r="R739" s="67"/>
      <c r="S739" s="65" t="s">
        <v>6</v>
      </c>
      <c r="T739" s="70" t="s">
        <v>4</v>
      </c>
      <c r="U739" s="65" t="s">
        <v>14</v>
      </c>
      <c r="V739" s="65" t="s">
        <v>1917</v>
      </c>
      <c r="W739" s="65" t="s">
        <v>1918</v>
      </c>
      <c r="X739" s="65" t="s">
        <v>2836</v>
      </c>
      <c r="Y739" s="65" t="s">
        <v>2965</v>
      </c>
      <c r="Z739" s="65" t="s">
        <v>4</v>
      </c>
      <c r="AA739" s="65" t="s">
        <v>2836</v>
      </c>
    </row>
    <row r="740" spans="1:27" ht="17.45" hidden="1" customHeight="1">
      <c r="A740" s="100" t="str">
        <f>IF(priority(Main[[#This Row],[Comments]])&lt;&gt;0, priority(Main[[#This Row],[Comments]]),"")</f>
        <v/>
      </c>
      <c r="B740" s="77" t="s">
        <v>1407</v>
      </c>
      <c r="C740" s="65" t="s">
        <v>4</v>
      </c>
      <c r="D740" s="66" t="s">
        <v>1950</v>
      </c>
      <c r="E740" s="67"/>
      <c r="F740" s="67"/>
      <c r="G740" s="64" t="str">
        <f>IF(stdProdLT(Main[[#This Row],[Comments]])=0.1,"N/A",IF(stdProdLT(Main[[#This Row],[Comments]])=0,"",stdProdLT(Main[[#This Row],[Comments]])))</f>
        <v/>
      </c>
      <c r="H740" s="68" t="str">
        <f>IF(AND(Main[[#This Row],[In Stock Date]]&lt;&gt;"",Main[[#This Row],[Revised Due Date]]&lt;&gt;""),Main[[#This Row],[In Stock Date]]-Main[[#This Row],[Revised Due Date]],"")</f>
        <v/>
      </c>
      <c r="I740" s="65" t="s">
        <v>4</v>
      </c>
      <c r="J740" s="65" t="s">
        <v>4</v>
      </c>
      <c r="K740" s="65" t="s">
        <v>4</v>
      </c>
      <c r="L740" s="67"/>
      <c r="M740" s="69" t="str">
        <f>IF(Main[[#This Row],[Tech Start Date]]&lt;1/1/1990,"",IF(Main[[#This Row],[Class]]="C",WORKDAY(Main[[#This Row],[Tech Start Date]],9),IF(Main[[#This Row],[Class]]="B", WORKDAY(Main[[#This Row],[Tech Start Date]],6),IF(Main[[#This Row],[Class]]="A",WORKDAY(Main[[#This Row],[Tech Start Date]],2),""))))</f>
        <v/>
      </c>
      <c r="N740" s="69" t="str">
        <f>IF(Main[[#This Row],[Tech Start Date]]&lt;1/1/1990,"",IF(Main[[#This Row],[Class]]="C",WORKDAY(Main[[#This Row],[Tech Start Date]],19),IF(Main[[#This Row],[Class]]="B", WORKDAY(Main[[#This Row],[Tech Start Date]],12),IF(Main[[#This Row],[Class]]="A",WORKDAY(Main[[#This Row],[Tech Start Date]],4),""))))</f>
        <v/>
      </c>
      <c r="O740" s="69" t="str">
        <f>IF(Main[[#This Row],[Tech Start Date]]&lt;1/1/1990,"",IF(Main[[#This Row],[Class]]="C",WORKDAY(Main[[#This Row],[Tech Start Date]],23),IF(Main[[#This Row],[Class]]="B", WORKDAY(Main[[#This Row],[Tech Start Date]],15),IF(Main[[#This Row],[Class]]="A",WORKDAY(Main[[#This Row],[Tech Start Date]],5),""))))</f>
        <v/>
      </c>
      <c r="P740" s="69" t="str">
        <f>IF(Main[[#This Row],[Tech Start Date]]&lt;1/1/1990,"",IF(Main[[#This Row],[Class]]="C",WORKDAY(Main[[#This Row],[Tech Start Date]],28),IF(Main[[#This Row],[Class]]="B", WORKDAY(Main[[#This Row],[Tech Start Date]],19),IF(Main[[#This Row],[Class]]="A",WORKDAY(Main[[#This Row],[Tech Start Date]],9),""))))</f>
        <v/>
      </c>
      <c r="Q740" s="67"/>
      <c r="R740" s="67"/>
      <c r="S740" s="65" t="s">
        <v>6</v>
      </c>
      <c r="T740" s="70" t="s">
        <v>4</v>
      </c>
      <c r="U740" s="65" t="s">
        <v>14</v>
      </c>
      <c r="V740" s="65" t="s">
        <v>1915</v>
      </c>
      <c r="W740" s="65" t="s">
        <v>1916</v>
      </c>
      <c r="X740" s="65" t="s">
        <v>922</v>
      </c>
      <c r="Y740" s="65" t="s">
        <v>3020</v>
      </c>
      <c r="Z740" s="65" t="s">
        <v>4</v>
      </c>
      <c r="AA740" s="65" t="s">
        <v>3404</v>
      </c>
    </row>
    <row r="741" spans="1:27" ht="17.45" hidden="1" customHeight="1">
      <c r="A741" s="100" t="str">
        <f>IF(priority(Main[[#This Row],[Comments]])&lt;&gt;0, priority(Main[[#This Row],[Comments]]),"")</f>
        <v/>
      </c>
      <c r="B741" s="77" t="s">
        <v>1652</v>
      </c>
      <c r="C741" s="65" t="s">
        <v>4</v>
      </c>
      <c r="D741" s="66" t="s">
        <v>718</v>
      </c>
      <c r="E741" s="67"/>
      <c r="F741" s="67">
        <v>40598</v>
      </c>
      <c r="G741" s="64" t="str">
        <f>IF(stdProdLT(Main[[#This Row],[Comments]])=0.1,"N/A",IF(stdProdLT(Main[[#This Row],[Comments]])=0,"",stdProdLT(Main[[#This Row],[Comments]])))</f>
        <v/>
      </c>
      <c r="H741" s="68" t="str">
        <f>IF(AND(Main[[#This Row],[In Stock Date]]&lt;&gt;"",Main[[#This Row],[Revised Due Date]]&lt;&gt;""),Main[[#This Row],[In Stock Date]]-Main[[#This Row],[Revised Due Date]],"")</f>
        <v/>
      </c>
      <c r="I741" s="65" t="s">
        <v>306</v>
      </c>
      <c r="J741" s="65" t="s">
        <v>75</v>
      </c>
      <c r="K741" s="65" t="s">
        <v>4</v>
      </c>
      <c r="L741" s="67"/>
      <c r="M741" s="69" t="str">
        <f>IF(Main[[#This Row],[Tech Start Date]]&lt;1/1/1990,"",IF(Main[[#This Row],[Class]]="C",WORKDAY(Main[[#This Row],[Tech Start Date]],9),IF(Main[[#This Row],[Class]]="B", WORKDAY(Main[[#This Row],[Tech Start Date]],6),IF(Main[[#This Row],[Class]]="A",WORKDAY(Main[[#This Row],[Tech Start Date]],2),""))))</f>
        <v/>
      </c>
      <c r="N741" s="69" t="str">
        <f>IF(Main[[#This Row],[Tech Start Date]]&lt;1/1/1990,"",IF(Main[[#This Row],[Class]]="C",WORKDAY(Main[[#This Row],[Tech Start Date]],19),IF(Main[[#This Row],[Class]]="B", WORKDAY(Main[[#This Row],[Tech Start Date]],12),IF(Main[[#This Row],[Class]]="A",WORKDAY(Main[[#This Row],[Tech Start Date]],4),""))))</f>
        <v/>
      </c>
      <c r="O741" s="69" t="str">
        <f>IF(Main[[#This Row],[Tech Start Date]]&lt;1/1/1990,"",IF(Main[[#This Row],[Class]]="C",WORKDAY(Main[[#This Row],[Tech Start Date]],23),IF(Main[[#This Row],[Class]]="B", WORKDAY(Main[[#This Row],[Tech Start Date]],15),IF(Main[[#This Row],[Class]]="A",WORKDAY(Main[[#This Row],[Tech Start Date]],5),""))))</f>
        <v/>
      </c>
      <c r="P741" s="69" t="str">
        <f>IF(Main[[#This Row],[Tech Start Date]]&lt;1/1/1990,"",IF(Main[[#This Row],[Class]]="C",WORKDAY(Main[[#This Row],[Tech Start Date]],28),IF(Main[[#This Row],[Class]]="B", WORKDAY(Main[[#This Row],[Tech Start Date]],19),IF(Main[[#This Row],[Class]]="A",WORKDAY(Main[[#This Row],[Tech Start Date]],9),""))))</f>
        <v/>
      </c>
      <c r="Q741" s="67">
        <v>40598</v>
      </c>
      <c r="R741" s="67"/>
      <c r="S741" s="65" t="s">
        <v>6</v>
      </c>
      <c r="T741" s="70" t="s">
        <v>4</v>
      </c>
      <c r="U741" s="65" t="s">
        <v>14</v>
      </c>
      <c r="V741" s="65" t="s">
        <v>1924</v>
      </c>
      <c r="W741" s="65" t="s">
        <v>1920</v>
      </c>
      <c r="X741" s="65" t="s">
        <v>2848</v>
      </c>
      <c r="Y741" s="65" t="s">
        <v>2979</v>
      </c>
      <c r="Z741" s="65" t="s">
        <v>306</v>
      </c>
      <c r="AA741" s="65" t="s">
        <v>2848</v>
      </c>
    </row>
    <row r="742" spans="1:27" ht="17.45" hidden="1" customHeight="1">
      <c r="A742" s="100" t="str">
        <f>IF(priority(Main[[#This Row],[Comments]])&lt;&gt;0, priority(Main[[#This Row],[Comments]]),"")</f>
        <v/>
      </c>
      <c r="B742" s="77" t="s">
        <v>1653</v>
      </c>
      <c r="C742" s="65" t="s">
        <v>347</v>
      </c>
      <c r="D742" s="66" t="s">
        <v>719</v>
      </c>
      <c r="E742" s="67"/>
      <c r="F742" s="67"/>
      <c r="G742" s="64" t="str">
        <f>IF(stdProdLT(Main[[#This Row],[Comments]])=0.1,"N/A",IF(stdProdLT(Main[[#This Row],[Comments]])=0,"",stdProdLT(Main[[#This Row],[Comments]])))</f>
        <v/>
      </c>
      <c r="H742" s="68" t="str">
        <f>IF(AND(Main[[#This Row],[In Stock Date]]&lt;&gt;"",Main[[#This Row],[Revised Due Date]]&lt;&gt;""),Main[[#This Row],[In Stock Date]]-Main[[#This Row],[Revised Due Date]],"")</f>
        <v/>
      </c>
      <c r="I742" s="65" t="s">
        <v>4</v>
      </c>
      <c r="J742" s="65" t="s">
        <v>28</v>
      </c>
      <c r="K742" s="65" t="s">
        <v>1926</v>
      </c>
      <c r="L742" s="67"/>
      <c r="M742" s="69" t="str">
        <f>IF(Main[[#This Row],[Tech Start Date]]&lt;1/1/1990,"",IF(Main[[#This Row],[Class]]="C",WORKDAY(Main[[#This Row],[Tech Start Date]],9),IF(Main[[#This Row],[Class]]="B", WORKDAY(Main[[#This Row],[Tech Start Date]],6),IF(Main[[#This Row],[Class]]="A",WORKDAY(Main[[#This Row],[Tech Start Date]],2),""))))</f>
        <v/>
      </c>
      <c r="N742" s="69" t="str">
        <f>IF(Main[[#This Row],[Tech Start Date]]&lt;1/1/1990,"",IF(Main[[#This Row],[Class]]="C",WORKDAY(Main[[#This Row],[Tech Start Date]],19),IF(Main[[#This Row],[Class]]="B", WORKDAY(Main[[#This Row],[Tech Start Date]],12),IF(Main[[#This Row],[Class]]="A",WORKDAY(Main[[#This Row],[Tech Start Date]],4),""))))</f>
        <v/>
      </c>
      <c r="O742" s="69" t="str">
        <f>IF(Main[[#This Row],[Tech Start Date]]&lt;1/1/1990,"",IF(Main[[#This Row],[Class]]="C",WORKDAY(Main[[#This Row],[Tech Start Date]],23),IF(Main[[#This Row],[Class]]="B", WORKDAY(Main[[#This Row],[Tech Start Date]],15),IF(Main[[#This Row],[Class]]="A",WORKDAY(Main[[#This Row],[Tech Start Date]],5),""))))</f>
        <v/>
      </c>
      <c r="P742" s="69" t="str">
        <f>IF(Main[[#This Row],[Tech Start Date]]&lt;1/1/1990,"",IF(Main[[#This Row],[Class]]="C",WORKDAY(Main[[#This Row],[Tech Start Date]],28),IF(Main[[#This Row],[Class]]="B", WORKDAY(Main[[#This Row],[Tech Start Date]],19),IF(Main[[#This Row],[Class]]="A",WORKDAY(Main[[#This Row],[Tech Start Date]],9),""))))</f>
        <v/>
      </c>
      <c r="Q742" s="67"/>
      <c r="R742" s="67"/>
      <c r="S742" s="65" t="s">
        <v>17</v>
      </c>
      <c r="T742" s="70" t="s">
        <v>4</v>
      </c>
      <c r="U742" s="65" t="s">
        <v>14</v>
      </c>
      <c r="V742" s="65" t="s">
        <v>1917</v>
      </c>
      <c r="W742" s="65" t="s">
        <v>1919</v>
      </c>
      <c r="X742" s="65" t="s">
        <v>50</v>
      </c>
      <c r="Y742" s="65" t="s">
        <v>3093</v>
      </c>
      <c r="Z742" s="65" t="s">
        <v>415</v>
      </c>
      <c r="AA742" s="65" t="s">
        <v>2872</v>
      </c>
    </row>
    <row r="743" spans="1:27" ht="17.45" hidden="1" customHeight="1">
      <c r="A743" s="100" t="str">
        <f>IF(priority(Main[[#This Row],[Comments]])&lt;&gt;0, priority(Main[[#This Row],[Comments]]),"")</f>
        <v/>
      </c>
      <c r="B743" s="77" t="s">
        <v>1655</v>
      </c>
      <c r="C743" s="65" t="s">
        <v>31</v>
      </c>
      <c r="D743" s="66" t="s">
        <v>388</v>
      </c>
      <c r="E743" s="67"/>
      <c r="F743" s="67">
        <v>40288</v>
      </c>
      <c r="G743" s="64" t="str">
        <f>IF(stdProdLT(Main[[#This Row],[Comments]])=0.1,"N/A",IF(stdProdLT(Main[[#This Row],[Comments]])=0,"",stdProdLT(Main[[#This Row],[Comments]])))</f>
        <v/>
      </c>
      <c r="H743" s="68" t="str">
        <f>IF(AND(Main[[#This Row],[In Stock Date]]&lt;&gt;"",Main[[#This Row],[Revised Due Date]]&lt;&gt;""),Main[[#This Row],[In Stock Date]]-Main[[#This Row],[Revised Due Date]],"")</f>
        <v/>
      </c>
      <c r="I743" s="65" t="s">
        <v>4</v>
      </c>
      <c r="J743" s="65" t="s">
        <v>4</v>
      </c>
      <c r="K743" s="65" t="s">
        <v>4</v>
      </c>
      <c r="L743" s="67"/>
      <c r="M743" s="69" t="str">
        <f>IF(Main[[#This Row],[Tech Start Date]]&lt;1/1/1990,"",IF(Main[[#This Row],[Class]]="C",WORKDAY(Main[[#This Row],[Tech Start Date]],9),IF(Main[[#This Row],[Class]]="B", WORKDAY(Main[[#This Row],[Tech Start Date]],6),IF(Main[[#This Row],[Class]]="A",WORKDAY(Main[[#This Row],[Tech Start Date]],2),""))))</f>
        <v/>
      </c>
      <c r="N743" s="69" t="str">
        <f>IF(Main[[#This Row],[Tech Start Date]]&lt;1/1/1990,"",IF(Main[[#This Row],[Class]]="C",WORKDAY(Main[[#This Row],[Tech Start Date]],19),IF(Main[[#This Row],[Class]]="B", WORKDAY(Main[[#This Row],[Tech Start Date]],12),IF(Main[[#This Row],[Class]]="A",WORKDAY(Main[[#This Row],[Tech Start Date]],4),""))))</f>
        <v/>
      </c>
      <c r="O743" s="69" t="str">
        <f>IF(Main[[#This Row],[Tech Start Date]]&lt;1/1/1990,"",IF(Main[[#This Row],[Class]]="C",WORKDAY(Main[[#This Row],[Tech Start Date]],23),IF(Main[[#This Row],[Class]]="B", WORKDAY(Main[[#This Row],[Tech Start Date]],15),IF(Main[[#This Row],[Class]]="A",WORKDAY(Main[[#This Row],[Tech Start Date]],5),""))))</f>
        <v/>
      </c>
      <c r="P743" s="69" t="str">
        <f>IF(Main[[#This Row],[Tech Start Date]]&lt;1/1/1990,"",IF(Main[[#This Row],[Class]]="C",WORKDAY(Main[[#This Row],[Tech Start Date]],28),IF(Main[[#This Row],[Class]]="B", WORKDAY(Main[[#This Row],[Tech Start Date]],19),IF(Main[[#This Row],[Class]]="A",WORKDAY(Main[[#This Row],[Tech Start Date]],9),""))))</f>
        <v/>
      </c>
      <c r="Q743" s="67">
        <v>40106</v>
      </c>
      <c r="R743" s="67"/>
      <c r="S743" s="65" t="s">
        <v>11</v>
      </c>
      <c r="T743" s="70" t="s">
        <v>4</v>
      </c>
      <c r="U743" s="65" t="s">
        <v>14</v>
      </c>
      <c r="V743" s="65" t="s">
        <v>1917</v>
      </c>
      <c r="W743" s="65" t="s">
        <v>1925</v>
      </c>
      <c r="X743" s="65" t="s">
        <v>2830</v>
      </c>
      <c r="Y743" s="65" t="s">
        <v>4</v>
      </c>
      <c r="Z743" s="65" t="s">
        <v>4</v>
      </c>
      <c r="AA743" s="65" t="s">
        <v>2830</v>
      </c>
    </row>
    <row r="744" spans="1:27" ht="17.45" hidden="1" customHeight="1">
      <c r="A744" s="100" t="str">
        <f>IF(priority(Main[[#This Row],[Comments]])&lt;&gt;0, priority(Main[[#This Row],[Comments]]),"")</f>
        <v/>
      </c>
      <c r="B744" s="77" t="s">
        <v>1656</v>
      </c>
      <c r="C744" s="65" t="s">
        <v>4</v>
      </c>
      <c r="D744" s="66" t="s">
        <v>721</v>
      </c>
      <c r="E744" s="67"/>
      <c r="F744" s="67">
        <v>40640</v>
      </c>
      <c r="G744" s="64" t="str">
        <f>IF(stdProdLT(Main[[#This Row],[Comments]])=0.1,"N/A",IF(stdProdLT(Main[[#This Row],[Comments]])=0,"",stdProdLT(Main[[#This Row],[Comments]])))</f>
        <v/>
      </c>
      <c r="H744" s="68" t="str">
        <f>IF(AND(Main[[#This Row],[In Stock Date]]&lt;&gt;"",Main[[#This Row],[Revised Due Date]]&lt;&gt;""),Main[[#This Row],[In Stock Date]]-Main[[#This Row],[Revised Due Date]],"")</f>
        <v/>
      </c>
      <c r="I744" s="65" t="s">
        <v>4</v>
      </c>
      <c r="J744" s="65" t="s">
        <v>28</v>
      </c>
      <c r="K744" s="65" t="s">
        <v>1927</v>
      </c>
      <c r="L744" s="67"/>
      <c r="M744" s="69" t="str">
        <f>IF(Main[[#This Row],[Tech Start Date]]&lt;1/1/1990,"",IF(Main[[#This Row],[Class]]="C",WORKDAY(Main[[#This Row],[Tech Start Date]],9),IF(Main[[#This Row],[Class]]="B", WORKDAY(Main[[#This Row],[Tech Start Date]],6),IF(Main[[#This Row],[Class]]="A",WORKDAY(Main[[#This Row],[Tech Start Date]],2),""))))</f>
        <v/>
      </c>
      <c r="N744" s="69" t="str">
        <f>IF(Main[[#This Row],[Tech Start Date]]&lt;1/1/1990,"",IF(Main[[#This Row],[Class]]="C",WORKDAY(Main[[#This Row],[Tech Start Date]],19),IF(Main[[#This Row],[Class]]="B", WORKDAY(Main[[#This Row],[Tech Start Date]],12),IF(Main[[#This Row],[Class]]="A",WORKDAY(Main[[#This Row],[Tech Start Date]],4),""))))</f>
        <v/>
      </c>
      <c r="O744" s="69" t="str">
        <f>IF(Main[[#This Row],[Tech Start Date]]&lt;1/1/1990,"",IF(Main[[#This Row],[Class]]="C",WORKDAY(Main[[#This Row],[Tech Start Date]],23),IF(Main[[#This Row],[Class]]="B", WORKDAY(Main[[#This Row],[Tech Start Date]],15),IF(Main[[#This Row],[Class]]="A",WORKDAY(Main[[#This Row],[Tech Start Date]],5),""))))</f>
        <v/>
      </c>
      <c r="P744" s="69" t="str">
        <f>IF(Main[[#This Row],[Tech Start Date]]&lt;1/1/1990,"",IF(Main[[#This Row],[Class]]="C",WORKDAY(Main[[#This Row],[Tech Start Date]],28),IF(Main[[#This Row],[Class]]="B", WORKDAY(Main[[#This Row],[Tech Start Date]],19),IF(Main[[#This Row],[Class]]="A",WORKDAY(Main[[#This Row],[Tech Start Date]],9),""))))</f>
        <v/>
      </c>
      <c r="Q744" s="67">
        <v>40640</v>
      </c>
      <c r="R744" s="67"/>
      <c r="S744" s="65" t="s">
        <v>11</v>
      </c>
      <c r="T744" s="70" t="s">
        <v>4</v>
      </c>
      <c r="U744" s="65" t="s">
        <v>14</v>
      </c>
      <c r="V744" s="65" t="s">
        <v>1914</v>
      </c>
      <c r="W744" s="65" t="s">
        <v>1922</v>
      </c>
      <c r="X744" s="65" t="s">
        <v>2861</v>
      </c>
      <c r="Y744" s="65" t="s">
        <v>3005</v>
      </c>
      <c r="Z744" s="65" t="s">
        <v>129</v>
      </c>
      <c r="AA744" s="65" t="s">
        <v>2861</v>
      </c>
    </row>
    <row r="745" spans="1:27" ht="17.45" hidden="1" customHeight="1">
      <c r="A745" s="100" t="str">
        <f>IF(priority(Main[[#This Row],[Comments]])&lt;&gt;0, priority(Main[[#This Row],[Comments]]),"")</f>
        <v/>
      </c>
      <c r="B745" s="77" t="s">
        <v>1657</v>
      </c>
      <c r="C745" s="65" t="s">
        <v>4</v>
      </c>
      <c r="D745" s="66" t="s">
        <v>722</v>
      </c>
      <c r="E745" s="67"/>
      <c r="F745" s="67"/>
      <c r="G745" s="64" t="str">
        <f>IF(stdProdLT(Main[[#This Row],[Comments]])=0.1,"N/A",IF(stdProdLT(Main[[#This Row],[Comments]])=0,"",stdProdLT(Main[[#This Row],[Comments]])))</f>
        <v/>
      </c>
      <c r="H745" s="68" t="str">
        <f>IF(AND(Main[[#This Row],[In Stock Date]]&lt;&gt;"",Main[[#This Row],[Revised Due Date]]&lt;&gt;""),Main[[#This Row],[In Stock Date]]-Main[[#This Row],[Revised Due Date]],"")</f>
        <v/>
      </c>
      <c r="I745" s="65" t="s">
        <v>4</v>
      </c>
      <c r="J745" s="65" t="s">
        <v>4</v>
      </c>
      <c r="K745" s="65" t="s">
        <v>4</v>
      </c>
      <c r="L745" s="67"/>
      <c r="M745" s="69" t="str">
        <f>IF(Main[[#This Row],[Tech Start Date]]&lt;1/1/1990,"",IF(Main[[#This Row],[Class]]="C",WORKDAY(Main[[#This Row],[Tech Start Date]],9),IF(Main[[#This Row],[Class]]="B", WORKDAY(Main[[#This Row],[Tech Start Date]],6),IF(Main[[#This Row],[Class]]="A",WORKDAY(Main[[#This Row],[Tech Start Date]],2),""))))</f>
        <v/>
      </c>
      <c r="N745" s="69" t="str">
        <f>IF(Main[[#This Row],[Tech Start Date]]&lt;1/1/1990,"",IF(Main[[#This Row],[Class]]="C",WORKDAY(Main[[#This Row],[Tech Start Date]],19),IF(Main[[#This Row],[Class]]="B", WORKDAY(Main[[#This Row],[Tech Start Date]],12),IF(Main[[#This Row],[Class]]="A",WORKDAY(Main[[#This Row],[Tech Start Date]],4),""))))</f>
        <v/>
      </c>
      <c r="O745" s="69" t="str">
        <f>IF(Main[[#This Row],[Tech Start Date]]&lt;1/1/1990,"",IF(Main[[#This Row],[Class]]="C",WORKDAY(Main[[#This Row],[Tech Start Date]],23),IF(Main[[#This Row],[Class]]="B", WORKDAY(Main[[#This Row],[Tech Start Date]],15),IF(Main[[#This Row],[Class]]="A",WORKDAY(Main[[#This Row],[Tech Start Date]],5),""))))</f>
        <v/>
      </c>
      <c r="P745" s="69" t="str">
        <f>IF(Main[[#This Row],[Tech Start Date]]&lt;1/1/1990,"",IF(Main[[#This Row],[Class]]="C",WORKDAY(Main[[#This Row],[Tech Start Date]],28),IF(Main[[#This Row],[Class]]="B", WORKDAY(Main[[#This Row],[Tech Start Date]],19),IF(Main[[#This Row],[Class]]="A",WORKDAY(Main[[#This Row],[Tech Start Date]],9),""))))</f>
        <v/>
      </c>
      <c r="Q745" s="67">
        <v>40385</v>
      </c>
      <c r="R745" s="67"/>
      <c r="S745" s="65" t="s">
        <v>6</v>
      </c>
      <c r="T745" s="70" t="s">
        <v>4</v>
      </c>
      <c r="U745" s="65" t="s">
        <v>14</v>
      </c>
      <c r="V745" s="65" t="s">
        <v>1917</v>
      </c>
      <c r="W745" s="65" t="s">
        <v>1916</v>
      </c>
      <c r="X745" s="65" t="s">
        <v>102</v>
      </c>
      <c r="Y745" s="65" t="s">
        <v>3032</v>
      </c>
      <c r="Z745" s="65" t="s">
        <v>4</v>
      </c>
      <c r="AA745" s="65" t="s">
        <v>3397</v>
      </c>
    </row>
    <row r="746" spans="1:27" ht="17.45" hidden="1" customHeight="1">
      <c r="A746" s="100" t="str">
        <f>IF(priority(Main[[#This Row],[Comments]])&lt;&gt;0, priority(Main[[#This Row],[Comments]]),"")</f>
        <v/>
      </c>
      <c r="B746" s="77" t="s">
        <v>2108</v>
      </c>
      <c r="C746" s="65" t="s">
        <v>2109</v>
      </c>
      <c r="D746" s="66" t="s">
        <v>2110</v>
      </c>
      <c r="E746" s="67">
        <v>40766.692789351851</v>
      </c>
      <c r="F746" s="67"/>
      <c r="G746" s="64" t="str">
        <f>IF(stdProdLT(Main[[#This Row],[Comments]])=0.1,"N/A",IF(stdProdLT(Main[[#This Row],[Comments]])=0,"",stdProdLT(Main[[#This Row],[Comments]])))</f>
        <v/>
      </c>
      <c r="H746" s="68" t="str">
        <f>IF(AND(Main[[#This Row],[In Stock Date]]&lt;&gt;"",Main[[#This Row],[Revised Due Date]]&lt;&gt;""),Main[[#This Row],[In Stock Date]]-Main[[#This Row],[Revised Due Date]],"")</f>
        <v/>
      </c>
      <c r="I746" s="65" t="s">
        <v>4</v>
      </c>
      <c r="J746" s="65" t="s">
        <v>4</v>
      </c>
      <c r="K746" s="65" t="s">
        <v>4</v>
      </c>
      <c r="L746" s="67"/>
      <c r="M746" s="69" t="str">
        <f>IF(Main[[#This Row],[Tech Start Date]]&lt;1/1/1990,"",IF(Main[[#This Row],[Class]]="C",WORKDAY(Main[[#This Row],[Tech Start Date]],9),IF(Main[[#This Row],[Class]]="B", WORKDAY(Main[[#This Row],[Tech Start Date]],6),IF(Main[[#This Row],[Class]]="A",WORKDAY(Main[[#This Row],[Tech Start Date]],2),""))))</f>
        <v/>
      </c>
      <c r="N746" s="69" t="str">
        <f>IF(Main[[#This Row],[Tech Start Date]]&lt;1/1/1990,"",IF(Main[[#This Row],[Class]]="C",WORKDAY(Main[[#This Row],[Tech Start Date]],19),IF(Main[[#This Row],[Class]]="B", WORKDAY(Main[[#This Row],[Tech Start Date]],12),IF(Main[[#This Row],[Class]]="A",WORKDAY(Main[[#This Row],[Tech Start Date]],4),""))))</f>
        <v/>
      </c>
      <c r="O746" s="69" t="str">
        <f>IF(Main[[#This Row],[Tech Start Date]]&lt;1/1/1990,"",IF(Main[[#This Row],[Class]]="C",WORKDAY(Main[[#This Row],[Tech Start Date]],23),IF(Main[[#This Row],[Class]]="B", WORKDAY(Main[[#This Row],[Tech Start Date]],15),IF(Main[[#This Row],[Class]]="A",WORKDAY(Main[[#This Row],[Tech Start Date]],5),""))))</f>
        <v/>
      </c>
      <c r="P746" s="69" t="str">
        <f>IF(Main[[#This Row],[Tech Start Date]]&lt;1/1/1990,"",IF(Main[[#This Row],[Class]]="C",WORKDAY(Main[[#This Row],[Tech Start Date]],28),IF(Main[[#This Row],[Class]]="B", WORKDAY(Main[[#This Row],[Tech Start Date]],19),IF(Main[[#This Row],[Class]]="A",WORKDAY(Main[[#This Row],[Tech Start Date]],9),""))))</f>
        <v/>
      </c>
      <c r="Q746" s="67">
        <v>40879</v>
      </c>
      <c r="R746" s="67"/>
      <c r="S746" s="65" t="s">
        <v>17</v>
      </c>
      <c r="T746" s="70" t="s">
        <v>4</v>
      </c>
      <c r="U746" s="65" t="s">
        <v>7</v>
      </c>
      <c r="V746" s="65" t="s">
        <v>1929</v>
      </c>
      <c r="W746" s="65" t="s">
        <v>4</v>
      </c>
      <c r="X746" s="65" t="s">
        <v>956</v>
      </c>
      <c r="Y746" s="65" t="s">
        <v>3094</v>
      </c>
      <c r="Z746" s="65" t="s">
        <v>4</v>
      </c>
      <c r="AA746" s="65" t="s">
        <v>956</v>
      </c>
    </row>
    <row r="747" spans="1:27" ht="17.45" hidden="1" customHeight="1">
      <c r="A747" s="100" t="str">
        <f>IF(priority(Main[[#This Row],[Comments]])&lt;&gt;0, priority(Main[[#This Row],[Comments]]),"")</f>
        <v/>
      </c>
      <c r="B747" s="77" t="s">
        <v>2011</v>
      </c>
      <c r="C747" s="65" t="s">
        <v>4</v>
      </c>
      <c r="D747" s="66" t="s">
        <v>2090</v>
      </c>
      <c r="E747" s="67">
        <v>40745.696377314816</v>
      </c>
      <c r="F747" s="67"/>
      <c r="G747" s="64" t="str">
        <f>IF(stdProdLT(Main[[#This Row],[Comments]])=0.1,"N/A",IF(stdProdLT(Main[[#This Row],[Comments]])=0,"",stdProdLT(Main[[#This Row],[Comments]])))</f>
        <v/>
      </c>
      <c r="H747" s="68" t="str">
        <f>IF(AND(Main[[#This Row],[In Stock Date]]&lt;&gt;"",Main[[#This Row],[Revised Due Date]]&lt;&gt;""),Main[[#This Row],[In Stock Date]]-Main[[#This Row],[Revised Due Date]],"")</f>
        <v/>
      </c>
      <c r="I747" s="65" t="s">
        <v>431</v>
      </c>
      <c r="J747" s="65" t="s">
        <v>21</v>
      </c>
      <c r="K747" s="65" t="s">
        <v>1923</v>
      </c>
      <c r="L747" s="67"/>
      <c r="M747" s="69" t="str">
        <f>IF(Main[[#This Row],[Tech Start Date]]&lt;1/1/1990,"",IF(Main[[#This Row],[Class]]="C",WORKDAY(Main[[#This Row],[Tech Start Date]],9),IF(Main[[#This Row],[Class]]="B", WORKDAY(Main[[#This Row],[Tech Start Date]],6),IF(Main[[#This Row],[Class]]="A",WORKDAY(Main[[#This Row],[Tech Start Date]],2),""))))</f>
        <v/>
      </c>
      <c r="N747" s="69" t="str">
        <f>IF(Main[[#This Row],[Tech Start Date]]&lt;1/1/1990,"",IF(Main[[#This Row],[Class]]="C",WORKDAY(Main[[#This Row],[Tech Start Date]],19),IF(Main[[#This Row],[Class]]="B", WORKDAY(Main[[#This Row],[Tech Start Date]],12),IF(Main[[#This Row],[Class]]="A",WORKDAY(Main[[#This Row],[Tech Start Date]],4),""))))</f>
        <v/>
      </c>
      <c r="O747" s="69" t="str">
        <f>IF(Main[[#This Row],[Tech Start Date]]&lt;1/1/1990,"",IF(Main[[#This Row],[Class]]="C",WORKDAY(Main[[#This Row],[Tech Start Date]],23),IF(Main[[#This Row],[Class]]="B", WORKDAY(Main[[#This Row],[Tech Start Date]],15),IF(Main[[#This Row],[Class]]="A",WORKDAY(Main[[#This Row],[Tech Start Date]],5),""))))</f>
        <v/>
      </c>
      <c r="P747" s="69" t="str">
        <f>IF(Main[[#This Row],[Tech Start Date]]&lt;1/1/1990,"",IF(Main[[#This Row],[Class]]="C",WORKDAY(Main[[#This Row],[Tech Start Date]],28),IF(Main[[#This Row],[Class]]="B", WORKDAY(Main[[#This Row],[Tech Start Date]],19),IF(Main[[#This Row],[Class]]="A",WORKDAY(Main[[#This Row],[Tech Start Date]],9),""))))</f>
        <v/>
      </c>
      <c r="Q747" s="67">
        <v>40786</v>
      </c>
      <c r="R747" s="67"/>
      <c r="S747" s="65" t="s">
        <v>6</v>
      </c>
      <c r="T747" s="70" t="s">
        <v>4</v>
      </c>
      <c r="U747" s="65" t="s">
        <v>29</v>
      </c>
      <c r="V747" s="65" t="s">
        <v>1917</v>
      </c>
      <c r="W747" s="65" t="s">
        <v>1918</v>
      </c>
      <c r="X747" s="65" t="s">
        <v>30</v>
      </c>
      <c r="Y747" s="65" t="s">
        <v>3095</v>
      </c>
      <c r="Z747" s="65" t="s">
        <v>44</v>
      </c>
      <c r="AA747" s="65" t="s">
        <v>3439</v>
      </c>
    </row>
    <row r="748" spans="1:27" ht="17.45" hidden="1" customHeight="1">
      <c r="A748" s="100" t="str">
        <f>IF(priority(Main[[#This Row],[Comments]])&lt;&gt;0, priority(Main[[#This Row],[Comments]]),"")</f>
        <v/>
      </c>
      <c r="B748" s="77" t="s">
        <v>2188</v>
      </c>
      <c r="C748" s="65" t="s">
        <v>4</v>
      </c>
      <c r="D748" s="66" t="s">
        <v>2189</v>
      </c>
      <c r="E748" s="67"/>
      <c r="F748" s="67"/>
      <c r="G748" s="64" t="str">
        <f>IF(stdProdLT(Main[[#This Row],[Comments]])=0.1,"N/A",IF(stdProdLT(Main[[#This Row],[Comments]])=0,"",stdProdLT(Main[[#This Row],[Comments]])))</f>
        <v/>
      </c>
      <c r="H748" s="68" t="str">
        <f>IF(AND(Main[[#This Row],[In Stock Date]]&lt;&gt;"",Main[[#This Row],[Revised Due Date]]&lt;&gt;""),Main[[#This Row],[In Stock Date]]-Main[[#This Row],[Revised Due Date]],"")</f>
        <v/>
      </c>
      <c r="I748" s="65" t="s">
        <v>4</v>
      </c>
      <c r="J748" s="65" t="s">
        <v>4</v>
      </c>
      <c r="K748" s="65" t="s">
        <v>4</v>
      </c>
      <c r="L748" s="67"/>
      <c r="M748" s="69" t="str">
        <f>IF(Main[[#This Row],[Tech Start Date]]&lt;1/1/1990,"",IF(Main[[#This Row],[Class]]="C",WORKDAY(Main[[#This Row],[Tech Start Date]],9),IF(Main[[#This Row],[Class]]="B", WORKDAY(Main[[#This Row],[Tech Start Date]],6),IF(Main[[#This Row],[Class]]="A",WORKDAY(Main[[#This Row],[Tech Start Date]],2),""))))</f>
        <v/>
      </c>
      <c r="N748" s="69" t="str">
        <f>IF(Main[[#This Row],[Tech Start Date]]&lt;1/1/1990,"",IF(Main[[#This Row],[Class]]="C",WORKDAY(Main[[#This Row],[Tech Start Date]],19),IF(Main[[#This Row],[Class]]="B", WORKDAY(Main[[#This Row],[Tech Start Date]],12),IF(Main[[#This Row],[Class]]="A",WORKDAY(Main[[#This Row],[Tech Start Date]],4),""))))</f>
        <v/>
      </c>
      <c r="O748" s="69" t="str">
        <f>IF(Main[[#This Row],[Tech Start Date]]&lt;1/1/1990,"",IF(Main[[#This Row],[Class]]="C",WORKDAY(Main[[#This Row],[Tech Start Date]],23),IF(Main[[#This Row],[Class]]="B", WORKDAY(Main[[#This Row],[Tech Start Date]],15),IF(Main[[#This Row],[Class]]="A",WORKDAY(Main[[#This Row],[Tech Start Date]],5),""))))</f>
        <v/>
      </c>
      <c r="P748" s="69" t="str">
        <f>IF(Main[[#This Row],[Tech Start Date]]&lt;1/1/1990,"",IF(Main[[#This Row],[Class]]="C",WORKDAY(Main[[#This Row],[Tech Start Date]],28),IF(Main[[#This Row],[Class]]="B", WORKDAY(Main[[#This Row],[Tech Start Date]],19),IF(Main[[#This Row],[Class]]="A",WORKDAY(Main[[#This Row],[Tech Start Date]],9),""))))</f>
        <v/>
      </c>
      <c r="Q748" s="67">
        <v>40798</v>
      </c>
      <c r="R748" s="67"/>
      <c r="S748" s="65" t="s">
        <v>49</v>
      </c>
      <c r="T748" s="70" t="s">
        <v>4</v>
      </c>
      <c r="U748" s="65" t="s">
        <v>14</v>
      </c>
      <c r="V748" s="65" t="s">
        <v>1924</v>
      </c>
      <c r="W748" s="65" t="s">
        <v>1922</v>
      </c>
      <c r="X748" s="65" t="s">
        <v>2906</v>
      </c>
      <c r="Y748" s="65" t="s">
        <v>3096</v>
      </c>
      <c r="Z748" s="65" t="s">
        <v>4</v>
      </c>
      <c r="AA748" s="65" t="s">
        <v>2906</v>
      </c>
    </row>
    <row r="749" spans="1:27" ht="17.45" hidden="1" customHeight="1">
      <c r="A749" s="100" t="str">
        <f>IF(priority(Main[[#This Row],[Comments]])&lt;&gt;0, priority(Main[[#This Row],[Comments]]),"")</f>
        <v/>
      </c>
      <c r="B749" s="77" t="s">
        <v>1677</v>
      </c>
      <c r="C749" s="65" t="s">
        <v>72</v>
      </c>
      <c r="D749" s="66" t="s">
        <v>735</v>
      </c>
      <c r="E749" s="67"/>
      <c r="F749" s="67"/>
      <c r="G749" s="64" t="str">
        <f>IF(stdProdLT(Main[[#This Row],[Comments]])=0.1,"N/A",IF(stdProdLT(Main[[#This Row],[Comments]])=0,"",stdProdLT(Main[[#This Row],[Comments]])))</f>
        <v/>
      </c>
      <c r="H749" s="68" t="str">
        <f>IF(AND(Main[[#This Row],[In Stock Date]]&lt;&gt;"",Main[[#This Row],[Revised Due Date]]&lt;&gt;""),Main[[#This Row],[In Stock Date]]-Main[[#This Row],[Revised Due Date]],"")</f>
        <v/>
      </c>
      <c r="I749" s="65" t="s">
        <v>4</v>
      </c>
      <c r="J749" s="65" t="s">
        <v>28</v>
      </c>
      <c r="K749" s="65" t="s">
        <v>1923</v>
      </c>
      <c r="L749" s="67"/>
      <c r="M749" s="69" t="str">
        <f>IF(Main[[#This Row],[Tech Start Date]]&lt;1/1/1990,"",IF(Main[[#This Row],[Class]]="C",WORKDAY(Main[[#This Row],[Tech Start Date]],9),IF(Main[[#This Row],[Class]]="B", WORKDAY(Main[[#This Row],[Tech Start Date]],6),IF(Main[[#This Row],[Class]]="A",WORKDAY(Main[[#This Row],[Tech Start Date]],2),""))))</f>
        <v/>
      </c>
      <c r="N749" s="69" t="str">
        <f>IF(Main[[#This Row],[Tech Start Date]]&lt;1/1/1990,"",IF(Main[[#This Row],[Class]]="C",WORKDAY(Main[[#This Row],[Tech Start Date]],19),IF(Main[[#This Row],[Class]]="B", WORKDAY(Main[[#This Row],[Tech Start Date]],12),IF(Main[[#This Row],[Class]]="A",WORKDAY(Main[[#This Row],[Tech Start Date]],4),""))))</f>
        <v/>
      </c>
      <c r="O749" s="69" t="str">
        <f>IF(Main[[#This Row],[Tech Start Date]]&lt;1/1/1990,"",IF(Main[[#This Row],[Class]]="C",WORKDAY(Main[[#This Row],[Tech Start Date]],23),IF(Main[[#This Row],[Class]]="B", WORKDAY(Main[[#This Row],[Tech Start Date]],15),IF(Main[[#This Row],[Class]]="A",WORKDAY(Main[[#This Row],[Tech Start Date]],5),""))))</f>
        <v/>
      </c>
      <c r="P749" s="69" t="str">
        <f>IF(Main[[#This Row],[Tech Start Date]]&lt;1/1/1990,"",IF(Main[[#This Row],[Class]]="C",WORKDAY(Main[[#This Row],[Tech Start Date]],28),IF(Main[[#This Row],[Class]]="B", WORKDAY(Main[[#This Row],[Tech Start Date]],19),IF(Main[[#This Row],[Class]]="A",WORKDAY(Main[[#This Row],[Tech Start Date]],9),""))))</f>
        <v/>
      </c>
      <c r="Q749" s="67"/>
      <c r="R749" s="67"/>
      <c r="S749" s="65" t="s">
        <v>6</v>
      </c>
      <c r="T749" s="70" t="s">
        <v>4</v>
      </c>
      <c r="U749" s="65" t="s">
        <v>14</v>
      </c>
      <c r="V749" s="65" t="s">
        <v>1917</v>
      </c>
      <c r="W749" s="65" t="s">
        <v>1916</v>
      </c>
      <c r="X749" s="65" t="s">
        <v>2847</v>
      </c>
      <c r="Y749" s="65" t="s">
        <v>2978</v>
      </c>
      <c r="Z749" s="65" t="s">
        <v>530</v>
      </c>
      <c r="AA749" s="65" t="s">
        <v>2847</v>
      </c>
    </row>
    <row r="750" spans="1:27" ht="17.45" hidden="1" customHeight="1">
      <c r="A750" s="100" t="str">
        <f>IF(priority(Main[[#This Row],[Comments]])&lt;&gt;0, priority(Main[[#This Row],[Comments]]),"")</f>
        <v/>
      </c>
      <c r="B750" s="77" t="s">
        <v>1678</v>
      </c>
      <c r="C750" s="65" t="s">
        <v>4</v>
      </c>
      <c r="D750" s="66" t="s">
        <v>39</v>
      </c>
      <c r="E750" s="67"/>
      <c r="F750" s="67"/>
      <c r="G750" s="64" t="str">
        <f>IF(stdProdLT(Main[[#This Row],[Comments]])=0.1,"N/A",IF(stdProdLT(Main[[#This Row],[Comments]])=0,"",stdProdLT(Main[[#This Row],[Comments]])))</f>
        <v/>
      </c>
      <c r="H750" s="68" t="str">
        <f>IF(AND(Main[[#This Row],[In Stock Date]]&lt;&gt;"",Main[[#This Row],[Revised Due Date]]&lt;&gt;""),Main[[#This Row],[In Stock Date]]-Main[[#This Row],[Revised Due Date]],"")</f>
        <v/>
      </c>
      <c r="I750" s="65" t="s">
        <v>4</v>
      </c>
      <c r="J750" s="65" t="s">
        <v>4</v>
      </c>
      <c r="K750" s="65" t="s">
        <v>4</v>
      </c>
      <c r="L750" s="67"/>
      <c r="M750" s="69" t="str">
        <f>IF(Main[[#This Row],[Tech Start Date]]&lt;1/1/1990,"",IF(Main[[#This Row],[Class]]="C",WORKDAY(Main[[#This Row],[Tech Start Date]],9),IF(Main[[#This Row],[Class]]="B", WORKDAY(Main[[#This Row],[Tech Start Date]],6),IF(Main[[#This Row],[Class]]="A",WORKDAY(Main[[#This Row],[Tech Start Date]],2),""))))</f>
        <v/>
      </c>
      <c r="N750" s="69" t="str">
        <f>IF(Main[[#This Row],[Tech Start Date]]&lt;1/1/1990,"",IF(Main[[#This Row],[Class]]="C",WORKDAY(Main[[#This Row],[Tech Start Date]],19),IF(Main[[#This Row],[Class]]="B", WORKDAY(Main[[#This Row],[Tech Start Date]],12),IF(Main[[#This Row],[Class]]="A",WORKDAY(Main[[#This Row],[Tech Start Date]],4),""))))</f>
        <v/>
      </c>
      <c r="O750" s="69" t="str">
        <f>IF(Main[[#This Row],[Tech Start Date]]&lt;1/1/1990,"",IF(Main[[#This Row],[Class]]="C",WORKDAY(Main[[#This Row],[Tech Start Date]],23),IF(Main[[#This Row],[Class]]="B", WORKDAY(Main[[#This Row],[Tech Start Date]],15),IF(Main[[#This Row],[Class]]="A",WORKDAY(Main[[#This Row],[Tech Start Date]],5),""))))</f>
        <v/>
      </c>
      <c r="P750" s="69" t="str">
        <f>IF(Main[[#This Row],[Tech Start Date]]&lt;1/1/1990,"",IF(Main[[#This Row],[Class]]="C",WORKDAY(Main[[#This Row],[Tech Start Date]],28),IF(Main[[#This Row],[Class]]="B", WORKDAY(Main[[#This Row],[Tech Start Date]],19),IF(Main[[#This Row],[Class]]="A",WORKDAY(Main[[#This Row],[Tech Start Date]],9),""))))</f>
        <v/>
      </c>
      <c r="Q750" s="67">
        <v>40669</v>
      </c>
      <c r="R750" s="67"/>
      <c r="S750" s="65" t="s">
        <v>6</v>
      </c>
      <c r="T750" s="70" t="s">
        <v>4</v>
      </c>
      <c r="U750" s="65" t="s">
        <v>14</v>
      </c>
      <c r="V750" s="65" t="s">
        <v>1917</v>
      </c>
      <c r="W750" s="65" t="s">
        <v>4</v>
      </c>
      <c r="X750" s="65" t="s">
        <v>2818</v>
      </c>
      <c r="Y750" s="65" t="s">
        <v>2929</v>
      </c>
      <c r="Z750" s="65" t="s">
        <v>4</v>
      </c>
      <c r="AA750" s="65" t="s">
        <v>2818</v>
      </c>
    </row>
    <row r="751" spans="1:27" ht="17.45" hidden="1" customHeight="1">
      <c r="A751" s="100" t="str">
        <f>IF(priority(Main[[#This Row],[Comments]])&lt;&gt;0, priority(Main[[#This Row],[Comments]]),"")</f>
        <v/>
      </c>
      <c r="B751" s="77" t="s">
        <v>1659</v>
      </c>
      <c r="C751" s="65" t="s">
        <v>72</v>
      </c>
      <c r="D751" s="66" t="s">
        <v>723</v>
      </c>
      <c r="E751" s="67"/>
      <c r="F751" s="67"/>
      <c r="G751" s="64" t="str">
        <f>IF(stdProdLT(Main[[#This Row],[Comments]])=0.1,"N/A",IF(stdProdLT(Main[[#This Row],[Comments]])=0,"",stdProdLT(Main[[#This Row],[Comments]])))</f>
        <v/>
      </c>
      <c r="H751" s="68" t="str">
        <f>IF(AND(Main[[#This Row],[In Stock Date]]&lt;&gt;"",Main[[#This Row],[Revised Due Date]]&lt;&gt;""),Main[[#This Row],[In Stock Date]]-Main[[#This Row],[Revised Due Date]],"")</f>
        <v/>
      </c>
      <c r="I751" s="65" t="s">
        <v>4</v>
      </c>
      <c r="J751" s="65" t="s">
        <v>4</v>
      </c>
      <c r="K751" s="65" t="s">
        <v>4</v>
      </c>
      <c r="L751" s="67"/>
      <c r="M751" s="69" t="str">
        <f>IF(Main[[#This Row],[Tech Start Date]]&lt;1/1/1990,"",IF(Main[[#This Row],[Class]]="C",WORKDAY(Main[[#This Row],[Tech Start Date]],9),IF(Main[[#This Row],[Class]]="B", WORKDAY(Main[[#This Row],[Tech Start Date]],6),IF(Main[[#This Row],[Class]]="A",WORKDAY(Main[[#This Row],[Tech Start Date]],2),""))))</f>
        <v/>
      </c>
      <c r="N751" s="69" t="str">
        <f>IF(Main[[#This Row],[Tech Start Date]]&lt;1/1/1990,"",IF(Main[[#This Row],[Class]]="C",WORKDAY(Main[[#This Row],[Tech Start Date]],19),IF(Main[[#This Row],[Class]]="B", WORKDAY(Main[[#This Row],[Tech Start Date]],12),IF(Main[[#This Row],[Class]]="A",WORKDAY(Main[[#This Row],[Tech Start Date]],4),""))))</f>
        <v/>
      </c>
      <c r="O751" s="69" t="str">
        <f>IF(Main[[#This Row],[Tech Start Date]]&lt;1/1/1990,"",IF(Main[[#This Row],[Class]]="C",WORKDAY(Main[[#This Row],[Tech Start Date]],23),IF(Main[[#This Row],[Class]]="B", WORKDAY(Main[[#This Row],[Tech Start Date]],15),IF(Main[[#This Row],[Class]]="A",WORKDAY(Main[[#This Row],[Tech Start Date]],5),""))))</f>
        <v/>
      </c>
      <c r="P751" s="69" t="str">
        <f>IF(Main[[#This Row],[Tech Start Date]]&lt;1/1/1990,"",IF(Main[[#This Row],[Class]]="C",WORKDAY(Main[[#This Row],[Tech Start Date]],28),IF(Main[[#This Row],[Class]]="B", WORKDAY(Main[[#This Row],[Tech Start Date]],19),IF(Main[[#This Row],[Class]]="A",WORKDAY(Main[[#This Row],[Tech Start Date]],9),""))))</f>
        <v/>
      </c>
      <c r="Q751" s="67"/>
      <c r="R751" s="67"/>
      <c r="S751" s="65" t="s">
        <v>11</v>
      </c>
      <c r="T751" s="70" t="s">
        <v>4</v>
      </c>
      <c r="U751" s="65" t="s">
        <v>14</v>
      </c>
      <c r="V751" s="65" t="s">
        <v>1915</v>
      </c>
      <c r="W751" s="65" t="s">
        <v>1922</v>
      </c>
      <c r="X751" s="65" t="s">
        <v>2827</v>
      </c>
      <c r="Y751" s="65" t="s">
        <v>2948</v>
      </c>
      <c r="Z751" s="65" t="s">
        <v>4</v>
      </c>
      <c r="AA751" s="65" t="s">
        <v>2827</v>
      </c>
    </row>
    <row r="752" spans="1:27" ht="17.45" hidden="1" customHeight="1">
      <c r="A752" s="100" t="str">
        <f>IF(priority(Main[[#This Row],[Comments]])&lt;&gt;0, priority(Main[[#This Row],[Comments]]),"")</f>
        <v/>
      </c>
      <c r="B752" s="77" t="s">
        <v>2163</v>
      </c>
      <c r="C752" s="65" t="s">
        <v>4</v>
      </c>
      <c r="D752" s="66" t="s">
        <v>2387</v>
      </c>
      <c r="E752" s="67">
        <v>40780.672893518517</v>
      </c>
      <c r="F752" s="67"/>
      <c r="G752" s="64" t="str">
        <f>IF(stdProdLT(Main[[#This Row],[Comments]])=0.1,"N/A",IF(stdProdLT(Main[[#This Row],[Comments]])=0,"",stdProdLT(Main[[#This Row],[Comments]])))</f>
        <v/>
      </c>
      <c r="H752" s="68" t="str">
        <f>IF(AND(Main[[#This Row],[In Stock Date]]&lt;&gt;"",Main[[#This Row],[Revised Due Date]]&lt;&gt;""),Main[[#This Row],[In Stock Date]]-Main[[#This Row],[Revised Due Date]],"")</f>
        <v/>
      </c>
      <c r="I752" s="65" t="s">
        <v>912</v>
      </c>
      <c r="J752" s="65" t="s">
        <v>52</v>
      </c>
      <c r="K752" s="71" t="s">
        <v>4</v>
      </c>
      <c r="L752" s="67"/>
      <c r="M752" s="69" t="str">
        <f>IF(Main[[#This Row],[Tech Start Date]]&lt;1/1/1990,"",IF(Main[[#This Row],[Class]]="C",WORKDAY(Main[[#This Row],[Tech Start Date]],9),IF(Main[[#This Row],[Class]]="B", WORKDAY(Main[[#This Row],[Tech Start Date]],6),IF(Main[[#This Row],[Class]]="A",WORKDAY(Main[[#This Row],[Tech Start Date]],2),""))))</f>
        <v/>
      </c>
      <c r="N752" s="69" t="str">
        <f>IF(Main[[#This Row],[Tech Start Date]]&lt;1/1/1990,"",IF(Main[[#This Row],[Class]]="C",WORKDAY(Main[[#This Row],[Tech Start Date]],19),IF(Main[[#This Row],[Class]]="B", WORKDAY(Main[[#This Row],[Tech Start Date]],12),IF(Main[[#This Row],[Class]]="A",WORKDAY(Main[[#This Row],[Tech Start Date]],4),""))))</f>
        <v/>
      </c>
      <c r="O752" s="69" t="str">
        <f>IF(Main[[#This Row],[Tech Start Date]]&lt;1/1/1990,"",IF(Main[[#This Row],[Class]]="C",WORKDAY(Main[[#This Row],[Tech Start Date]],23),IF(Main[[#This Row],[Class]]="B", WORKDAY(Main[[#This Row],[Tech Start Date]],15),IF(Main[[#This Row],[Class]]="A",WORKDAY(Main[[#This Row],[Tech Start Date]],5),""))))</f>
        <v/>
      </c>
      <c r="P752" s="69" t="str">
        <f>IF(Main[[#This Row],[Tech Start Date]]&lt;1/1/1990,"",IF(Main[[#This Row],[Class]]="C",WORKDAY(Main[[#This Row],[Tech Start Date]],28),IF(Main[[#This Row],[Class]]="B", WORKDAY(Main[[#This Row],[Tech Start Date]],19),IF(Main[[#This Row],[Class]]="A",WORKDAY(Main[[#This Row],[Tech Start Date]],9),""))))</f>
        <v/>
      </c>
      <c r="Q752" s="67">
        <v>40794</v>
      </c>
      <c r="R752" s="67"/>
      <c r="S752" s="65" t="s">
        <v>6</v>
      </c>
      <c r="T752" s="70" t="s">
        <v>4</v>
      </c>
      <c r="U752" s="65" t="s">
        <v>29</v>
      </c>
      <c r="V752" s="65" t="s">
        <v>1914</v>
      </c>
      <c r="W752" s="65" t="s">
        <v>1922</v>
      </c>
      <c r="X752" s="65" t="s">
        <v>2821</v>
      </c>
      <c r="Y752" s="65" t="s">
        <v>2936</v>
      </c>
      <c r="Z752" s="65" t="s">
        <v>129</v>
      </c>
      <c r="AA752" s="65" t="s">
        <v>2821</v>
      </c>
    </row>
    <row r="753" spans="1:27" ht="17.45" hidden="1" customHeight="1">
      <c r="A753" s="100" t="str">
        <f>IF(priority(Main[[#This Row],[Comments]])&lt;&gt;0, priority(Main[[#This Row],[Comments]]),"")</f>
        <v/>
      </c>
      <c r="B753" s="77" t="s">
        <v>1660</v>
      </c>
      <c r="C753" s="65" t="s">
        <v>4</v>
      </c>
      <c r="D753" s="66" t="s">
        <v>724</v>
      </c>
      <c r="E753" s="67"/>
      <c r="F753" s="67"/>
      <c r="G753" s="64" t="str">
        <f>IF(stdProdLT(Main[[#This Row],[Comments]])=0.1,"N/A",IF(stdProdLT(Main[[#This Row],[Comments]])=0,"",stdProdLT(Main[[#This Row],[Comments]])))</f>
        <v/>
      </c>
      <c r="H753" s="68" t="str">
        <f>IF(AND(Main[[#This Row],[In Stock Date]]&lt;&gt;"",Main[[#This Row],[Revised Due Date]]&lt;&gt;""),Main[[#This Row],[In Stock Date]]-Main[[#This Row],[Revised Due Date]],"")</f>
        <v/>
      </c>
      <c r="I753" s="65" t="s">
        <v>4</v>
      </c>
      <c r="J753" s="65" t="s">
        <v>4</v>
      </c>
      <c r="K753" s="65" t="s">
        <v>4</v>
      </c>
      <c r="L753" s="67"/>
      <c r="M753" s="69" t="str">
        <f>IF(Main[[#This Row],[Tech Start Date]]&lt;1/1/1990,"",IF(Main[[#This Row],[Class]]="C",WORKDAY(Main[[#This Row],[Tech Start Date]],9),IF(Main[[#This Row],[Class]]="B", WORKDAY(Main[[#This Row],[Tech Start Date]],6),IF(Main[[#This Row],[Class]]="A",WORKDAY(Main[[#This Row],[Tech Start Date]],2),""))))</f>
        <v/>
      </c>
      <c r="N753" s="69" t="str">
        <f>IF(Main[[#This Row],[Tech Start Date]]&lt;1/1/1990,"",IF(Main[[#This Row],[Class]]="C",WORKDAY(Main[[#This Row],[Tech Start Date]],19),IF(Main[[#This Row],[Class]]="B", WORKDAY(Main[[#This Row],[Tech Start Date]],12),IF(Main[[#This Row],[Class]]="A",WORKDAY(Main[[#This Row],[Tech Start Date]],4),""))))</f>
        <v/>
      </c>
      <c r="O753" s="69" t="str">
        <f>IF(Main[[#This Row],[Tech Start Date]]&lt;1/1/1990,"",IF(Main[[#This Row],[Class]]="C",WORKDAY(Main[[#This Row],[Tech Start Date]],23),IF(Main[[#This Row],[Class]]="B", WORKDAY(Main[[#This Row],[Tech Start Date]],15),IF(Main[[#This Row],[Class]]="A",WORKDAY(Main[[#This Row],[Tech Start Date]],5),""))))</f>
        <v/>
      </c>
      <c r="P753" s="69" t="str">
        <f>IF(Main[[#This Row],[Tech Start Date]]&lt;1/1/1990,"",IF(Main[[#This Row],[Class]]="C",WORKDAY(Main[[#This Row],[Tech Start Date]],28),IF(Main[[#This Row],[Class]]="B", WORKDAY(Main[[#This Row],[Tech Start Date]],19),IF(Main[[#This Row],[Class]]="A",WORKDAY(Main[[#This Row],[Tech Start Date]],9),""))))</f>
        <v/>
      </c>
      <c r="Q753" s="67">
        <v>40403</v>
      </c>
      <c r="R753" s="67"/>
      <c r="S753" s="65" t="s">
        <v>17</v>
      </c>
      <c r="T753" s="70" t="s">
        <v>4</v>
      </c>
      <c r="U753" s="65" t="s">
        <v>14</v>
      </c>
      <c r="V753" s="65" t="s">
        <v>1914</v>
      </c>
      <c r="W753" s="65" t="s">
        <v>1922</v>
      </c>
      <c r="X753" s="65" t="s">
        <v>129</v>
      </c>
      <c r="Y753" s="65" t="s">
        <v>4</v>
      </c>
      <c r="Z753" s="65" t="s">
        <v>4</v>
      </c>
      <c r="AA753" s="65" t="s">
        <v>2828</v>
      </c>
    </row>
    <row r="754" spans="1:27" ht="17.45" hidden="1" customHeight="1">
      <c r="A754" s="100" t="str">
        <f>IF(priority(Main[[#This Row],[Comments]])&lt;&gt;0, priority(Main[[#This Row],[Comments]]),"")</f>
        <v/>
      </c>
      <c r="B754" s="77" t="s">
        <v>1661</v>
      </c>
      <c r="C754" s="65" t="s">
        <v>58</v>
      </c>
      <c r="D754" s="66" t="s">
        <v>202</v>
      </c>
      <c r="E754" s="67"/>
      <c r="F754" s="67">
        <v>40697</v>
      </c>
      <c r="G754" s="64" t="str">
        <f>IF(stdProdLT(Main[[#This Row],[Comments]])=0.1,"N/A",IF(stdProdLT(Main[[#This Row],[Comments]])=0,"",stdProdLT(Main[[#This Row],[Comments]])))</f>
        <v/>
      </c>
      <c r="H754" s="68" t="str">
        <f>IF(AND(Main[[#This Row],[In Stock Date]]&lt;&gt;"",Main[[#This Row],[Revised Due Date]]&lt;&gt;""),Main[[#This Row],[In Stock Date]]-Main[[#This Row],[Revised Due Date]],"")</f>
        <v/>
      </c>
      <c r="I754" s="65" t="s">
        <v>4</v>
      </c>
      <c r="J754" s="65" t="s">
        <v>4</v>
      </c>
      <c r="K754" s="65" t="s">
        <v>4</v>
      </c>
      <c r="L754" s="67"/>
      <c r="M754" s="69" t="str">
        <f>IF(Main[[#This Row],[Tech Start Date]]&lt;1/1/1990,"",IF(Main[[#This Row],[Class]]="C",WORKDAY(Main[[#This Row],[Tech Start Date]],9),IF(Main[[#This Row],[Class]]="B", WORKDAY(Main[[#This Row],[Tech Start Date]],6),IF(Main[[#This Row],[Class]]="A",WORKDAY(Main[[#This Row],[Tech Start Date]],2),""))))</f>
        <v/>
      </c>
      <c r="N754" s="69" t="str">
        <f>IF(Main[[#This Row],[Tech Start Date]]&lt;1/1/1990,"",IF(Main[[#This Row],[Class]]="C",WORKDAY(Main[[#This Row],[Tech Start Date]],19),IF(Main[[#This Row],[Class]]="B", WORKDAY(Main[[#This Row],[Tech Start Date]],12),IF(Main[[#This Row],[Class]]="A",WORKDAY(Main[[#This Row],[Tech Start Date]],4),""))))</f>
        <v/>
      </c>
      <c r="O754" s="69" t="str">
        <f>IF(Main[[#This Row],[Tech Start Date]]&lt;1/1/1990,"",IF(Main[[#This Row],[Class]]="C",WORKDAY(Main[[#This Row],[Tech Start Date]],23),IF(Main[[#This Row],[Class]]="B", WORKDAY(Main[[#This Row],[Tech Start Date]],15),IF(Main[[#This Row],[Class]]="A",WORKDAY(Main[[#This Row],[Tech Start Date]],5),""))))</f>
        <v/>
      </c>
      <c r="P754" s="69" t="str">
        <f>IF(Main[[#This Row],[Tech Start Date]]&lt;1/1/1990,"",IF(Main[[#This Row],[Class]]="C",WORKDAY(Main[[#This Row],[Tech Start Date]],28),IF(Main[[#This Row],[Class]]="B", WORKDAY(Main[[#This Row],[Tech Start Date]],19),IF(Main[[#This Row],[Class]]="A",WORKDAY(Main[[#This Row],[Tech Start Date]],9),""))))</f>
        <v/>
      </c>
      <c r="Q754" s="67">
        <v>40539</v>
      </c>
      <c r="R754" s="67"/>
      <c r="S754" s="65" t="s">
        <v>11</v>
      </c>
      <c r="T754" s="70" t="s">
        <v>4</v>
      </c>
      <c r="U754" s="65" t="s">
        <v>14</v>
      </c>
      <c r="V754" s="65" t="s">
        <v>1914</v>
      </c>
      <c r="W754" s="65" t="s">
        <v>1920</v>
      </c>
      <c r="X754" s="65" t="s">
        <v>2829</v>
      </c>
      <c r="Y754" s="65" t="s">
        <v>2951</v>
      </c>
      <c r="Z754" s="65" t="s">
        <v>4</v>
      </c>
      <c r="AA754" s="65" t="s">
        <v>2829</v>
      </c>
    </row>
    <row r="755" spans="1:27" ht="17.45" hidden="1" customHeight="1">
      <c r="A755" s="100" t="str">
        <f>IF(priority(Main[[#This Row],[Comments]])&lt;&gt;0, priority(Main[[#This Row],[Comments]]),"")</f>
        <v/>
      </c>
      <c r="B755" s="77" t="s">
        <v>1664</v>
      </c>
      <c r="C755" s="65" t="s">
        <v>726</v>
      </c>
      <c r="D755" s="66" t="s">
        <v>727</v>
      </c>
      <c r="E755" s="67"/>
      <c r="F755" s="67">
        <v>40633</v>
      </c>
      <c r="G755" s="64" t="str">
        <f>IF(stdProdLT(Main[[#This Row],[Comments]])=0.1,"N/A",IF(stdProdLT(Main[[#This Row],[Comments]])=0,"",stdProdLT(Main[[#This Row],[Comments]])))</f>
        <v/>
      </c>
      <c r="H755" s="68" t="str">
        <f>IF(AND(Main[[#This Row],[In Stock Date]]&lt;&gt;"",Main[[#This Row],[Revised Due Date]]&lt;&gt;""),Main[[#This Row],[In Stock Date]]-Main[[#This Row],[Revised Due Date]],"")</f>
        <v/>
      </c>
      <c r="I755" s="65" t="s">
        <v>4</v>
      </c>
      <c r="J755" s="65" t="s">
        <v>4</v>
      </c>
      <c r="K755" s="71" t="s">
        <v>4</v>
      </c>
      <c r="L755" s="67"/>
      <c r="M755" s="69" t="str">
        <f>IF(Main[[#This Row],[Tech Start Date]]&lt;1/1/1990,"",IF(Main[[#This Row],[Class]]="C",WORKDAY(Main[[#This Row],[Tech Start Date]],9),IF(Main[[#This Row],[Class]]="B", WORKDAY(Main[[#This Row],[Tech Start Date]],6),IF(Main[[#This Row],[Class]]="A",WORKDAY(Main[[#This Row],[Tech Start Date]],2),""))))</f>
        <v/>
      </c>
      <c r="N755" s="69" t="str">
        <f>IF(Main[[#This Row],[Tech Start Date]]&lt;1/1/1990,"",IF(Main[[#This Row],[Class]]="C",WORKDAY(Main[[#This Row],[Tech Start Date]],19),IF(Main[[#This Row],[Class]]="B", WORKDAY(Main[[#This Row],[Tech Start Date]],12),IF(Main[[#This Row],[Class]]="A",WORKDAY(Main[[#This Row],[Tech Start Date]],4),""))))</f>
        <v/>
      </c>
      <c r="O755" s="69" t="str">
        <f>IF(Main[[#This Row],[Tech Start Date]]&lt;1/1/1990,"",IF(Main[[#This Row],[Class]]="C",WORKDAY(Main[[#This Row],[Tech Start Date]],23),IF(Main[[#This Row],[Class]]="B", WORKDAY(Main[[#This Row],[Tech Start Date]],15),IF(Main[[#This Row],[Class]]="A",WORKDAY(Main[[#This Row],[Tech Start Date]],5),""))))</f>
        <v/>
      </c>
      <c r="P755" s="69" t="str">
        <f>IF(Main[[#This Row],[Tech Start Date]]&lt;1/1/1990,"",IF(Main[[#This Row],[Class]]="C",WORKDAY(Main[[#This Row],[Tech Start Date]],28),IF(Main[[#This Row],[Class]]="B", WORKDAY(Main[[#This Row],[Tech Start Date]],19),IF(Main[[#This Row],[Class]]="A",WORKDAY(Main[[#This Row],[Tech Start Date]],9),""))))</f>
        <v/>
      </c>
      <c r="Q755" s="67">
        <v>40623</v>
      </c>
      <c r="R755" s="67"/>
      <c r="S755" s="65" t="s">
        <v>11</v>
      </c>
      <c r="T755" s="70" t="s">
        <v>4</v>
      </c>
      <c r="U755" s="65" t="s">
        <v>14</v>
      </c>
      <c r="V755" s="65" t="s">
        <v>1915</v>
      </c>
      <c r="W755" s="65" t="s">
        <v>1922</v>
      </c>
      <c r="X755" s="65" t="s">
        <v>2863</v>
      </c>
      <c r="Y755" s="65" t="s">
        <v>4</v>
      </c>
      <c r="Z755" s="65" t="s">
        <v>4</v>
      </c>
      <c r="AA755" s="65" t="s">
        <v>2863</v>
      </c>
    </row>
    <row r="756" spans="1:27" ht="17.45" hidden="1" customHeight="1">
      <c r="A756" s="100" t="str">
        <f>IF(priority(Main[[#This Row],[Comments]])&lt;&gt;0, priority(Main[[#This Row],[Comments]]),"")</f>
        <v/>
      </c>
      <c r="B756" s="77" t="s">
        <v>1666</v>
      </c>
      <c r="C756" s="65" t="s">
        <v>4</v>
      </c>
      <c r="D756" s="66" t="s">
        <v>97</v>
      </c>
      <c r="E756" s="67"/>
      <c r="F756" s="67"/>
      <c r="G756" s="64" t="str">
        <f>IF(stdProdLT(Main[[#This Row],[Comments]])=0.1,"N/A",IF(stdProdLT(Main[[#This Row],[Comments]])=0,"",stdProdLT(Main[[#This Row],[Comments]])))</f>
        <v/>
      </c>
      <c r="H756" s="68" t="str">
        <f>IF(AND(Main[[#This Row],[In Stock Date]]&lt;&gt;"",Main[[#This Row],[Revised Due Date]]&lt;&gt;""),Main[[#This Row],[In Stock Date]]-Main[[#This Row],[Revised Due Date]],"")</f>
        <v/>
      </c>
      <c r="I756" s="65" t="s">
        <v>4</v>
      </c>
      <c r="J756" s="65" t="s">
        <v>4</v>
      </c>
      <c r="K756" s="65" t="s">
        <v>4</v>
      </c>
      <c r="L756" s="67"/>
      <c r="M756" s="69" t="str">
        <f>IF(Main[[#This Row],[Tech Start Date]]&lt;1/1/1990,"",IF(Main[[#This Row],[Class]]="C",WORKDAY(Main[[#This Row],[Tech Start Date]],9),IF(Main[[#This Row],[Class]]="B", WORKDAY(Main[[#This Row],[Tech Start Date]],6),IF(Main[[#This Row],[Class]]="A",WORKDAY(Main[[#This Row],[Tech Start Date]],2),""))))</f>
        <v/>
      </c>
      <c r="N756" s="69" t="str">
        <f>IF(Main[[#This Row],[Tech Start Date]]&lt;1/1/1990,"",IF(Main[[#This Row],[Class]]="C",WORKDAY(Main[[#This Row],[Tech Start Date]],19),IF(Main[[#This Row],[Class]]="B", WORKDAY(Main[[#This Row],[Tech Start Date]],12),IF(Main[[#This Row],[Class]]="A",WORKDAY(Main[[#This Row],[Tech Start Date]],4),""))))</f>
        <v/>
      </c>
      <c r="O756" s="69" t="str">
        <f>IF(Main[[#This Row],[Tech Start Date]]&lt;1/1/1990,"",IF(Main[[#This Row],[Class]]="C",WORKDAY(Main[[#This Row],[Tech Start Date]],23),IF(Main[[#This Row],[Class]]="B", WORKDAY(Main[[#This Row],[Tech Start Date]],15),IF(Main[[#This Row],[Class]]="A",WORKDAY(Main[[#This Row],[Tech Start Date]],5),""))))</f>
        <v/>
      </c>
      <c r="P756" s="69" t="str">
        <f>IF(Main[[#This Row],[Tech Start Date]]&lt;1/1/1990,"",IF(Main[[#This Row],[Class]]="C",WORKDAY(Main[[#This Row],[Tech Start Date]],28),IF(Main[[#This Row],[Class]]="B", WORKDAY(Main[[#This Row],[Tech Start Date]],19),IF(Main[[#This Row],[Class]]="A",WORKDAY(Main[[#This Row],[Tech Start Date]],9),""))))</f>
        <v/>
      </c>
      <c r="Q756" s="67">
        <v>40858</v>
      </c>
      <c r="R756" s="67"/>
      <c r="S756" s="65" t="s">
        <v>17</v>
      </c>
      <c r="T756" s="70" t="s">
        <v>4</v>
      </c>
      <c r="U756" s="65" t="s">
        <v>14</v>
      </c>
      <c r="V756" s="65" t="s">
        <v>1914</v>
      </c>
      <c r="W756" s="65" t="s">
        <v>1919</v>
      </c>
      <c r="X756" s="65" t="s">
        <v>50</v>
      </c>
      <c r="Y756" s="65" t="s">
        <v>2959</v>
      </c>
      <c r="Z756" s="65" t="s">
        <v>4</v>
      </c>
      <c r="AA756" s="65" t="s">
        <v>2828</v>
      </c>
    </row>
    <row r="757" spans="1:27" ht="17.45" hidden="1" customHeight="1">
      <c r="A757" s="12" t="str">
        <f>IF(priority(Main[[#This Row],[Comments]])&lt;&gt;0, priority(Main[[#This Row],[Comments]]),"")</f>
        <v/>
      </c>
      <c r="B757" s="77" t="s">
        <v>1667</v>
      </c>
      <c r="C757" s="63" t="s">
        <v>4</v>
      </c>
      <c r="D757" s="72" t="s">
        <v>97</v>
      </c>
      <c r="E757" s="73"/>
      <c r="F757" s="73"/>
      <c r="G757" s="63" t="str">
        <f>IF(stdProdLT(Main[[#This Row],[Comments]])=0.1,"N/A",IF(stdProdLT(Main[[#This Row],[Comments]])=0,"",stdProdLT(Main[[#This Row],[Comments]])))</f>
        <v/>
      </c>
      <c r="H757" s="74" t="str">
        <f>IF(AND(Main[[#This Row],[In Stock Date]]&lt;&gt;"",Main[[#This Row],[Revised Due Date]]&lt;&gt;""),Main[[#This Row],[In Stock Date]]-Main[[#This Row],[Revised Due Date]],"")</f>
        <v/>
      </c>
      <c r="I757" s="63" t="s">
        <v>4</v>
      </c>
      <c r="J757" s="63" t="s">
        <v>4</v>
      </c>
      <c r="K757" s="63" t="s">
        <v>4</v>
      </c>
      <c r="L757" s="73"/>
      <c r="M757" s="69" t="str">
        <f>IF(Main[[#This Row],[Tech Start Date]]&lt;1/1/1990,"",IF(Main[[#This Row],[Class]]="C",WORKDAY(Main[[#This Row],[Tech Start Date]],9),IF(Main[[#This Row],[Class]]="B", WORKDAY(Main[[#This Row],[Tech Start Date]],6),IF(Main[[#This Row],[Class]]="A",WORKDAY(Main[[#This Row],[Tech Start Date]],2),""))))</f>
        <v/>
      </c>
      <c r="N757" s="69" t="str">
        <f>IF(Main[[#This Row],[Tech Start Date]]&lt;1/1/1990,"",IF(Main[[#This Row],[Class]]="C",WORKDAY(Main[[#This Row],[Tech Start Date]],19),IF(Main[[#This Row],[Class]]="B", WORKDAY(Main[[#This Row],[Tech Start Date]],12),IF(Main[[#This Row],[Class]]="A",WORKDAY(Main[[#This Row],[Tech Start Date]],4),""))))</f>
        <v/>
      </c>
      <c r="O757" s="69" t="str">
        <f>IF(Main[[#This Row],[Tech Start Date]]&lt;1/1/1990,"",IF(Main[[#This Row],[Class]]="C",WORKDAY(Main[[#This Row],[Tech Start Date]],23),IF(Main[[#This Row],[Class]]="B", WORKDAY(Main[[#This Row],[Tech Start Date]],15),IF(Main[[#This Row],[Class]]="A",WORKDAY(Main[[#This Row],[Tech Start Date]],5),""))))</f>
        <v/>
      </c>
      <c r="P757" s="69" t="str">
        <f>IF(Main[[#This Row],[Tech Start Date]]&lt;1/1/1990,"",IF(Main[[#This Row],[Class]]="C",WORKDAY(Main[[#This Row],[Tech Start Date]],28),IF(Main[[#This Row],[Class]]="B", WORKDAY(Main[[#This Row],[Tech Start Date]],19),IF(Main[[#This Row],[Class]]="A",WORKDAY(Main[[#This Row],[Tech Start Date]],9),""))))</f>
        <v/>
      </c>
      <c r="Q757" s="73">
        <v>40858</v>
      </c>
      <c r="R757" s="73"/>
      <c r="S757" s="63" t="s">
        <v>17</v>
      </c>
      <c r="T757" s="75" t="s">
        <v>4</v>
      </c>
      <c r="U757" s="63" t="s">
        <v>14</v>
      </c>
      <c r="V757" s="63" t="s">
        <v>1914</v>
      </c>
      <c r="W757" s="63" t="s">
        <v>1919</v>
      </c>
      <c r="X757" s="63" t="s">
        <v>50</v>
      </c>
      <c r="Y757" s="63" t="s">
        <v>2959</v>
      </c>
      <c r="Z757" s="63" t="s">
        <v>4</v>
      </c>
      <c r="AA757" s="65" t="s">
        <v>2828</v>
      </c>
    </row>
    <row r="758" spans="1:27" ht="17.45" hidden="1" customHeight="1">
      <c r="A758" s="100" t="str">
        <f>IF(priority(Main[[#This Row],[Comments]])&lt;&gt;0, priority(Main[[#This Row],[Comments]]),"")</f>
        <v/>
      </c>
      <c r="B758" s="77" t="s">
        <v>1668</v>
      </c>
      <c r="C758" s="65" t="s">
        <v>4</v>
      </c>
      <c r="D758" s="66" t="s">
        <v>97</v>
      </c>
      <c r="E758" s="67"/>
      <c r="F758" s="67"/>
      <c r="G758" s="64" t="str">
        <f>IF(stdProdLT(Main[[#This Row],[Comments]])=0.1,"N/A",IF(stdProdLT(Main[[#This Row],[Comments]])=0,"",stdProdLT(Main[[#This Row],[Comments]])))</f>
        <v/>
      </c>
      <c r="H758" s="68" t="str">
        <f>IF(AND(Main[[#This Row],[In Stock Date]]&lt;&gt;"",Main[[#This Row],[Revised Due Date]]&lt;&gt;""),Main[[#This Row],[In Stock Date]]-Main[[#This Row],[Revised Due Date]],"")</f>
        <v/>
      </c>
      <c r="I758" s="65" t="s">
        <v>4</v>
      </c>
      <c r="J758" s="65" t="s">
        <v>4</v>
      </c>
      <c r="K758" s="65" t="s">
        <v>4</v>
      </c>
      <c r="L758" s="67"/>
      <c r="M758" s="69" t="str">
        <f>IF(Main[[#This Row],[Tech Start Date]]&lt;1/1/1990,"",IF(Main[[#This Row],[Class]]="C",WORKDAY(Main[[#This Row],[Tech Start Date]],9),IF(Main[[#This Row],[Class]]="B", WORKDAY(Main[[#This Row],[Tech Start Date]],6),IF(Main[[#This Row],[Class]]="A",WORKDAY(Main[[#This Row],[Tech Start Date]],2),""))))</f>
        <v/>
      </c>
      <c r="N758" s="69" t="str">
        <f>IF(Main[[#This Row],[Tech Start Date]]&lt;1/1/1990,"",IF(Main[[#This Row],[Class]]="C",WORKDAY(Main[[#This Row],[Tech Start Date]],19),IF(Main[[#This Row],[Class]]="B", WORKDAY(Main[[#This Row],[Tech Start Date]],12),IF(Main[[#This Row],[Class]]="A",WORKDAY(Main[[#This Row],[Tech Start Date]],4),""))))</f>
        <v/>
      </c>
      <c r="O758" s="69" t="str">
        <f>IF(Main[[#This Row],[Tech Start Date]]&lt;1/1/1990,"",IF(Main[[#This Row],[Class]]="C",WORKDAY(Main[[#This Row],[Tech Start Date]],23),IF(Main[[#This Row],[Class]]="B", WORKDAY(Main[[#This Row],[Tech Start Date]],15),IF(Main[[#This Row],[Class]]="A",WORKDAY(Main[[#This Row],[Tech Start Date]],5),""))))</f>
        <v/>
      </c>
      <c r="P758" s="69" t="str">
        <f>IF(Main[[#This Row],[Tech Start Date]]&lt;1/1/1990,"",IF(Main[[#This Row],[Class]]="C",WORKDAY(Main[[#This Row],[Tech Start Date]],28),IF(Main[[#This Row],[Class]]="B", WORKDAY(Main[[#This Row],[Tech Start Date]],19),IF(Main[[#This Row],[Class]]="A",WORKDAY(Main[[#This Row],[Tech Start Date]],9),""))))</f>
        <v/>
      </c>
      <c r="Q758" s="67">
        <v>40858</v>
      </c>
      <c r="R758" s="67"/>
      <c r="S758" s="65" t="s">
        <v>17</v>
      </c>
      <c r="T758" s="70" t="s">
        <v>4</v>
      </c>
      <c r="U758" s="65" t="s">
        <v>14</v>
      </c>
      <c r="V758" s="65" t="s">
        <v>1914</v>
      </c>
      <c r="W758" s="65" t="s">
        <v>1919</v>
      </c>
      <c r="X758" s="65" t="s">
        <v>50</v>
      </c>
      <c r="Y758" s="65" t="s">
        <v>2959</v>
      </c>
      <c r="Z758" s="65" t="s">
        <v>4</v>
      </c>
      <c r="AA758" s="65" t="s">
        <v>2828</v>
      </c>
    </row>
    <row r="759" spans="1:27" ht="17.45" hidden="1" customHeight="1">
      <c r="A759" s="100" t="str">
        <f>IF(priority(Main[[#This Row],[Comments]])&lt;&gt;0, priority(Main[[#This Row],[Comments]]),"")</f>
        <v/>
      </c>
      <c r="B759" s="77" t="s">
        <v>1251</v>
      </c>
      <c r="C759" s="65" t="s">
        <v>4</v>
      </c>
      <c r="D759" s="66" t="s">
        <v>316</v>
      </c>
      <c r="E759" s="67"/>
      <c r="F759" s="67"/>
      <c r="G759" s="64" t="str">
        <f>IF(stdProdLT(Main[[#This Row],[Comments]])=0.1,"N/A",IF(stdProdLT(Main[[#This Row],[Comments]])=0,"",stdProdLT(Main[[#This Row],[Comments]])))</f>
        <v/>
      </c>
      <c r="H759" s="68" t="str">
        <f>IF(AND(Main[[#This Row],[In Stock Date]]&lt;&gt;"",Main[[#This Row],[Revised Due Date]]&lt;&gt;""),Main[[#This Row],[In Stock Date]]-Main[[#This Row],[Revised Due Date]],"")</f>
        <v/>
      </c>
      <c r="I759" s="65" t="s">
        <v>4</v>
      </c>
      <c r="J759" s="65" t="s">
        <v>4</v>
      </c>
      <c r="K759" s="65" t="s">
        <v>4</v>
      </c>
      <c r="L759" s="67"/>
      <c r="M759" s="69" t="str">
        <f>IF(Main[[#This Row],[Tech Start Date]]&lt;1/1/1990,"",IF(Main[[#This Row],[Class]]="C",WORKDAY(Main[[#This Row],[Tech Start Date]],9),IF(Main[[#This Row],[Class]]="B", WORKDAY(Main[[#This Row],[Tech Start Date]],6),IF(Main[[#This Row],[Class]]="A",WORKDAY(Main[[#This Row],[Tech Start Date]],2),""))))</f>
        <v/>
      </c>
      <c r="N759" s="69" t="str">
        <f>IF(Main[[#This Row],[Tech Start Date]]&lt;1/1/1990,"",IF(Main[[#This Row],[Class]]="C",WORKDAY(Main[[#This Row],[Tech Start Date]],19),IF(Main[[#This Row],[Class]]="B", WORKDAY(Main[[#This Row],[Tech Start Date]],12),IF(Main[[#This Row],[Class]]="A",WORKDAY(Main[[#This Row],[Tech Start Date]],4),""))))</f>
        <v/>
      </c>
      <c r="O759" s="69" t="str">
        <f>IF(Main[[#This Row],[Tech Start Date]]&lt;1/1/1990,"",IF(Main[[#This Row],[Class]]="C",WORKDAY(Main[[#This Row],[Tech Start Date]],23),IF(Main[[#This Row],[Class]]="B", WORKDAY(Main[[#This Row],[Tech Start Date]],15),IF(Main[[#This Row],[Class]]="A",WORKDAY(Main[[#This Row],[Tech Start Date]],5),""))))</f>
        <v/>
      </c>
      <c r="P759" s="69" t="str">
        <f>IF(Main[[#This Row],[Tech Start Date]]&lt;1/1/1990,"",IF(Main[[#This Row],[Class]]="C",WORKDAY(Main[[#This Row],[Tech Start Date]],28),IF(Main[[#This Row],[Class]]="B", WORKDAY(Main[[#This Row],[Tech Start Date]],19),IF(Main[[#This Row],[Class]]="A",WORKDAY(Main[[#This Row],[Tech Start Date]],9),""))))</f>
        <v/>
      </c>
      <c r="Q759" s="67">
        <v>40229</v>
      </c>
      <c r="R759" s="67"/>
      <c r="S759" s="65" t="s">
        <v>6</v>
      </c>
      <c r="T759" s="70" t="s">
        <v>4</v>
      </c>
      <c r="U759" s="65" t="s">
        <v>14</v>
      </c>
      <c r="V759" s="65" t="s">
        <v>1914</v>
      </c>
      <c r="W759" s="65" t="s">
        <v>1918</v>
      </c>
      <c r="X759" s="65" t="s">
        <v>2821</v>
      </c>
      <c r="Y759" s="65" t="s">
        <v>2936</v>
      </c>
      <c r="Z759" s="65" t="s">
        <v>4</v>
      </c>
      <c r="AA759" s="65" t="s">
        <v>2821</v>
      </c>
    </row>
    <row r="760" spans="1:27" ht="17.45" hidden="1" customHeight="1">
      <c r="A760" s="100" t="str">
        <f>IF(priority(Main[[#This Row],[Comments]])&lt;&gt;0, priority(Main[[#This Row],[Comments]]),"")</f>
        <v/>
      </c>
      <c r="B760" s="77" t="s">
        <v>1682</v>
      </c>
      <c r="C760" s="65" t="s">
        <v>4</v>
      </c>
      <c r="D760" s="66" t="s">
        <v>740</v>
      </c>
      <c r="E760" s="67">
        <v>40591.815474537034</v>
      </c>
      <c r="F760" s="67"/>
      <c r="G760" s="64" t="str">
        <f>IF(stdProdLT(Main[[#This Row],[Comments]])=0.1,"N/A",IF(stdProdLT(Main[[#This Row],[Comments]])=0,"",stdProdLT(Main[[#This Row],[Comments]])))</f>
        <v/>
      </c>
      <c r="H760" s="68" t="str">
        <f>IF(AND(Main[[#This Row],[In Stock Date]]&lt;&gt;"",Main[[#This Row],[Revised Due Date]]&lt;&gt;""),Main[[#This Row],[In Stock Date]]-Main[[#This Row],[Revised Due Date]],"")</f>
        <v/>
      </c>
      <c r="I760" s="65" t="s">
        <v>130</v>
      </c>
      <c r="J760" s="65" t="s">
        <v>70</v>
      </c>
      <c r="K760" s="65" t="s">
        <v>1923</v>
      </c>
      <c r="L760" s="67"/>
      <c r="M760" s="69" t="str">
        <f>IF(Main[[#This Row],[Tech Start Date]]&lt;1/1/1990,"",IF(Main[[#This Row],[Class]]="C",WORKDAY(Main[[#This Row],[Tech Start Date]],9),IF(Main[[#This Row],[Class]]="B", WORKDAY(Main[[#This Row],[Tech Start Date]],6),IF(Main[[#This Row],[Class]]="A",WORKDAY(Main[[#This Row],[Tech Start Date]],2),""))))</f>
        <v/>
      </c>
      <c r="N760" s="69" t="str">
        <f>IF(Main[[#This Row],[Tech Start Date]]&lt;1/1/1990,"",IF(Main[[#This Row],[Class]]="C",WORKDAY(Main[[#This Row],[Tech Start Date]],19),IF(Main[[#This Row],[Class]]="B", WORKDAY(Main[[#This Row],[Tech Start Date]],12),IF(Main[[#This Row],[Class]]="A",WORKDAY(Main[[#This Row],[Tech Start Date]],4),""))))</f>
        <v/>
      </c>
      <c r="O760" s="69" t="str">
        <f>IF(Main[[#This Row],[Tech Start Date]]&lt;1/1/1990,"",IF(Main[[#This Row],[Class]]="C",WORKDAY(Main[[#This Row],[Tech Start Date]],23),IF(Main[[#This Row],[Class]]="B", WORKDAY(Main[[#This Row],[Tech Start Date]],15),IF(Main[[#This Row],[Class]]="A",WORKDAY(Main[[#This Row],[Tech Start Date]],5),""))))</f>
        <v/>
      </c>
      <c r="P760" s="69" t="str">
        <f>IF(Main[[#This Row],[Tech Start Date]]&lt;1/1/1990,"",IF(Main[[#This Row],[Class]]="C",WORKDAY(Main[[#This Row],[Tech Start Date]],28),IF(Main[[#This Row],[Class]]="B", WORKDAY(Main[[#This Row],[Tech Start Date]],19),IF(Main[[#This Row],[Class]]="A",WORKDAY(Main[[#This Row],[Tech Start Date]],9),""))))</f>
        <v/>
      </c>
      <c r="Q760" s="67">
        <v>40736</v>
      </c>
      <c r="R760" s="67"/>
      <c r="S760" s="65" t="s">
        <v>6</v>
      </c>
      <c r="T760" s="70" t="s">
        <v>4</v>
      </c>
      <c r="U760" s="65" t="s">
        <v>29</v>
      </c>
      <c r="V760" s="65" t="s">
        <v>1917</v>
      </c>
      <c r="W760" s="65" t="s">
        <v>1918</v>
      </c>
      <c r="X760" s="65" t="s">
        <v>30</v>
      </c>
      <c r="Y760" s="65" t="s">
        <v>2957</v>
      </c>
      <c r="Z760" s="65" t="s">
        <v>30</v>
      </c>
      <c r="AA760" s="65" t="s">
        <v>30</v>
      </c>
    </row>
    <row r="761" spans="1:27" ht="17.45" hidden="1" customHeight="1">
      <c r="A761" s="100" t="str">
        <f>IF(priority(Main[[#This Row],[Comments]])&lt;&gt;0, priority(Main[[#This Row],[Comments]]),"")</f>
        <v/>
      </c>
      <c r="B761" s="77" t="s">
        <v>2034</v>
      </c>
      <c r="C761" s="65" t="s">
        <v>37</v>
      </c>
      <c r="D761" s="66" t="s">
        <v>485</v>
      </c>
      <c r="E761" s="67"/>
      <c r="F761" s="67"/>
      <c r="G761" s="64" t="str">
        <f>IF(stdProdLT(Main[[#This Row],[Comments]])=0.1,"N/A",IF(stdProdLT(Main[[#This Row],[Comments]])=0,"",stdProdLT(Main[[#This Row],[Comments]])))</f>
        <v/>
      </c>
      <c r="H761" s="68" t="str">
        <f>IF(AND(Main[[#This Row],[In Stock Date]]&lt;&gt;"",Main[[#This Row],[Revised Due Date]]&lt;&gt;""),Main[[#This Row],[In Stock Date]]-Main[[#This Row],[Revised Due Date]],"")</f>
        <v/>
      </c>
      <c r="I761" s="65" t="s">
        <v>4</v>
      </c>
      <c r="J761" s="65" t="s">
        <v>21</v>
      </c>
      <c r="K761" s="65" t="s">
        <v>4</v>
      </c>
      <c r="L761" s="67"/>
      <c r="M761" s="69" t="str">
        <f>IF(Main[[#This Row],[Tech Start Date]]&lt;1/1/1990,"",IF(Main[[#This Row],[Class]]="C",WORKDAY(Main[[#This Row],[Tech Start Date]],9),IF(Main[[#This Row],[Class]]="B", WORKDAY(Main[[#This Row],[Tech Start Date]],6),IF(Main[[#This Row],[Class]]="A",WORKDAY(Main[[#This Row],[Tech Start Date]],2),""))))</f>
        <v/>
      </c>
      <c r="N761" s="69" t="str">
        <f>IF(Main[[#This Row],[Tech Start Date]]&lt;1/1/1990,"",IF(Main[[#This Row],[Class]]="C",WORKDAY(Main[[#This Row],[Tech Start Date]],19),IF(Main[[#This Row],[Class]]="B", WORKDAY(Main[[#This Row],[Tech Start Date]],12),IF(Main[[#This Row],[Class]]="A",WORKDAY(Main[[#This Row],[Tech Start Date]],4),""))))</f>
        <v/>
      </c>
      <c r="O761" s="69" t="str">
        <f>IF(Main[[#This Row],[Tech Start Date]]&lt;1/1/1990,"",IF(Main[[#This Row],[Class]]="C",WORKDAY(Main[[#This Row],[Tech Start Date]],23),IF(Main[[#This Row],[Class]]="B", WORKDAY(Main[[#This Row],[Tech Start Date]],15),IF(Main[[#This Row],[Class]]="A",WORKDAY(Main[[#This Row],[Tech Start Date]],5),""))))</f>
        <v/>
      </c>
      <c r="P761" s="69" t="str">
        <f>IF(Main[[#This Row],[Tech Start Date]]&lt;1/1/1990,"",IF(Main[[#This Row],[Class]]="C",WORKDAY(Main[[#This Row],[Tech Start Date]],28),IF(Main[[#This Row],[Class]]="B", WORKDAY(Main[[#This Row],[Tech Start Date]],19),IF(Main[[#This Row],[Class]]="A",WORKDAY(Main[[#This Row],[Tech Start Date]],9),""))))</f>
        <v/>
      </c>
      <c r="Q761" s="67">
        <v>40696</v>
      </c>
      <c r="R761" s="67"/>
      <c r="S761" s="65" t="s">
        <v>6</v>
      </c>
      <c r="T761" s="70" t="s">
        <v>4</v>
      </c>
      <c r="U761" s="65" t="s">
        <v>12</v>
      </c>
      <c r="V761" s="65" t="s">
        <v>1914</v>
      </c>
      <c r="W761" s="65" t="s">
        <v>1925</v>
      </c>
      <c r="X761" s="65" t="s">
        <v>50</v>
      </c>
      <c r="Y761" s="65" t="s">
        <v>3097</v>
      </c>
      <c r="Z761" s="65" t="s">
        <v>3160</v>
      </c>
      <c r="AA761" s="65" t="s">
        <v>970</v>
      </c>
    </row>
    <row r="762" spans="1:27" ht="17.45" hidden="1" customHeight="1">
      <c r="A762" s="100" t="str">
        <f>IF(priority(Main[[#This Row],[Comments]])&lt;&gt;0, priority(Main[[#This Row],[Comments]]),"")</f>
        <v/>
      </c>
      <c r="B762" s="77" t="s">
        <v>2192</v>
      </c>
      <c r="C762" s="65" t="s">
        <v>4</v>
      </c>
      <c r="D762" s="66" t="s">
        <v>2193</v>
      </c>
      <c r="E762" s="67"/>
      <c r="F762" s="67">
        <v>40848</v>
      </c>
      <c r="G762" s="64" t="str">
        <f>IF(stdProdLT(Main[[#This Row],[Comments]])=0.1,"N/A",IF(stdProdLT(Main[[#This Row],[Comments]])=0,"",stdProdLT(Main[[#This Row],[Comments]])))</f>
        <v/>
      </c>
      <c r="H762" s="68" t="str">
        <f>IF(AND(Main[[#This Row],[In Stock Date]]&lt;&gt;"",Main[[#This Row],[Revised Due Date]]&lt;&gt;""),Main[[#This Row],[In Stock Date]]-Main[[#This Row],[Revised Due Date]],"")</f>
        <v/>
      </c>
      <c r="I762" s="65" t="s">
        <v>4</v>
      </c>
      <c r="J762" s="65" t="s">
        <v>4</v>
      </c>
      <c r="K762" s="65" t="s">
        <v>4</v>
      </c>
      <c r="L762" s="67"/>
      <c r="M762" s="69" t="str">
        <f>IF(Main[[#This Row],[Tech Start Date]]&lt;1/1/1990,"",IF(Main[[#This Row],[Class]]="C",WORKDAY(Main[[#This Row],[Tech Start Date]],9),IF(Main[[#This Row],[Class]]="B", WORKDAY(Main[[#This Row],[Tech Start Date]],6),IF(Main[[#This Row],[Class]]="A",WORKDAY(Main[[#This Row],[Tech Start Date]],2),""))))</f>
        <v/>
      </c>
      <c r="N762" s="69" t="str">
        <f>IF(Main[[#This Row],[Tech Start Date]]&lt;1/1/1990,"",IF(Main[[#This Row],[Class]]="C",WORKDAY(Main[[#This Row],[Tech Start Date]],19),IF(Main[[#This Row],[Class]]="B", WORKDAY(Main[[#This Row],[Tech Start Date]],12),IF(Main[[#This Row],[Class]]="A",WORKDAY(Main[[#This Row],[Tech Start Date]],4),""))))</f>
        <v/>
      </c>
      <c r="O762" s="69" t="str">
        <f>IF(Main[[#This Row],[Tech Start Date]]&lt;1/1/1990,"",IF(Main[[#This Row],[Class]]="C",WORKDAY(Main[[#This Row],[Tech Start Date]],23),IF(Main[[#This Row],[Class]]="B", WORKDAY(Main[[#This Row],[Tech Start Date]],15),IF(Main[[#This Row],[Class]]="A",WORKDAY(Main[[#This Row],[Tech Start Date]],5),""))))</f>
        <v/>
      </c>
      <c r="P762" s="69" t="str">
        <f>IF(Main[[#This Row],[Tech Start Date]]&lt;1/1/1990,"",IF(Main[[#This Row],[Class]]="C",WORKDAY(Main[[#This Row],[Tech Start Date]],28),IF(Main[[#This Row],[Class]]="B", WORKDAY(Main[[#This Row],[Tech Start Date]],19),IF(Main[[#This Row],[Class]]="A",WORKDAY(Main[[#This Row],[Tech Start Date]],9),""))))</f>
        <v/>
      </c>
      <c r="Q762" s="67">
        <v>40800</v>
      </c>
      <c r="R762" s="67"/>
      <c r="S762" s="65" t="s">
        <v>11</v>
      </c>
      <c r="T762" s="70" t="s">
        <v>4</v>
      </c>
      <c r="U762" s="65" t="s">
        <v>14</v>
      </c>
      <c r="V762" s="65" t="s">
        <v>1924</v>
      </c>
      <c r="W762" s="65" t="s">
        <v>1922</v>
      </c>
      <c r="X762" s="65" t="s">
        <v>2905</v>
      </c>
      <c r="Y762" s="65" t="s">
        <v>3098</v>
      </c>
      <c r="Z762" s="65" t="s">
        <v>4</v>
      </c>
      <c r="AA762" s="65" t="s">
        <v>2905</v>
      </c>
    </row>
    <row r="763" spans="1:27" ht="17.45" hidden="1" customHeight="1">
      <c r="A763" s="100" t="str">
        <f>IF(priority(Main[[#This Row],[Comments]])&lt;&gt;0, priority(Main[[#This Row],[Comments]]),"")</f>
        <v/>
      </c>
      <c r="B763" s="77" t="s">
        <v>1683</v>
      </c>
      <c r="C763" s="65" t="s">
        <v>4</v>
      </c>
      <c r="D763" s="66" t="s">
        <v>737</v>
      </c>
      <c r="E763" s="67">
        <v>40520.411597222221</v>
      </c>
      <c r="F763" s="67"/>
      <c r="G763" s="64" t="str">
        <f>IF(stdProdLT(Main[[#This Row],[Comments]])=0.1,"N/A",IF(stdProdLT(Main[[#This Row],[Comments]])=0,"",stdProdLT(Main[[#This Row],[Comments]])))</f>
        <v/>
      </c>
      <c r="H763" s="68" t="str">
        <f>IF(AND(Main[[#This Row],[In Stock Date]]&lt;&gt;"",Main[[#This Row],[Revised Due Date]]&lt;&gt;""),Main[[#This Row],[In Stock Date]]-Main[[#This Row],[Revised Due Date]],"")</f>
        <v/>
      </c>
      <c r="I763" s="65" t="s">
        <v>4</v>
      </c>
      <c r="J763" s="65" t="s">
        <v>28</v>
      </c>
      <c r="K763" s="65" t="s">
        <v>4</v>
      </c>
      <c r="L763" s="67"/>
      <c r="M763" s="69" t="str">
        <f>IF(Main[[#This Row],[Tech Start Date]]&lt;1/1/1990,"",IF(Main[[#This Row],[Class]]="C",WORKDAY(Main[[#This Row],[Tech Start Date]],9),IF(Main[[#This Row],[Class]]="B", WORKDAY(Main[[#This Row],[Tech Start Date]],6),IF(Main[[#This Row],[Class]]="A",WORKDAY(Main[[#This Row],[Tech Start Date]],2),""))))</f>
        <v/>
      </c>
      <c r="N763" s="69" t="str">
        <f>IF(Main[[#This Row],[Tech Start Date]]&lt;1/1/1990,"",IF(Main[[#This Row],[Class]]="C",WORKDAY(Main[[#This Row],[Tech Start Date]],19),IF(Main[[#This Row],[Class]]="B", WORKDAY(Main[[#This Row],[Tech Start Date]],12),IF(Main[[#This Row],[Class]]="A",WORKDAY(Main[[#This Row],[Tech Start Date]],4),""))))</f>
        <v/>
      </c>
      <c r="O763" s="69" t="str">
        <f>IF(Main[[#This Row],[Tech Start Date]]&lt;1/1/1990,"",IF(Main[[#This Row],[Class]]="C",WORKDAY(Main[[#This Row],[Tech Start Date]],23),IF(Main[[#This Row],[Class]]="B", WORKDAY(Main[[#This Row],[Tech Start Date]],15),IF(Main[[#This Row],[Class]]="A",WORKDAY(Main[[#This Row],[Tech Start Date]],5),""))))</f>
        <v/>
      </c>
      <c r="P763" s="69" t="str">
        <f>IF(Main[[#This Row],[Tech Start Date]]&lt;1/1/1990,"",IF(Main[[#This Row],[Class]]="C",WORKDAY(Main[[#This Row],[Tech Start Date]],28),IF(Main[[#This Row],[Class]]="B", WORKDAY(Main[[#This Row],[Tech Start Date]],19),IF(Main[[#This Row],[Class]]="A",WORKDAY(Main[[#This Row],[Tech Start Date]],9),""))))</f>
        <v/>
      </c>
      <c r="Q763" s="67">
        <v>40571</v>
      </c>
      <c r="R763" s="67"/>
      <c r="S763" s="65" t="s">
        <v>6</v>
      </c>
      <c r="T763" s="70" t="s">
        <v>4</v>
      </c>
      <c r="U763" s="65" t="s">
        <v>7</v>
      </c>
      <c r="V763" s="65" t="s">
        <v>1914</v>
      </c>
      <c r="W763" s="65" t="s">
        <v>1916</v>
      </c>
      <c r="X763" s="65" t="s">
        <v>2818</v>
      </c>
      <c r="Y763" s="65" t="s">
        <v>2929</v>
      </c>
      <c r="Z763" s="65" t="s">
        <v>129</v>
      </c>
      <c r="AA763" s="65" t="s">
        <v>2818</v>
      </c>
    </row>
    <row r="764" spans="1:27" ht="17.45" hidden="1" customHeight="1">
      <c r="A764" s="100" t="str">
        <f>IF(priority(Main[[#This Row],[Comments]])&lt;&gt;0, priority(Main[[#This Row],[Comments]]),"")</f>
        <v/>
      </c>
      <c r="B764" s="77" t="s">
        <v>1684</v>
      </c>
      <c r="C764" s="65" t="s">
        <v>4</v>
      </c>
      <c r="D764" s="66" t="s">
        <v>738</v>
      </c>
      <c r="E764" s="67"/>
      <c r="F764" s="67"/>
      <c r="G764" s="64" t="str">
        <f>IF(stdProdLT(Main[[#This Row],[Comments]])=0.1,"N/A",IF(stdProdLT(Main[[#This Row],[Comments]])=0,"",stdProdLT(Main[[#This Row],[Comments]])))</f>
        <v/>
      </c>
      <c r="H764" s="68" t="str">
        <f>IF(AND(Main[[#This Row],[In Stock Date]]&lt;&gt;"",Main[[#This Row],[Revised Due Date]]&lt;&gt;""),Main[[#This Row],[In Stock Date]]-Main[[#This Row],[Revised Due Date]],"")</f>
        <v/>
      </c>
      <c r="I764" s="65" t="s">
        <v>4</v>
      </c>
      <c r="J764" s="65" t="s">
        <v>28</v>
      </c>
      <c r="K764" s="65" t="s">
        <v>4</v>
      </c>
      <c r="L764" s="67"/>
      <c r="M764" s="69" t="str">
        <f>IF(Main[[#This Row],[Tech Start Date]]&lt;1/1/1990,"",IF(Main[[#This Row],[Class]]="C",WORKDAY(Main[[#This Row],[Tech Start Date]],9),IF(Main[[#This Row],[Class]]="B", WORKDAY(Main[[#This Row],[Tech Start Date]],6),IF(Main[[#This Row],[Class]]="A",WORKDAY(Main[[#This Row],[Tech Start Date]],2),""))))</f>
        <v/>
      </c>
      <c r="N764" s="69" t="str">
        <f>IF(Main[[#This Row],[Tech Start Date]]&lt;1/1/1990,"",IF(Main[[#This Row],[Class]]="C",WORKDAY(Main[[#This Row],[Tech Start Date]],19),IF(Main[[#This Row],[Class]]="B", WORKDAY(Main[[#This Row],[Tech Start Date]],12),IF(Main[[#This Row],[Class]]="A",WORKDAY(Main[[#This Row],[Tech Start Date]],4),""))))</f>
        <v/>
      </c>
      <c r="O764" s="69" t="str">
        <f>IF(Main[[#This Row],[Tech Start Date]]&lt;1/1/1990,"",IF(Main[[#This Row],[Class]]="C",WORKDAY(Main[[#This Row],[Tech Start Date]],23),IF(Main[[#This Row],[Class]]="B", WORKDAY(Main[[#This Row],[Tech Start Date]],15),IF(Main[[#This Row],[Class]]="A",WORKDAY(Main[[#This Row],[Tech Start Date]],5),""))))</f>
        <v/>
      </c>
      <c r="P764" s="69" t="str">
        <f>IF(Main[[#This Row],[Tech Start Date]]&lt;1/1/1990,"",IF(Main[[#This Row],[Class]]="C",WORKDAY(Main[[#This Row],[Tech Start Date]],28),IF(Main[[#This Row],[Class]]="B", WORKDAY(Main[[#This Row],[Tech Start Date]],19),IF(Main[[#This Row],[Class]]="A",WORKDAY(Main[[#This Row],[Tech Start Date]],9),""))))</f>
        <v/>
      </c>
      <c r="Q764" s="67"/>
      <c r="R764" s="67"/>
      <c r="S764" s="65" t="s">
        <v>17</v>
      </c>
      <c r="T764" s="70" t="s">
        <v>4</v>
      </c>
      <c r="U764" s="65" t="s">
        <v>14</v>
      </c>
      <c r="V764" s="65" t="s">
        <v>1914</v>
      </c>
      <c r="W764" s="65" t="s">
        <v>1922</v>
      </c>
      <c r="X764" s="65" t="s">
        <v>922</v>
      </c>
      <c r="Y764" s="65" t="s">
        <v>2982</v>
      </c>
      <c r="Z764" s="65" t="s">
        <v>129</v>
      </c>
      <c r="AA764" s="65" t="s">
        <v>922</v>
      </c>
    </row>
    <row r="765" spans="1:27" ht="17.45" hidden="1" customHeight="1">
      <c r="A765" s="100" t="str">
        <f>IF(priority(Main[[#This Row],[Comments]])&lt;&gt;0, priority(Main[[#This Row],[Comments]]),"")</f>
        <v/>
      </c>
      <c r="B765" s="77" t="s">
        <v>1687</v>
      </c>
      <c r="C765" s="65" t="s">
        <v>4</v>
      </c>
      <c r="D765" s="66" t="s">
        <v>742</v>
      </c>
      <c r="E765" s="67"/>
      <c r="F765" s="67"/>
      <c r="G765" s="64" t="str">
        <f>IF(stdProdLT(Main[[#This Row],[Comments]])=0.1,"N/A",IF(stdProdLT(Main[[#This Row],[Comments]])=0,"",stdProdLT(Main[[#This Row],[Comments]])))</f>
        <v/>
      </c>
      <c r="H765" s="68" t="str">
        <f>IF(AND(Main[[#This Row],[In Stock Date]]&lt;&gt;"",Main[[#This Row],[Revised Due Date]]&lt;&gt;""),Main[[#This Row],[In Stock Date]]-Main[[#This Row],[Revised Due Date]],"")</f>
        <v/>
      </c>
      <c r="I765" s="65" t="s">
        <v>4</v>
      </c>
      <c r="J765" s="65" t="s">
        <v>4</v>
      </c>
      <c r="K765" s="65" t="s">
        <v>4</v>
      </c>
      <c r="L765" s="67"/>
      <c r="M765" s="69" t="str">
        <f>IF(Main[[#This Row],[Tech Start Date]]&lt;1/1/1990,"",IF(Main[[#This Row],[Class]]="C",WORKDAY(Main[[#This Row],[Tech Start Date]],9),IF(Main[[#This Row],[Class]]="B", WORKDAY(Main[[#This Row],[Tech Start Date]],6),IF(Main[[#This Row],[Class]]="A",WORKDAY(Main[[#This Row],[Tech Start Date]],2),""))))</f>
        <v/>
      </c>
      <c r="N765" s="69" t="str">
        <f>IF(Main[[#This Row],[Tech Start Date]]&lt;1/1/1990,"",IF(Main[[#This Row],[Class]]="C",WORKDAY(Main[[#This Row],[Tech Start Date]],19),IF(Main[[#This Row],[Class]]="B", WORKDAY(Main[[#This Row],[Tech Start Date]],12),IF(Main[[#This Row],[Class]]="A",WORKDAY(Main[[#This Row],[Tech Start Date]],4),""))))</f>
        <v/>
      </c>
      <c r="O765" s="69" t="str">
        <f>IF(Main[[#This Row],[Tech Start Date]]&lt;1/1/1990,"",IF(Main[[#This Row],[Class]]="C",WORKDAY(Main[[#This Row],[Tech Start Date]],23),IF(Main[[#This Row],[Class]]="B", WORKDAY(Main[[#This Row],[Tech Start Date]],15),IF(Main[[#This Row],[Class]]="A",WORKDAY(Main[[#This Row],[Tech Start Date]],5),""))))</f>
        <v/>
      </c>
      <c r="P765" s="69" t="str">
        <f>IF(Main[[#This Row],[Tech Start Date]]&lt;1/1/1990,"",IF(Main[[#This Row],[Class]]="C",WORKDAY(Main[[#This Row],[Tech Start Date]],28),IF(Main[[#This Row],[Class]]="B", WORKDAY(Main[[#This Row],[Tech Start Date]],19),IF(Main[[#This Row],[Class]]="A",WORKDAY(Main[[#This Row],[Tech Start Date]],9),""))))</f>
        <v/>
      </c>
      <c r="Q765" s="67"/>
      <c r="R765" s="67"/>
      <c r="S765" s="65" t="s">
        <v>23</v>
      </c>
      <c r="T765" s="70" t="s">
        <v>4</v>
      </c>
      <c r="U765" s="65" t="s">
        <v>14</v>
      </c>
      <c r="V765" s="65" t="s">
        <v>1914</v>
      </c>
      <c r="W765" s="65" t="s">
        <v>1918</v>
      </c>
      <c r="X765" s="65" t="s">
        <v>399</v>
      </c>
      <c r="Y765" s="65" t="s">
        <v>4</v>
      </c>
      <c r="Z765" s="65" t="s">
        <v>4</v>
      </c>
      <c r="AA765" s="65" t="s">
        <v>3032</v>
      </c>
    </row>
    <row r="766" spans="1:27" ht="17.45" hidden="1" customHeight="1">
      <c r="A766" s="100" t="str">
        <f>IF(priority(Main[[#This Row],[Comments]])&lt;&gt;0, priority(Main[[#This Row],[Comments]]),"")</f>
        <v/>
      </c>
      <c r="B766" s="77" t="s">
        <v>1833</v>
      </c>
      <c r="C766" s="65" t="s">
        <v>4</v>
      </c>
      <c r="D766" s="66" t="s">
        <v>887</v>
      </c>
      <c r="E766" s="67">
        <v>40371.599317129629</v>
      </c>
      <c r="F766" s="67"/>
      <c r="G766" s="64" t="str">
        <f>IF(stdProdLT(Main[[#This Row],[Comments]])=0.1,"N/A",IF(stdProdLT(Main[[#This Row],[Comments]])=0,"",stdProdLT(Main[[#This Row],[Comments]])))</f>
        <v/>
      </c>
      <c r="H766" s="68" t="str">
        <f>IF(AND(Main[[#This Row],[In Stock Date]]&lt;&gt;"",Main[[#This Row],[Revised Due Date]]&lt;&gt;""),Main[[#This Row],[In Stock Date]]-Main[[#This Row],[Revised Due Date]],"")</f>
        <v/>
      </c>
      <c r="I766" s="65" t="s">
        <v>126</v>
      </c>
      <c r="J766" s="65" t="s">
        <v>28</v>
      </c>
      <c r="K766" s="65" t="s">
        <v>1926</v>
      </c>
      <c r="L766" s="67"/>
      <c r="M766" s="69" t="str">
        <f>IF(Main[[#This Row],[Tech Start Date]]&lt;1/1/1990,"",IF(Main[[#This Row],[Class]]="C",WORKDAY(Main[[#This Row],[Tech Start Date]],9),IF(Main[[#This Row],[Class]]="B", WORKDAY(Main[[#This Row],[Tech Start Date]],6),IF(Main[[#This Row],[Class]]="A",WORKDAY(Main[[#This Row],[Tech Start Date]],2),""))))</f>
        <v/>
      </c>
      <c r="N766" s="69" t="str">
        <f>IF(Main[[#This Row],[Tech Start Date]]&lt;1/1/1990,"",IF(Main[[#This Row],[Class]]="C",WORKDAY(Main[[#This Row],[Tech Start Date]],19),IF(Main[[#This Row],[Class]]="B", WORKDAY(Main[[#This Row],[Tech Start Date]],12),IF(Main[[#This Row],[Class]]="A",WORKDAY(Main[[#This Row],[Tech Start Date]],4),""))))</f>
        <v/>
      </c>
      <c r="O766" s="69" t="str">
        <f>IF(Main[[#This Row],[Tech Start Date]]&lt;1/1/1990,"",IF(Main[[#This Row],[Class]]="C",WORKDAY(Main[[#This Row],[Tech Start Date]],23),IF(Main[[#This Row],[Class]]="B", WORKDAY(Main[[#This Row],[Tech Start Date]],15),IF(Main[[#This Row],[Class]]="A",WORKDAY(Main[[#This Row],[Tech Start Date]],5),""))))</f>
        <v/>
      </c>
      <c r="P766" s="69" t="str">
        <f>IF(Main[[#This Row],[Tech Start Date]]&lt;1/1/1990,"",IF(Main[[#This Row],[Class]]="C",WORKDAY(Main[[#This Row],[Tech Start Date]],28),IF(Main[[#This Row],[Class]]="B", WORKDAY(Main[[#This Row],[Tech Start Date]],19),IF(Main[[#This Row],[Class]]="A",WORKDAY(Main[[#This Row],[Tech Start Date]],9),""))))</f>
        <v/>
      </c>
      <c r="Q766" s="67">
        <v>40420</v>
      </c>
      <c r="R766" s="67">
        <v>40420</v>
      </c>
      <c r="S766" s="65" t="s">
        <v>17</v>
      </c>
      <c r="T766" s="70" t="s">
        <v>4</v>
      </c>
      <c r="U766" s="65" t="s">
        <v>29</v>
      </c>
      <c r="V766" s="65" t="s">
        <v>1914</v>
      </c>
      <c r="W766" s="65" t="s">
        <v>1922</v>
      </c>
      <c r="X766" s="65" t="s">
        <v>129</v>
      </c>
      <c r="Y766" s="65" t="s">
        <v>2959</v>
      </c>
      <c r="Z766" s="65" t="s">
        <v>129</v>
      </c>
      <c r="AA766" s="65" t="s">
        <v>2828</v>
      </c>
    </row>
    <row r="767" spans="1:27" ht="17.45" hidden="1" customHeight="1">
      <c r="A767" s="100" t="str">
        <f>IF(priority(Main[[#This Row],[Comments]])&lt;&gt;0, priority(Main[[#This Row],[Comments]]),"")</f>
        <v/>
      </c>
      <c r="B767" s="77" t="s">
        <v>1688</v>
      </c>
      <c r="C767" s="65" t="s">
        <v>4</v>
      </c>
      <c r="D767" s="66" t="s">
        <v>743</v>
      </c>
      <c r="E767" s="67"/>
      <c r="F767" s="67"/>
      <c r="G767" s="64" t="str">
        <f>IF(stdProdLT(Main[[#This Row],[Comments]])=0.1,"N/A",IF(stdProdLT(Main[[#This Row],[Comments]])=0,"",stdProdLT(Main[[#This Row],[Comments]])))</f>
        <v/>
      </c>
      <c r="H767" s="68" t="str">
        <f>IF(AND(Main[[#This Row],[In Stock Date]]&lt;&gt;"",Main[[#This Row],[Revised Due Date]]&lt;&gt;""),Main[[#This Row],[In Stock Date]]-Main[[#This Row],[Revised Due Date]],"")</f>
        <v/>
      </c>
      <c r="I767" s="65" t="s">
        <v>4</v>
      </c>
      <c r="J767" s="65" t="s">
        <v>28</v>
      </c>
      <c r="K767" s="65" t="s">
        <v>1921</v>
      </c>
      <c r="L767" s="67"/>
      <c r="M767" s="69" t="str">
        <f>IF(Main[[#This Row],[Tech Start Date]]&lt;1/1/1990,"",IF(Main[[#This Row],[Class]]="C",WORKDAY(Main[[#This Row],[Tech Start Date]],9),IF(Main[[#This Row],[Class]]="B", WORKDAY(Main[[#This Row],[Tech Start Date]],6),IF(Main[[#This Row],[Class]]="A",WORKDAY(Main[[#This Row],[Tech Start Date]],2),""))))</f>
        <v/>
      </c>
      <c r="N767" s="69" t="str">
        <f>IF(Main[[#This Row],[Tech Start Date]]&lt;1/1/1990,"",IF(Main[[#This Row],[Class]]="C",WORKDAY(Main[[#This Row],[Tech Start Date]],19),IF(Main[[#This Row],[Class]]="B", WORKDAY(Main[[#This Row],[Tech Start Date]],12),IF(Main[[#This Row],[Class]]="A",WORKDAY(Main[[#This Row],[Tech Start Date]],4),""))))</f>
        <v/>
      </c>
      <c r="O767" s="69" t="str">
        <f>IF(Main[[#This Row],[Tech Start Date]]&lt;1/1/1990,"",IF(Main[[#This Row],[Class]]="C",WORKDAY(Main[[#This Row],[Tech Start Date]],23),IF(Main[[#This Row],[Class]]="B", WORKDAY(Main[[#This Row],[Tech Start Date]],15),IF(Main[[#This Row],[Class]]="A",WORKDAY(Main[[#This Row],[Tech Start Date]],5),""))))</f>
        <v/>
      </c>
      <c r="P767" s="69" t="str">
        <f>IF(Main[[#This Row],[Tech Start Date]]&lt;1/1/1990,"",IF(Main[[#This Row],[Class]]="C",WORKDAY(Main[[#This Row],[Tech Start Date]],28),IF(Main[[#This Row],[Class]]="B", WORKDAY(Main[[#This Row],[Tech Start Date]],19),IF(Main[[#This Row],[Class]]="A",WORKDAY(Main[[#This Row],[Tech Start Date]],9),""))))</f>
        <v/>
      </c>
      <c r="Q767" s="67"/>
      <c r="R767" s="67"/>
      <c r="S767" s="65" t="s">
        <v>6</v>
      </c>
      <c r="T767" s="70" t="s">
        <v>4</v>
      </c>
      <c r="U767" s="65" t="s">
        <v>14</v>
      </c>
      <c r="V767" s="65" t="s">
        <v>1914</v>
      </c>
      <c r="W767" s="65" t="s">
        <v>1918</v>
      </c>
      <c r="X767" s="65" t="s">
        <v>306</v>
      </c>
      <c r="Y767" s="65" t="s">
        <v>3099</v>
      </c>
      <c r="Z767" s="65" t="s">
        <v>129</v>
      </c>
      <c r="AA767" s="65" t="s">
        <v>3437</v>
      </c>
    </row>
    <row r="768" spans="1:27" ht="17.45" hidden="1" customHeight="1">
      <c r="A768" s="100" t="str">
        <f>IF(priority(Main[[#This Row],[Comments]])&lt;&gt;0, priority(Main[[#This Row],[Comments]]),"")</f>
        <v/>
      </c>
      <c r="B768" s="77" t="s">
        <v>1690</v>
      </c>
      <c r="C768" s="65" t="s">
        <v>4</v>
      </c>
      <c r="D768" s="66" t="s">
        <v>746</v>
      </c>
      <c r="E768" s="67"/>
      <c r="F768" s="67"/>
      <c r="G768" s="64" t="str">
        <f>IF(stdProdLT(Main[[#This Row],[Comments]])=0.1,"N/A",IF(stdProdLT(Main[[#This Row],[Comments]])=0,"",stdProdLT(Main[[#This Row],[Comments]])))</f>
        <v/>
      </c>
      <c r="H768" s="68" t="str">
        <f>IF(AND(Main[[#This Row],[In Stock Date]]&lt;&gt;"",Main[[#This Row],[Revised Due Date]]&lt;&gt;""),Main[[#This Row],[In Stock Date]]-Main[[#This Row],[Revised Due Date]],"")</f>
        <v/>
      </c>
      <c r="I768" s="65" t="s">
        <v>4</v>
      </c>
      <c r="J768" s="65" t="s">
        <v>4</v>
      </c>
      <c r="K768" s="65" t="s">
        <v>4</v>
      </c>
      <c r="L768" s="67"/>
      <c r="M768" s="69" t="str">
        <f>IF(Main[[#This Row],[Tech Start Date]]&lt;1/1/1990,"",IF(Main[[#This Row],[Class]]="C",WORKDAY(Main[[#This Row],[Tech Start Date]],9),IF(Main[[#This Row],[Class]]="B", WORKDAY(Main[[#This Row],[Tech Start Date]],6),IF(Main[[#This Row],[Class]]="A",WORKDAY(Main[[#This Row],[Tech Start Date]],2),""))))</f>
        <v/>
      </c>
      <c r="N768" s="69" t="str">
        <f>IF(Main[[#This Row],[Tech Start Date]]&lt;1/1/1990,"",IF(Main[[#This Row],[Class]]="C",WORKDAY(Main[[#This Row],[Tech Start Date]],19),IF(Main[[#This Row],[Class]]="B", WORKDAY(Main[[#This Row],[Tech Start Date]],12),IF(Main[[#This Row],[Class]]="A",WORKDAY(Main[[#This Row],[Tech Start Date]],4),""))))</f>
        <v/>
      </c>
      <c r="O768" s="69" t="str">
        <f>IF(Main[[#This Row],[Tech Start Date]]&lt;1/1/1990,"",IF(Main[[#This Row],[Class]]="C",WORKDAY(Main[[#This Row],[Tech Start Date]],23),IF(Main[[#This Row],[Class]]="B", WORKDAY(Main[[#This Row],[Tech Start Date]],15),IF(Main[[#This Row],[Class]]="A",WORKDAY(Main[[#This Row],[Tech Start Date]],5),""))))</f>
        <v/>
      </c>
      <c r="P768" s="69" t="str">
        <f>IF(Main[[#This Row],[Tech Start Date]]&lt;1/1/1990,"",IF(Main[[#This Row],[Class]]="C",WORKDAY(Main[[#This Row],[Tech Start Date]],28),IF(Main[[#This Row],[Class]]="B", WORKDAY(Main[[#This Row],[Tech Start Date]],19),IF(Main[[#This Row],[Class]]="A",WORKDAY(Main[[#This Row],[Tech Start Date]],9),""))))</f>
        <v/>
      </c>
      <c r="Q768" s="67"/>
      <c r="R768" s="67"/>
      <c r="S768" s="65" t="s">
        <v>11</v>
      </c>
      <c r="T768" s="70" t="s">
        <v>4</v>
      </c>
      <c r="U768" s="65" t="s">
        <v>14</v>
      </c>
      <c r="V768" s="65" t="s">
        <v>1914</v>
      </c>
      <c r="W768" s="65" t="s">
        <v>1918</v>
      </c>
      <c r="X768" s="65" t="s">
        <v>708</v>
      </c>
      <c r="Y768" s="65" t="s">
        <v>3085</v>
      </c>
      <c r="Z768" s="65" t="s">
        <v>4</v>
      </c>
      <c r="AA768" s="65" t="s">
        <v>969</v>
      </c>
    </row>
    <row r="769" spans="1:27" ht="17.45" hidden="1" customHeight="1">
      <c r="A769" s="100" t="str">
        <f>IF(priority(Main[[#This Row],[Comments]])&lt;&gt;0, priority(Main[[#This Row],[Comments]]),"")</f>
        <v/>
      </c>
      <c r="B769" s="77" t="s">
        <v>1691</v>
      </c>
      <c r="C769" s="65" t="s">
        <v>4</v>
      </c>
      <c r="D769" s="66" t="s">
        <v>747</v>
      </c>
      <c r="E769" s="67"/>
      <c r="F769" s="67"/>
      <c r="G769" s="64" t="str">
        <f>IF(stdProdLT(Main[[#This Row],[Comments]])=0.1,"N/A",IF(stdProdLT(Main[[#This Row],[Comments]])=0,"",stdProdLT(Main[[#This Row],[Comments]])))</f>
        <v/>
      </c>
      <c r="H769" s="68" t="str">
        <f>IF(AND(Main[[#This Row],[In Stock Date]]&lt;&gt;"",Main[[#This Row],[Revised Due Date]]&lt;&gt;""),Main[[#This Row],[In Stock Date]]-Main[[#This Row],[Revised Due Date]],"")</f>
        <v/>
      </c>
      <c r="I769" s="65" t="s">
        <v>429</v>
      </c>
      <c r="J769" s="65" t="s">
        <v>70</v>
      </c>
      <c r="K769" s="65" t="s">
        <v>4</v>
      </c>
      <c r="L769" s="67"/>
      <c r="M769" s="69" t="str">
        <f>IF(Main[[#This Row],[Tech Start Date]]&lt;1/1/1990,"",IF(Main[[#This Row],[Class]]="C",WORKDAY(Main[[#This Row],[Tech Start Date]],9),IF(Main[[#This Row],[Class]]="B", WORKDAY(Main[[#This Row],[Tech Start Date]],6),IF(Main[[#This Row],[Class]]="A",WORKDAY(Main[[#This Row],[Tech Start Date]],2),""))))</f>
        <v/>
      </c>
      <c r="N769" s="69" t="str">
        <f>IF(Main[[#This Row],[Tech Start Date]]&lt;1/1/1990,"",IF(Main[[#This Row],[Class]]="C",WORKDAY(Main[[#This Row],[Tech Start Date]],19),IF(Main[[#This Row],[Class]]="B", WORKDAY(Main[[#This Row],[Tech Start Date]],12),IF(Main[[#This Row],[Class]]="A",WORKDAY(Main[[#This Row],[Tech Start Date]],4),""))))</f>
        <v/>
      </c>
      <c r="O769" s="69" t="str">
        <f>IF(Main[[#This Row],[Tech Start Date]]&lt;1/1/1990,"",IF(Main[[#This Row],[Class]]="C",WORKDAY(Main[[#This Row],[Tech Start Date]],23),IF(Main[[#This Row],[Class]]="B", WORKDAY(Main[[#This Row],[Tech Start Date]],15),IF(Main[[#This Row],[Class]]="A",WORKDAY(Main[[#This Row],[Tech Start Date]],5),""))))</f>
        <v/>
      </c>
      <c r="P769" s="69" t="str">
        <f>IF(Main[[#This Row],[Tech Start Date]]&lt;1/1/1990,"",IF(Main[[#This Row],[Class]]="C",WORKDAY(Main[[#This Row],[Tech Start Date]],28),IF(Main[[#This Row],[Class]]="B", WORKDAY(Main[[#This Row],[Tech Start Date]],19),IF(Main[[#This Row],[Class]]="A",WORKDAY(Main[[#This Row],[Tech Start Date]],9),""))))</f>
        <v/>
      </c>
      <c r="Q769" s="67">
        <v>40437</v>
      </c>
      <c r="R769" s="67"/>
      <c r="S769" s="65" t="s">
        <v>6</v>
      </c>
      <c r="T769" s="70" t="s">
        <v>4</v>
      </c>
      <c r="U769" s="65" t="s">
        <v>14</v>
      </c>
      <c r="V769" s="65" t="s">
        <v>1917</v>
      </c>
      <c r="W769" s="65" t="s">
        <v>1916</v>
      </c>
      <c r="X769" s="65" t="s">
        <v>2822</v>
      </c>
      <c r="Y769" s="65" t="s">
        <v>2938</v>
      </c>
      <c r="Z769" s="65" t="s">
        <v>530</v>
      </c>
      <c r="AA769" s="65" t="s">
        <v>2822</v>
      </c>
    </row>
    <row r="770" spans="1:27" ht="17.45" hidden="1" customHeight="1">
      <c r="A770" s="100" t="str">
        <f>IF(priority(Main[[#This Row],[Comments]])&lt;&gt;0, priority(Main[[#This Row],[Comments]]),"")</f>
        <v/>
      </c>
      <c r="B770" s="77" t="s">
        <v>2737</v>
      </c>
      <c r="C770" s="65" t="s">
        <v>4</v>
      </c>
      <c r="D770" s="66" t="s">
        <v>2738</v>
      </c>
      <c r="E770" s="67">
        <v>40886.69462962963</v>
      </c>
      <c r="F770" s="67"/>
      <c r="G770" s="64" t="str">
        <f>IF(stdProdLT(Main[[#This Row],[Comments]])=0.1,"N/A",IF(stdProdLT(Main[[#This Row],[Comments]])=0,"",stdProdLT(Main[[#This Row],[Comments]])))</f>
        <v/>
      </c>
      <c r="H770" s="68" t="str">
        <f>IF(AND(Main[[#This Row],[In Stock Date]]&lt;&gt;"",Main[[#This Row],[Revised Due Date]]&lt;&gt;""),Main[[#This Row],[In Stock Date]]-Main[[#This Row],[Revised Due Date]],"")</f>
        <v/>
      </c>
      <c r="I770" s="65" t="s">
        <v>4</v>
      </c>
      <c r="J770" s="65" t="s">
        <v>4</v>
      </c>
      <c r="K770" s="65" t="s">
        <v>4</v>
      </c>
      <c r="L770" s="67"/>
      <c r="M770" s="69" t="str">
        <f>IF(Main[[#This Row],[Tech Start Date]]&lt;1/1/1990,"",IF(Main[[#This Row],[Class]]="C",WORKDAY(Main[[#This Row],[Tech Start Date]],9),IF(Main[[#This Row],[Class]]="B", WORKDAY(Main[[#This Row],[Tech Start Date]],6),IF(Main[[#This Row],[Class]]="A",WORKDAY(Main[[#This Row],[Tech Start Date]],2),""))))</f>
        <v/>
      </c>
      <c r="N770" s="69" t="str">
        <f>IF(Main[[#This Row],[Tech Start Date]]&lt;1/1/1990,"",IF(Main[[#This Row],[Class]]="C",WORKDAY(Main[[#This Row],[Tech Start Date]],19),IF(Main[[#This Row],[Class]]="B", WORKDAY(Main[[#This Row],[Tech Start Date]],12),IF(Main[[#This Row],[Class]]="A",WORKDAY(Main[[#This Row],[Tech Start Date]],4),""))))</f>
        <v/>
      </c>
      <c r="O770" s="69" t="str">
        <f>IF(Main[[#This Row],[Tech Start Date]]&lt;1/1/1990,"",IF(Main[[#This Row],[Class]]="C",WORKDAY(Main[[#This Row],[Tech Start Date]],23),IF(Main[[#This Row],[Class]]="B", WORKDAY(Main[[#This Row],[Tech Start Date]],15),IF(Main[[#This Row],[Class]]="A",WORKDAY(Main[[#This Row],[Tech Start Date]],5),""))))</f>
        <v/>
      </c>
      <c r="P770" s="69" t="str">
        <f>IF(Main[[#This Row],[Tech Start Date]]&lt;1/1/1990,"",IF(Main[[#This Row],[Class]]="C",WORKDAY(Main[[#This Row],[Tech Start Date]],28),IF(Main[[#This Row],[Class]]="B", WORKDAY(Main[[#This Row],[Tech Start Date]],19),IF(Main[[#This Row],[Class]]="A",WORKDAY(Main[[#This Row],[Tech Start Date]],9),""))))</f>
        <v/>
      </c>
      <c r="Q770" s="67">
        <v>40959</v>
      </c>
      <c r="R770" s="67"/>
      <c r="S770" s="65" t="s">
        <v>17</v>
      </c>
      <c r="T770" s="70" t="s">
        <v>4</v>
      </c>
      <c r="U770" s="65" t="s">
        <v>7</v>
      </c>
      <c r="V770" s="65" t="s">
        <v>1914</v>
      </c>
      <c r="W770" s="65" t="s">
        <v>4</v>
      </c>
      <c r="X770" s="65" t="s">
        <v>956</v>
      </c>
      <c r="Y770" s="65" t="s">
        <v>3094</v>
      </c>
      <c r="Z770" s="65" t="s">
        <v>4</v>
      </c>
      <c r="AA770" s="65" t="s">
        <v>956</v>
      </c>
    </row>
    <row r="771" spans="1:27" ht="17.45" hidden="1" customHeight="1">
      <c r="A771" s="100" t="str">
        <f>IF(priority(Main[[#This Row],[Comments]])&lt;&gt;0, priority(Main[[#This Row],[Comments]]),"")</f>
        <v/>
      </c>
      <c r="B771" s="77" t="s">
        <v>1695</v>
      </c>
      <c r="C771" s="65" t="s">
        <v>47</v>
      </c>
      <c r="D771" s="66" t="s">
        <v>751</v>
      </c>
      <c r="E771" s="67"/>
      <c r="F771" s="67"/>
      <c r="G771" s="64" t="str">
        <f>IF(stdProdLT(Main[[#This Row],[Comments]])=0.1,"N/A",IF(stdProdLT(Main[[#This Row],[Comments]])=0,"",stdProdLT(Main[[#This Row],[Comments]])))</f>
        <v/>
      </c>
      <c r="H771" s="68" t="str">
        <f>IF(AND(Main[[#This Row],[In Stock Date]]&lt;&gt;"",Main[[#This Row],[Revised Due Date]]&lt;&gt;""),Main[[#This Row],[In Stock Date]]-Main[[#This Row],[Revised Due Date]],"")</f>
        <v/>
      </c>
      <c r="I771" s="65" t="s">
        <v>4</v>
      </c>
      <c r="J771" s="65" t="s">
        <v>4</v>
      </c>
      <c r="K771" s="65" t="s">
        <v>4</v>
      </c>
      <c r="L771" s="67"/>
      <c r="M771" s="69" t="str">
        <f>IF(Main[[#This Row],[Tech Start Date]]&lt;1/1/1990,"",IF(Main[[#This Row],[Class]]="C",WORKDAY(Main[[#This Row],[Tech Start Date]],9),IF(Main[[#This Row],[Class]]="B", WORKDAY(Main[[#This Row],[Tech Start Date]],6),IF(Main[[#This Row],[Class]]="A",WORKDAY(Main[[#This Row],[Tech Start Date]],2),""))))</f>
        <v/>
      </c>
      <c r="N771" s="69" t="str">
        <f>IF(Main[[#This Row],[Tech Start Date]]&lt;1/1/1990,"",IF(Main[[#This Row],[Class]]="C",WORKDAY(Main[[#This Row],[Tech Start Date]],19),IF(Main[[#This Row],[Class]]="B", WORKDAY(Main[[#This Row],[Tech Start Date]],12),IF(Main[[#This Row],[Class]]="A",WORKDAY(Main[[#This Row],[Tech Start Date]],4),""))))</f>
        <v/>
      </c>
      <c r="O771" s="69" t="str">
        <f>IF(Main[[#This Row],[Tech Start Date]]&lt;1/1/1990,"",IF(Main[[#This Row],[Class]]="C",WORKDAY(Main[[#This Row],[Tech Start Date]],23),IF(Main[[#This Row],[Class]]="B", WORKDAY(Main[[#This Row],[Tech Start Date]],15),IF(Main[[#This Row],[Class]]="A",WORKDAY(Main[[#This Row],[Tech Start Date]],5),""))))</f>
        <v/>
      </c>
      <c r="P771" s="69" t="str">
        <f>IF(Main[[#This Row],[Tech Start Date]]&lt;1/1/1990,"",IF(Main[[#This Row],[Class]]="C",WORKDAY(Main[[#This Row],[Tech Start Date]],28),IF(Main[[#This Row],[Class]]="B", WORKDAY(Main[[#This Row],[Tech Start Date]],19),IF(Main[[#This Row],[Class]]="A",WORKDAY(Main[[#This Row],[Tech Start Date]],9),""))))</f>
        <v/>
      </c>
      <c r="Q771" s="67"/>
      <c r="R771" s="67"/>
      <c r="S771" s="65" t="s">
        <v>49</v>
      </c>
      <c r="T771" s="70" t="s">
        <v>4</v>
      </c>
      <c r="U771" s="65" t="s">
        <v>14</v>
      </c>
      <c r="V771" s="65" t="s">
        <v>1917</v>
      </c>
      <c r="W771" s="65" t="s">
        <v>1918</v>
      </c>
      <c r="X771" s="65" t="s">
        <v>306</v>
      </c>
      <c r="Y771" s="65" t="s">
        <v>2941</v>
      </c>
      <c r="Z771" s="65" t="s">
        <v>4</v>
      </c>
      <c r="AA771" s="65" t="s">
        <v>3377</v>
      </c>
    </row>
    <row r="772" spans="1:27" ht="17.45" hidden="1" customHeight="1">
      <c r="A772" s="100" t="str">
        <f>IF(priority(Main[[#This Row],[Comments]])&lt;&gt;0, priority(Main[[#This Row],[Comments]]),"")</f>
        <v/>
      </c>
      <c r="B772" s="77" t="s">
        <v>2097</v>
      </c>
      <c r="C772" s="65" t="s">
        <v>951</v>
      </c>
      <c r="D772" s="66" t="s">
        <v>2098</v>
      </c>
      <c r="E772" s="67"/>
      <c r="F772" s="67">
        <v>40871</v>
      </c>
      <c r="G772" s="64" t="str">
        <f>IF(stdProdLT(Main[[#This Row],[Comments]])=0.1,"N/A",IF(stdProdLT(Main[[#This Row],[Comments]])=0,"",stdProdLT(Main[[#This Row],[Comments]])))</f>
        <v/>
      </c>
      <c r="H772" s="68" t="str">
        <f>IF(AND(Main[[#This Row],[In Stock Date]]&lt;&gt;"",Main[[#This Row],[Revised Due Date]]&lt;&gt;""),Main[[#This Row],[In Stock Date]]-Main[[#This Row],[Revised Due Date]],"")</f>
        <v/>
      </c>
      <c r="I772" s="65" t="s">
        <v>4</v>
      </c>
      <c r="J772" s="65" t="s">
        <v>4</v>
      </c>
      <c r="K772" s="65" t="s">
        <v>4</v>
      </c>
      <c r="L772" s="67"/>
      <c r="M772" s="69" t="str">
        <f>IF(Main[[#This Row],[Tech Start Date]]&lt;1/1/1990,"",IF(Main[[#This Row],[Class]]="C",WORKDAY(Main[[#This Row],[Tech Start Date]],9),IF(Main[[#This Row],[Class]]="B", WORKDAY(Main[[#This Row],[Tech Start Date]],6),IF(Main[[#This Row],[Class]]="A",WORKDAY(Main[[#This Row],[Tech Start Date]],2),""))))</f>
        <v/>
      </c>
      <c r="N772" s="69" t="str">
        <f>IF(Main[[#This Row],[Tech Start Date]]&lt;1/1/1990,"",IF(Main[[#This Row],[Class]]="C",WORKDAY(Main[[#This Row],[Tech Start Date]],19),IF(Main[[#This Row],[Class]]="B", WORKDAY(Main[[#This Row],[Tech Start Date]],12),IF(Main[[#This Row],[Class]]="A",WORKDAY(Main[[#This Row],[Tech Start Date]],4),""))))</f>
        <v/>
      </c>
      <c r="O772" s="69" t="str">
        <f>IF(Main[[#This Row],[Tech Start Date]]&lt;1/1/1990,"",IF(Main[[#This Row],[Class]]="C",WORKDAY(Main[[#This Row],[Tech Start Date]],23),IF(Main[[#This Row],[Class]]="B", WORKDAY(Main[[#This Row],[Tech Start Date]],15),IF(Main[[#This Row],[Class]]="A",WORKDAY(Main[[#This Row],[Tech Start Date]],5),""))))</f>
        <v/>
      </c>
      <c r="P772" s="69" t="str">
        <f>IF(Main[[#This Row],[Tech Start Date]]&lt;1/1/1990,"",IF(Main[[#This Row],[Class]]="C",WORKDAY(Main[[#This Row],[Tech Start Date]],28),IF(Main[[#This Row],[Class]]="B", WORKDAY(Main[[#This Row],[Tech Start Date]],19),IF(Main[[#This Row],[Class]]="A",WORKDAY(Main[[#This Row],[Tech Start Date]],9),""))))</f>
        <v/>
      </c>
      <c r="Q772" s="67"/>
      <c r="R772" s="67"/>
      <c r="S772" s="65" t="s">
        <v>11</v>
      </c>
      <c r="T772" s="70" t="s">
        <v>4</v>
      </c>
      <c r="U772" s="65" t="s">
        <v>14</v>
      </c>
      <c r="V772" s="65" t="s">
        <v>1917</v>
      </c>
      <c r="W772" s="65" t="s">
        <v>1922</v>
      </c>
      <c r="X772" s="65" t="s">
        <v>50</v>
      </c>
      <c r="Y772" s="65" t="s">
        <v>2961</v>
      </c>
      <c r="Z772" s="65" t="s">
        <v>4</v>
      </c>
      <c r="AA772" s="65" t="s">
        <v>50</v>
      </c>
    </row>
    <row r="773" spans="1:27" ht="17.45" hidden="1" customHeight="1">
      <c r="A773" s="100" t="str">
        <f>IF(priority(Main[[#This Row],[Comments]])&lt;&gt;0, priority(Main[[#This Row],[Comments]]),"")</f>
        <v/>
      </c>
      <c r="B773" s="77" t="s">
        <v>3516</v>
      </c>
      <c r="C773" s="65" t="s">
        <v>4</v>
      </c>
      <c r="D773" s="66" t="s">
        <v>3517</v>
      </c>
      <c r="E773" s="67">
        <v>40948.373171296298</v>
      </c>
      <c r="F773" s="67"/>
      <c r="G773" s="64" t="str">
        <f>IF(stdProdLT(Main[[#This Row],[Comments]])=0.1,"N/A",IF(stdProdLT(Main[[#This Row],[Comments]])=0,"",stdProdLT(Main[[#This Row],[Comments]])))</f>
        <v/>
      </c>
      <c r="H773" s="68" t="str">
        <f>IF(AND(Main[[#This Row],[In Stock Date]]&lt;&gt;"",Main[[#This Row],[Revised Due Date]]&lt;&gt;""),Main[[#This Row],[In Stock Date]]-Main[[#This Row],[Revised Due Date]],"")</f>
        <v/>
      </c>
      <c r="I773" s="65" t="s">
        <v>4</v>
      </c>
      <c r="J773" s="65" t="s">
        <v>4</v>
      </c>
      <c r="K773" s="65" t="s">
        <v>4</v>
      </c>
      <c r="L773" s="67"/>
      <c r="M773" s="69" t="str">
        <f>IF(Main[[#This Row],[Tech Start Date]]&lt;1/1/1990,"",IF(Main[[#This Row],[Class]]="C",WORKDAY(Main[[#This Row],[Tech Start Date]],9),IF(Main[[#This Row],[Class]]="B", WORKDAY(Main[[#This Row],[Tech Start Date]],6),IF(Main[[#This Row],[Class]]="A",WORKDAY(Main[[#This Row],[Tech Start Date]],2),""))))</f>
        <v/>
      </c>
      <c r="N773" s="69" t="str">
        <f>IF(Main[[#This Row],[Tech Start Date]]&lt;1/1/1990,"",IF(Main[[#This Row],[Class]]="C",WORKDAY(Main[[#This Row],[Tech Start Date]],19),IF(Main[[#This Row],[Class]]="B", WORKDAY(Main[[#This Row],[Tech Start Date]],12),IF(Main[[#This Row],[Class]]="A",WORKDAY(Main[[#This Row],[Tech Start Date]],4),""))))</f>
        <v/>
      </c>
      <c r="O773" s="69" t="str">
        <f>IF(Main[[#This Row],[Tech Start Date]]&lt;1/1/1990,"",IF(Main[[#This Row],[Class]]="C",WORKDAY(Main[[#This Row],[Tech Start Date]],23),IF(Main[[#This Row],[Class]]="B", WORKDAY(Main[[#This Row],[Tech Start Date]],15),IF(Main[[#This Row],[Class]]="A",WORKDAY(Main[[#This Row],[Tech Start Date]],5),""))))</f>
        <v/>
      </c>
      <c r="P773" s="69" t="str">
        <f>IF(Main[[#This Row],[Tech Start Date]]&lt;1/1/1990,"",IF(Main[[#This Row],[Class]]="C",WORKDAY(Main[[#This Row],[Tech Start Date]],28),IF(Main[[#This Row],[Class]]="B", WORKDAY(Main[[#This Row],[Tech Start Date]],19),IF(Main[[#This Row],[Class]]="A",WORKDAY(Main[[#This Row],[Tech Start Date]],9),""))))</f>
        <v/>
      </c>
      <c r="Q773" s="67">
        <v>40977</v>
      </c>
      <c r="R773" s="67"/>
      <c r="S773" s="65" t="s">
        <v>6</v>
      </c>
      <c r="T773" s="70" t="s">
        <v>4</v>
      </c>
      <c r="U773" s="65" t="s">
        <v>7</v>
      </c>
      <c r="V773" s="65" t="s">
        <v>1914</v>
      </c>
      <c r="W773" s="65" t="s">
        <v>4</v>
      </c>
      <c r="X773" s="65" t="s">
        <v>2822</v>
      </c>
      <c r="Y773" s="65" t="s">
        <v>2938</v>
      </c>
      <c r="Z773" s="65" t="s">
        <v>4</v>
      </c>
      <c r="AA773" s="65" t="s">
        <v>2822</v>
      </c>
    </row>
    <row r="774" spans="1:27" ht="17.45" hidden="1" customHeight="1">
      <c r="A774" s="100" t="str">
        <f>IF(priority(Main[[#This Row],[Comments]])&lt;&gt;0, priority(Main[[#This Row],[Comments]]),"")</f>
        <v/>
      </c>
      <c r="B774" s="77" t="s">
        <v>1898</v>
      </c>
      <c r="C774" s="65" t="s">
        <v>72</v>
      </c>
      <c r="D774" s="66" t="s">
        <v>2111</v>
      </c>
      <c r="E774" s="67">
        <v>40469.926608796297</v>
      </c>
      <c r="F774" s="67">
        <v>40487</v>
      </c>
      <c r="G774" s="64">
        <f>IF(stdProdLT(Main[[#This Row],[Comments]])=0.1,"N/A",IF(stdProdLT(Main[[#This Row],[Comments]])=0,"",stdProdLT(Main[[#This Row],[Comments]])))</f>
        <v>42</v>
      </c>
      <c r="H774" s="68">
        <f>IF(AND(Main[[#This Row],[In Stock Date]]&lt;&gt;"",Main[[#This Row],[Revised Due Date]]&lt;&gt;""),Main[[#This Row],[In Stock Date]]-Main[[#This Row],[Revised Due Date]],"")</f>
        <v>-294</v>
      </c>
      <c r="I774" s="65" t="s">
        <v>2053</v>
      </c>
      <c r="J774" s="65" t="s">
        <v>52</v>
      </c>
      <c r="K774" s="65" t="s">
        <v>1927</v>
      </c>
      <c r="L774" s="67"/>
      <c r="M774" s="69" t="str">
        <f>IF(Main[[#This Row],[Tech Start Date]]&lt;1/1/1990,"",IF(Main[[#This Row],[Class]]="C",WORKDAY(Main[[#This Row],[Tech Start Date]],9),IF(Main[[#This Row],[Class]]="B", WORKDAY(Main[[#This Row],[Tech Start Date]],6),IF(Main[[#This Row],[Class]]="A",WORKDAY(Main[[#This Row],[Tech Start Date]],2),""))))</f>
        <v/>
      </c>
      <c r="N774" s="69" t="str">
        <f>IF(Main[[#This Row],[Tech Start Date]]&lt;1/1/1990,"",IF(Main[[#This Row],[Class]]="C",WORKDAY(Main[[#This Row],[Tech Start Date]],19),IF(Main[[#This Row],[Class]]="B", WORKDAY(Main[[#This Row],[Tech Start Date]],12),IF(Main[[#This Row],[Class]]="A",WORKDAY(Main[[#This Row],[Tech Start Date]],4),""))))</f>
        <v/>
      </c>
      <c r="O774" s="69" t="str">
        <f>IF(Main[[#This Row],[Tech Start Date]]&lt;1/1/1990,"",IF(Main[[#This Row],[Class]]="C",WORKDAY(Main[[#This Row],[Tech Start Date]],23),IF(Main[[#This Row],[Class]]="B", WORKDAY(Main[[#This Row],[Tech Start Date]],15),IF(Main[[#This Row],[Class]]="A",WORKDAY(Main[[#This Row],[Tech Start Date]],5),""))))</f>
        <v/>
      </c>
      <c r="P774" s="69" t="str">
        <f>IF(Main[[#This Row],[Tech Start Date]]&lt;1/1/1990,"",IF(Main[[#This Row],[Class]]="C",WORKDAY(Main[[#This Row],[Tech Start Date]],28),IF(Main[[#This Row],[Class]]="B", WORKDAY(Main[[#This Row],[Tech Start Date]],19),IF(Main[[#This Row],[Class]]="A",WORKDAY(Main[[#This Row],[Tech Start Date]],9),""))))</f>
        <v/>
      </c>
      <c r="Q774" s="67"/>
      <c r="R774" s="67">
        <v>40781</v>
      </c>
      <c r="S774" s="65" t="s">
        <v>6</v>
      </c>
      <c r="T774" s="70" t="s">
        <v>2112</v>
      </c>
      <c r="U774" s="65" t="s">
        <v>29</v>
      </c>
      <c r="V774" s="65" t="s">
        <v>1915</v>
      </c>
      <c r="W774" s="65" t="s">
        <v>1916</v>
      </c>
      <c r="X774" s="65" t="s">
        <v>2901</v>
      </c>
      <c r="Y774" s="65" t="s">
        <v>3079</v>
      </c>
      <c r="Z774" s="65" t="s">
        <v>108</v>
      </c>
      <c r="AA774" s="65" t="s">
        <v>2901</v>
      </c>
    </row>
    <row r="775" spans="1:27" ht="17.45" hidden="1" customHeight="1">
      <c r="A775" s="100" t="str">
        <f>IF(priority(Main[[#This Row],[Comments]])&lt;&gt;0, priority(Main[[#This Row],[Comments]]),"")</f>
        <v/>
      </c>
      <c r="B775" s="77" t="s">
        <v>1862</v>
      </c>
      <c r="C775" s="65" t="s">
        <v>31</v>
      </c>
      <c r="D775" s="66" t="s">
        <v>918</v>
      </c>
      <c r="E775" s="67"/>
      <c r="F775" s="67">
        <v>40664</v>
      </c>
      <c r="G775" s="64" t="str">
        <f>IF(stdProdLT(Main[[#This Row],[Comments]])=0.1,"N/A",IF(stdProdLT(Main[[#This Row],[Comments]])=0,"",stdProdLT(Main[[#This Row],[Comments]])))</f>
        <v/>
      </c>
      <c r="H775" s="68">
        <f>IF(AND(Main[[#This Row],[In Stock Date]]&lt;&gt;"",Main[[#This Row],[Revised Due Date]]&lt;&gt;""),Main[[#This Row],[In Stock Date]]-Main[[#This Row],[Revised Due Date]],"")</f>
        <v>87</v>
      </c>
      <c r="I775" s="65" t="s">
        <v>417</v>
      </c>
      <c r="J775" s="65" t="s">
        <v>75</v>
      </c>
      <c r="K775" s="65" t="s">
        <v>1923</v>
      </c>
      <c r="L775" s="67"/>
      <c r="M775" s="69" t="str">
        <f>IF(Main[[#This Row],[Tech Start Date]]&lt;1/1/1990,"",IF(Main[[#This Row],[Class]]="C",WORKDAY(Main[[#This Row],[Tech Start Date]],9),IF(Main[[#This Row],[Class]]="B", WORKDAY(Main[[#This Row],[Tech Start Date]],6),IF(Main[[#This Row],[Class]]="A",WORKDAY(Main[[#This Row],[Tech Start Date]],2),""))))</f>
        <v/>
      </c>
      <c r="N775" s="69" t="str">
        <f>IF(Main[[#This Row],[Tech Start Date]]&lt;1/1/1990,"",IF(Main[[#This Row],[Class]]="C",WORKDAY(Main[[#This Row],[Tech Start Date]],19),IF(Main[[#This Row],[Class]]="B", WORKDAY(Main[[#This Row],[Tech Start Date]],12),IF(Main[[#This Row],[Class]]="A",WORKDAY(Main[[#This Row],[Tech Start Date]],4),""))))</f>
        <v/>
      </c>
      <c r="O775" s="69" t="str">
        <f>IF(Main[[#This Row],[Tech Start Date]]&lt;1/1/1990,"",IF(Main[[#This Row],[Class]]="C",WORKDAY(Main[[#This Row],[Tech Start Date]],23),IF(Main[[#This Row],[Class]]="B", WORKDAY(Main[[#This Row],[Tech Start Date]],15),IF(Main[[#This Row],[Class]]="A",WORKDAY(Main[[#This Row],[Tech Start Date]],5),""))))</f>
        <v/>
      </c>
      <c r="P775" s="69" t="str">
        <f>IF(Main[[#This Row],[Tech Start Date]]&lt;1/1/1990,"",IF(Main[[#This Row],[Class]]="C",WORKDAY(Main[[#This Row],[Tech Start Date]],28),IF(Main[[#This Row],[Class]]="B", WORKDAY(Main[[#This Row],[Tech Start Date]],19),IF(Main[[#This Row],[Class]]="A",WORKDAY(Main[[#This Row],[Tech Start Date]],9),""))))</f>
        <v/>
      </c>
      <c r="Q775" s="67">
        <v>40589</v>
      </c>
      <c r="R775" s="67">
        <v>40577</v>
      </c>
      <c r="S775" s="65" t="s">
        <v>11</v>
      </c>
      <c r="T775" s="70" t="s">
        <v>4</v>
      </c>
      <c r="U775" s="65" t="s">
        <v>14</v>
      </c>
      <c r="V775" s="65" t="s">
        <v>1917</v>
      </c>
      <c r="W775" s="65" t="s">
        <v>1920</v>
      </c>
      <c r="X775" s="65" t="s">
        <v>2825</v>
      </c>
      <c r="Y775" s="65" t="s">
        <v>2967</v>
      </c>
      <c r="Z775" s="65" t="s">
        <v>530</v>
      </c>
      <c r="AA775" s="65" t="s">
        <v>2825</v>
      </c>
    </row>
    <row r="776" spans="1:27" ht="17.45" hidden="1" customHeight="1">
      <c r="A776" s="100" t="str">
        <f>IF(priority(Main[[#This Row],[Comments]])&lt;&gt;0, priority(Main[[#This Row],[Comments]]),"")</f>
        <v/>
      </c>
      <c r="B776" s="77" t="s">
        <v>1692</v>
      </c>
      <c r="C776" s="65" t="s">
        <v>4</v>
      </c>
      <c r="D776" s="66" t="s">
        <v>748</v>
      </c>
      <c r="E776" s="67"/>
      <c r="F776" s="67"/>
      <c r="G776" s="64" t="str">
        <f>IF(stdProdLT(Main[[#This Row],[Comments]])=0.1,"N/A",IF(stdProdLT(Main[[#This Row],[Comments]])=0,"",stdProdLT(Main[[#This Row],[Comments]])))</f>
        <v/>
      </c>
      <c r="H776" s="68" t="str">
        <f>IF(AND(Main[[#This Row],[In Stock Date]]&lt;&gt;"",Main[[#This Row],[Revised Due Date]]&lt;&gt;""),Main[[#This Row],[In Stock Date]]-Main[[#This Row],[Revised Due Date]],"")</f>
        <v/>
      </c>
      <c r="I776" s="65" t="s">
        <v>4</v>
      </c>
      <c r="J776" s="65" t="s">
        <v>28</v>
      </c>
      <c r="K776" s="71" t="s">
        <v>1926</v>
      </c>
      <c r="L776" s="67"/>
      <c r="M776" s="69" t="str">
        <f>IF(Main[[#This Row],[Tech Start Date]]&lt;1/1/1990,"",IF(Main[[#This Row],[Class]]="C",WORKDAY(Main[[#This Row],[Tech Start Date]],9),IF(Main[[#This Row],[Class]]="B", WORKDAY(Main[[#This Row],[Tech Start Date]],6),IF(Main[[#This Row],[Class]]="A",WORKDAY(Main[[#This Row],[Tech Start Date]],2),""))))</f>
        <v/>
      </c>
      <c r="N776" s="69" t="str">
        <f>IF(Main[[#This Row],[Tech Start Date]]&lt;1/1/1990,"",IF(Main[[#This Row],[Class]]="C",WORKDAY(Main[[#This Row],[Tech Start Date]],19),IF(Main[[#This Row],[Class]]="B", WORKDAY(Main[[#This Row],[Tech Start Date]],12),IF(Main[[#This Row],[Class]]="A",WORKDAY(Main[[#This Row],[Tech Start Date]],4),""))))</f>
        <v/>
      </c>
      <c r="O776" s="69" t="str">
        <f>IF(Main[[#This Row],[Tech Start Date]]&lt;1/1/1990,"",IF(Main[[#This Row],[Class]]="C",WORKDAY(Main[[#This Row],[Tech Start Date]],23),IF(Main[[#This Row],[Class]]="B", WORKDAY(Main[[#This Row],[Tech Start Date]],15),IF(Main[[#This Row],[Class]]="A",WORKDAY(Main[[#This Row],[Tech Start Date]],5),""))))</f>
        <v/>
      </c>
      <c r="P776" s="69" t="str">
        <f>IF(Main[[#This Row],[Tech Start Date]]&lt;1/1/1990,"",IF(Main[[#This Row],[Class]]="C",WORKDAY(Main[[#This Row],[Tech Start Date]],28),IF(Main[[#This Row],[Class]]="B", WORKDAY(Main[[#This Row],[Tech Start Date]],19),IF(Main[[#This Row],[Class]]="A",WORKDAY(Main[[#This Row],[Tech Start Date]],9),""))))</f>
        <v/>
      </c>
      <c r="Q776" s="67">
        <v>40522</v>
      </c>
      <c r="R776" s="67"/>
      <c r="S776" s="65" t="s">
        <v>17</v>
      </c>
      <c r="T776" s="70" t="s">
        <v>4</v>
      </c>
      <c r="U776" s="65" t="s">
        <v>14</v>
      </c>
      <c r="V776" s="65" t="s">
        <v>1914</v>
      </c>
      <c r="W776" s="65" t="s">
        <v>1919</v>
      </c>
      <c r="X776" s="65" t="s">
        <v>2862</v>
      </c>
      <c r="Y776" s="65" t="s">
        <v>3006</v>
      </c>
      <c r="Z776" s="65" t="s">
        <v>129</v>
      </c>
      <c r="AA776" s="65" t="s">
        <v>2862</v>
      </c>
    </row>
    <row r="777" spans="1:27" ht="17.45" hidden="1" customHeight="1">
      <c r="A777" s="100" t="str">
        <f>IF(priority(Main[[#This Row],[Comments]])&lt;&gt;0, priority(Main[[#This Row],[Comments]]),"")</f>
        <v/>
      </c>
      <c r="B777" s="77" t="s">
        <v>1693</v>
      </c>
      <c r="C777" s="65" t="s">
        <v>67</v>
      </c>
      <c r="D777" s="66" t="s">
        <v>749</v>
      </c>
      <c r="E777" s="67"/>
      <c r="F777" s="67"/>
      <c r="G777" s="64" t="str">
        <f>IF(stdProdLT(Main[[#This Row],[Comments]])=0.1,"N/A",IF(stdProdLT(Main[[#This Row],[Comments]])=0,"",stdProdLT(Main[[#This Row],[Comments]])))</f>
        <v/>
      </c>
      <c r="H777" s="68" t="str">
        <f>IF(AND(Main[[#This Row],[In Stock Date]]&lt;&gt;"",Main[[#This Row],[Revised Due Date]]&lt;&gt;""),Main[[#This Row],[In Stock Date]]-Main[[#This Row],[Revised Due Date]],"")</f>
        <v/>
      </c>
      <c r="I777" s="65" t="s">
        <v>4</v>
      </c>
      <c r="J777" s="65" t="s">
        <v>4</v>
      </c>
      <c r="K777" s="65" t="s">
        <v>4</v>
      </c>
      <c r="L777" s="67"/>
      <c r="M777" s="69" t="str">
        <f>IF(Main[[#This Row],[Tech Start Date]]&lt;1/1/1990,"",IF(Main[[#This Row],[Class]]="C",WORKDAY(Main[[#This Row],[Tech Start Date]],9),IF(Main[[#This Row],[Class]]="B", WORKDAY(Main[[#This Row],[Tech Start Date]],6),IF(Main[[#This Row],[Class]]="A",WORKDAY(Main[[#This Row],[Tech Start Date]],2),""))))</f>
        <v/>
      </c>
      <c r="N777" s="69" t="str">
        <f>IF(Main[[#This Row],[Tech Start Date]]&lt;1/1/1990,"",IF(Main[[#This Row],[Class]]="C",WORKDAY(Main[[#This Row],[Tech Start Date]],19),IF(Main[[#This Row],[Class]]="B", WORKDAY(Main[[#This Row],[Tech Start Date]],12),IF(Main[[#This Row],[Class]]="A",WORKDAY(Main[[#This Row],[Tech Start Date]],4),""))))</f>
        <v/>
      </c>
      <c r="O777" s="69" t="str">
        <f>IF(Main[[#This Row],[Tech Start Date]]&lt;1/1/1990,"",IF(Main[[#This Row],[Class]]="C",WORKDAY(Main[[#This Row],[Tech Start Date]],23),IF(Main[[#This Row],[Class]]="B", WORKDAY(Main[[#This Row],[Tech Start Date]],15),IF(Main[[#This Row],[Class]]="A",WORKDAY(Main[[#This Row],[Tech Start Date]],5),""))))</f>
        <v/>
      </c>
      <c r="P777" s="69" t="str">
        <f>IF(Main[[#This Row],[Tech Start Date]]&lt;1/1/1990,"",IF(Main[[#This Row],[Class]]="C",WORKDAY(Main[[#This Row],[Tech Start Date]],28),IF(Main[[#This Row],[Class]]="B", WORKDAY(Main[[#This Row],[Tech Start Date]],19),IF(Main[[#This Row],[Class]]="A",WORKDAY(Main[[#This Row],[Tech Start Date]],9),""))))</f>
        <v/>
      </c>
      <c r="Q777" s="67">
        <v>40241</v>
      </c>
      <c r="R777" s="67"/>
      <c r="S777" s="65" t="s">
        <v>11</v>
      </c>
      <c r="T777" s="70" t="s">
        <v>4</v>
      </c>
      <c r="U777" s="65" t="s">
        <v>14</v>
      </c>
      <c r="V777" s="65" t="s">
        <v>1924</v>
      </c>
      <c r="W777" s="65" t="s">
        <v>1916</v>
      </c>
      <c r="X777" s="65" t="s">
        <v>553</v>
      </c>
      <c r="Y777" s="65" t="s">
        <v>4</v>
      </c>
      <c r="Z777" s="65" t="s">
        <v>4</v>
      </c>
      <c r="AA777" s="65" t="s">
        <v>2858</v>
      </c>
    </row>
    <row r="778" spans="1:27" ht="17.45" hidden="1" customHeight="1">
      <c r="A778" s="100" t="str">
        <f>IF(priority(Main[[#This Row],[Comments]])&lt;&gt;0, priority(Main[[#This Row],[Comments]]),"")</f>
        <v/>
      </c>
      <c r="B778" s="77" t="s">
        <v>1694</v>
      </c>
      <c r="C778" s="65" t="s">
        <v>4</v>
      </c>
      <c r="D778" s="66" t="s">
        <v>750</v>
      </c>
      <c r="E778" s="67"/>
      <c r="F778" s="67"/>
      <c r="G778" s="64" t="str">
        <f>IF(stdProdLT(Main[[#This Row],[Comments]])=0.1,"N/A",IF(stdProdLT(Main[[#This Row],[Comments]])=0,"",stdProdLT(Main[[#This Row],[Comments]])))</f>
        <v/>
      </c>
      <c r="H778" s="68" t="str">
        <f>IF(AND(Main[[#This Row],[In Stock Date]]&lt;&gt;"",Main[[#This Row],[Revised Due Date]]&lt;&gt;""),Main[[#This Row],[In Stock Date]]-Main[[#This Row],[Revised Due Date]],"")</f>
        <v/>
      </c>
      <c r="I778" s="65" t="s">
        <v>4</v>
      </c>
      <c r="J778" s="65" t="s">
        <v>28</v>
      </c>
      <c r="K778" s="65" t="s">
        <v>4</v>
      </c>
      <c r="L778" s="67"/>
      <c r="M778" s="69" t="str">
        <f>IF(Main[[#This Row],[Tech Start Date]]&lt;1/1/1990,"",IF(Main[[#This Row],[Class]]="C",WORKDAY(Main[[#This Row],[Tech Start Date]],9),IF(Main[[#This Row],[Class]]="B", WORKDAY(Main[[#This Row],[Tech Start Date]],6),IF(Main[[#This Row],[Class]]="A",WORKDAY(Main[[#This Row],[Tech Start Date]],2),""))))</f>
        <v/>
      </c>
      <c r="N778" s="69" t="str">
        <f>IF(Main[[#This Row],[Tech Start Date]]&lt;1/1/1990,"",IF(Main[[#This Row],[Class]]="C",WORKDAY(Main[[#This Row],[Tech Start Date]],19),IF(Main[[#This Row],[Class]]="B", WORKDAY(Main[[#This Row],[Tech Start Date]],12),IF(Main[[#This Row],[Class]]="A",WORKDAY(Main[[#This Row],[Tech Start Date]],4),""))))</f>
        <v/>
      </c>
      <c r="O778" s="69" t="str">
        <f>IF(Main[[#This Row],[Tech Start Date]]&lt;1/1/1990,"",IF(Main[[#This Row],[Class]]="C",WORKDAY(Main[[#This Row],[Tech Start Date]],23),IF(Main[[#This Row],[Class]]="B", WORKDAY(Main[[#This Row],[Tech Start Date]],15),IF(Main[[#This Row],[Class]]="A",WORKDAY(Main[[#This Row],[Tech Start Date]],5),""))))</f>
        <v/>
      </c>
      <c r="P778" s="69" t="str">
        <f>IF(Main[[#This Row],[Tech Start Date]]&lt;1/1/1990,"",IF(Main[[#This Row],[Class]]="C",WORKDAY(Main[[#This Row],[Tech Start Date]],28),IF(Main[[#This Row],[Class]]="B", WORKDAY(Main[[#This Row],[Tech Start Date]],19),IF(Main[[#This Row],[Class]]="A",WORKDAY(Main[[#This Row],[Tech Start Date]],9),""))))</f>
        <v/>
      </c>
      <c r="Q778" s="67">
        <v>40471</v>
      </c>
      <c r="R778" s="67"/>
      <c r="S778" s="65" t="s">
        <v>6</v>
      </c>
      <c r="T778" s="70" t="s">
        <v>4</v>
      </c>
      <c r="U778" s="65" t="s">
        <v>14</v>
      </c>
      <c r="V778" s="65" t="s">
        <v>1924</v>
      </c>
      <c r="W778" s="65" t="s">
        <v>1916</v>
      </c>
      <c r="X778" s="65" t="s">
        <v>2847</v>
      </c>
      <c r="Y778" s="65" t="s">
        <v>2978</v>
      </c>
      <c r="Z778" s="65" t="s">
        <v>530</v>
      </c>
      <c r="AA778" s="65" t="s">
        <v>2847</v>
      </c>
    </row>
    <row r="779" spans="1:27" ht="17.45" hidden="1" customHeight="1">
      <c r="A779" s="100" t="str">
        <f>IF(priority(Main[[#This Row],[Comments]])&lt;&gt;0, priority(Main[[#This Row],[Comments]]),"")</f>
        <v/>
      </c>
      <c r="B779" s="77" t="s">
        <v>1697</v>
      </c>
      <c r="C779" s="65" t="s">
        <v>275</v>
      </c>
      <c r="D779" s="66" t="s">
        <v>753</v>
      </c>
      <c r="E779" s="67"/>
      <c r="F779" s="67">
        <v>40451</v>
      </c>
      <c r="G779" s="64" t="str">
        <f>IF(stdProdLT(Main[[#This Row],[Comments]])=0.1,"N/A",IF(stdProdLT(Main[[#This Row],[Comments]])=0,"",stdProdLT(Main[[#This Row],[Comments]])))</f>
        <v/>
      </c>
      <c r="H779" s="68" t="str">
        <f>IF(AND(Main[[#This Row],[In Stock Date]]&lt;&gt;"",Main[[#This Row],[Revised Due Date]]&lt;&gt;""),Main[[#This Row],[In Stock Date]]-Main[[#This Row],[Revised Due Date]],"")</f>
        <v/>
      </c>
      <c r="I779" s="65" t="s">
        <v>4</v>
      </c>
      <c r="J779" s="65" t="s">
        <v>4</v>
      </c>
      <c r="K779" s="71" t="s">
        <v>4</v>
      </c>
      <c r="L779" s="67"/>
      <c r="M779" s="69" t="str">
        <f>IF(Main[[#This Row],[Tech Start Date]]&lt;1/1/1990,"",IF(Main[[#This Row],[Class]]="C",WORKDAY(Main[[#This Row],[Tech Start Date]],9),IF(Main[[#This Row],[Class]]="B", WORKDAY(Main[[#This Row],[Tech Start Date]],6),IF(Main[[#This Row],[Class]]="A",WORKDAY(Main[[#This Row],[Tech Start Date]],2),""))))</f>
        <v/>
      </c>
      <c r="N779" s="69" t="str">
        <f>IF(Main[[#This Row],[Tech Start Date]]&lt;1/1/1990,"",IF(Main[[#This Row],[Class]]="C",WORKDAY(Main[[#This Row],[Tech Start Date]],19),IF(Main[[#This Row],[Class]]="B", WORKDAY(Main[[#This Row],[Tech Start Date]],12),IF(Main[[#This Row],[Class]]="A",WORKDAY(Main[[#This Row],[Tech Start Date]],4),""))))</f>
        <v/>
      </c>
      <c r="O779" s="69" t="str">
        <f>IF(Main[[#This Row],[Tech Start Date]]&lt;1/1/1990,"",IF(Main[[#This Row],[Class]]="C",WORKDAY(Main[[#This Row],[Tech Start Date]],23),IF(Main[[#This Row],[Class]]="B", WORKDAY(Main[[#This Row],[Tech Start Date]],15),IF(Main[[#This Row],[Class]]="A",WORKDAY(Main[[#This Row],[Tech Start Date]],5),""))))</f>
        <v/>
      </c>
      <c r="P779" s="69" t="str">
        <f>IF(Main[[#This Row],[Tech Start Date]]&lt;1/1/1990,"",IF(Main[[#This Row],[Class]]="C",WORKDAY(Main[[#This Row],[Tech Start Date]],28),IF(Main[[#This Row],[Class]]="B", WORKDAY(Main[[#This Row],[Tech Start Date]],19),IF(Main[[#This Row],[Class]]="A",WORKDAY(Main[[#This Row],[Tech Start Date]],9),""))))</f>
        <v/>
      </c>
      <c r="Q779" s="67">
        <v>40269</v>
      </c>
      <c r="R779" s="67"/>
      <c r="S779" s="65" t="s">
        <v>11</v>
      </c>
      <c r="T779" s="70" t="s">
        <v>4</v>
      </c>
      <c r="U779" s="65" t="s">
        <v>14</v>
      </c>
      <c r="V779" s="65" t="s">
        <v>1917</v>
      </c>
      <c r="W779" s="65" t="s">
        <v>1919</v>
      </c>
      <c r="X779" s="65" t="s">
        <v>65</v>
      </c>
      <c r="Y779" s="65" t="s">
        <v>4</v>
      </c>
      <c r="Z779" s="65" t="s">
        <v>4</v>
      </c>
      <c r="AA779" s="65" t="s">
        <v>65</v>
      </c>
    </row>
    <row r="780" spans="1:27" ht="17.45" hidden="1" customHeight="1">
      <c r="A780" s="100" t="str">
        <f>IF(priority(Main[[#This Row],[Comments]])&lt;&gt;0, priority(Main[[#This Row],[Comments]]),"")</f>
        <v/>
      </c>
      <c r="B780" s="77" t="s">
        <v>2735</v>
      </c>
      <c r="C780" s="65" t="s">
        <v>4</v>
      </c>
      <c r="D780" s="66" t="s">
        <v>3214</v>
      </c>
      <c r="E780" s="67">
        <v>40912.464259259257</v>
      </c>
      <c r="F780" s="67"/>
      <c r="G780" s="64" t="str">
        <f>IF(stdProdLT(Main[[#This Row],[Comments]])=0.1,"N/A",IF(stdProdLT(Main[[#This Row],[Comments]])=0,"",stdProdLT(Main[[#This Row],[Comments]])))</f>
        <v/>
      </c>
      <c r="H780" s="68" t="str">
        <f>IF(AND(Main[[#This Row],[In Stock Date]]&lt;&gt;"",Main[[#This Row],[Revised Due Date]]&lt;&gt;""),Main[[#This Row],[In Stock Date]]-Main[[#This Row],[Revised Due Date]],"")</f>
        <v/>
      </c>
      <c r="I780" s="65" t="s">
        <v>30</v>
      </c>
      <c r="J780" s="65" t="s">
        <v>28</v>
      </c>
      <c r="K780" s="65" t="s">
        <v>1923</v>
      </c>
      <c r="L780" s="67"/>
      <c r="M780" s="69" t="str">
        <f>IF(Main[[#This Row],[Tech Start Date]]&lt;1/1/1990,"",IF(Main[[#This Row],[Class]]="C",WORKDAY(Main[[#This Row],[Tech Start Date]],9),IF(Main[[#This Row],[Class]]="B", WORKDAY(Main[[#This Row],[Tech Start Date]],6),IF(Main[[#This Row],[Class]]="A",WORKDAY(Main[[#This Row],[Tech Start Date]],2),""))))</f>
        <v/>
      </c>
      <c r="N780" s="69" t="str">
        <f>IF(Main[[#This Row],[Tech Start Date]]&lt;1/1/1990,"",IF(Main[[#This Row],[Class]]="C",WORKDAY(Main[[#This Row],[Tech Start Date]],19),IF(Main[[#This Row],[Class]]="B", WORKDAY(Main[[#This Row],[Tech Start Date]],12),IF(Main[[#This Row],[Class]]="A",WORKDAY(Main[[#This Row],[Tech Start Date]],4),""))))</f>
        <v/>
      </c>
      <c r="O780" s="69" t="str">
        <f>IF(Main[[#This Row],[Tech Start Date]]&lt;1/1/1990,"",IF(Main[[#This Row],[Class]]="C",WORKDAY(Main[[#This Row],[Tech Start Date]],23),IF(Main[[#This Row],[Class]]="B", WORKDAY(Main[[#This Row],[Tech Start Date]],15),IF(Main[[#This Row],[Class]]="A",WORKDAY(Main[[#This Row],[Tech Start Date]],5),""))))</f>
        <v/>
      </c>
      <c r="P780" s="69" t="str">
        <f>IF(Main[[#This Row],[Tech Start Date]]&lt;1/1/1990,"",IF(Main[[#This Row],[Class]]="C",WORKDAY(Main[[#This Row],[Tech Start Date]],28),IF(Main[[#This Row],[Class]]="B", WORKDAY(Main[[#This Row],[Tech Start Date]],19),IF(Main[[#This Row],[Class]]="A",WORKDAY(Main[[#This Row],[Tech Start Date]],9),""))))</f>
        <v/>
      </c>
      <c r="Q780" s="67">
        <v>40942</v>
      </c>
      <c r="R780" s="67"/>
      <c r="S780" s="65" t="s">
        <v>6</v>
      </c>
      <c r="T780" s="70" t="s">
        <v>4</v>
      </c>
      <c r="U780" s="65" t="s">
        <v>29</v>
      </c>
      <c r="V780" s="65" t="s">
        <v>1917</v>
      </c>
      <c r="W780" s="65" t="s">
        <v>1918</v>
      </c>
      <c r="X780" s="65" t="s">
        <v>2819</v>
      </c>
      <c r="Y780" s="65" t="s">
        <v>2932</v>
      </c>
      <c r="Z780" s="65" t="s">
        <v>30</v>
      </c>
      <c r="AA780" s="65" t="s">
        <v>2819</v>
      </c>
    </row>
    <row r="781" spans="1:27" ht="17.45" hidden="1" customHeight="1">
      <c r="A781" s="100" t="str">
        <f>IF(priority(Main[[#This Row],[Comments]])&lt;&gt;0, priority(Main[[#This Row],[Comments]]),"")</f>
        <v/>
      </c>
      <c r="B781" s="77" t="s">
        <v>1873</v>
      </c>
      <c r="C781" s="65" t="s">
        <v>4</v>
      </c>
      <c r="D781" s="66" t="s">
        <v>2736</v>
      </c>
      <c r="E781" s="67">
        <v>40624.37060185185</v>
      </c>
      <c r="F781" s="67"/>
      <c r="G781" s="64" t="str">
        <f>IF(stdProdLT(Main[[#This Row],[Comments]])=0.1,"N/A",IF(stdProdLT(Main[[#This Row],[Comments]])=0,"",stdProdLT(Main[[#This Row],[Comments]])))</f>
        <v/>
      </c>
      <c r="H781" s="68" t="str">
        <f>IF(AND(Main[[#This Row],[In Stock Date]]&lt;&gt;"",Main[[#This Row],[Revised Due Date]]&lt;&gt;""),Main[[#This Row],[In Stock Date]]-Main[[#This Row],[Revised Due Date]],"")</f>
        <v/>
      </c>
      <c r="I781" s="65" t="s">
        <v>877</v>
      </c>
      <c r="J781" s="65" t="s">
        <v>28</v>
      </c>
      <c r="K781" s="65" t="s">
        <v>1927</v>
      </c>
      <c r="L781" s="67"/>
      <c r="M781" s="69" t="str">
        <f>IF(Main[[#This Row],[Tech Start Date]]&lt;1/1/1990,"",IF(Main[[#This Row],[Class]]="C",WORKDAY(Main[[#This Row],[Tech Start Date]],9),IF(Main[[#This Row],[Class]]="B", WORKDAY(Main[[#This Row],[Tech Start Date]],6),IF(Main[[#This Row],[Class]]="A",WORKDAY(Main[[#This Row],[Tech Start Date]],2),""))))</f>
        <v/>
      </c>
      <c r="N781" s="69" t="str">
        <f>IF(Main[[#This Row],[Tech Start Date]]&lt;1/1/1990,"",IF(Main[[#This Row],[Class]]="C",WORKDAY(Main[[#This Row],[Tech Start Date]],19),IF(Main[[#This Row],[Class]]="B", WORKDAY(Main[[#This Row],[Tech Start Date]],12),IF(Main[[#This Row],[Class]]="A",WORKDAY(Main[[#This Row],[Tech Start Date]],4),""))))</f>
        <v/>
      </c>
      <c r="O781" s="69" t="str">
        <f>IF(Main[[#This Row],[Tech Start Date]]&lt;1/1/1990,"",IF(Main[[#This Row],[Class]]="C",WORKDAY(Main[[#This Row],[Tech Start Date]],23),IF(Main[[#This Row],[Class]]="B", WORKDAY(Main[[#This Row],[Tech Start Date]],15),IF(Main[[#This Row],[Class]]="A",WORKDAY(Main[[#This Row],[Tech Start Date]],5),""))))</f>
        <v/>
      </c>
      <c r="P781" s="69" t="str">
        <f>IF(Main[[#This Row],[Tech Start Date]]&lt;1/1/1990,"",IF(Main[[#This Row],[Class]]="C",WORKDAY(Main[[#This Row],[Tech Start Date]],28),IF(Main[[#This Row],[Class]]="B", WORKDAY(Main[[#This Row],[Tech Start Date]],19),IF(Main[[#This Row],[Class]]="A",WORKDAY(Main[[#This Row],[Tech Start Date]],9),""))))</f>
        <v/>
      </c>
      <c r="Q781" s="67">
        <v>40648</v>
      </c>
      <c r="R781" s="67">
        <v>40967</v>
      </c>
      <c r="S781" s="65" t="s">
        <v>6</v>
      </c>
      <c r="T781" s="70" t="s">
        <v>4</v>
      </c>
      <c r="U781" s="65" t="s">
        <v>29</v>
      </c>
      <c r="V781" s="65" t="s">
        <v>1914</v>
      </c>
      <c r="W781" s="65" t="s">
        <v>1918</v>
      </c>
      <c r="X781" s="65" t="s">
        <v>877</v>
      </c>
      <c r="Y781" s="65" t="s">
        <v>4</v>
      </c>
      <c r="Z781" s="65" t="s">
        <v>129</v>
      </c>
      <c r="AA781" s="65" t="s">
        <v>3436</v>
      </c>
    </row>
    <row r="782" spans="1:27" ht="17.45" hidden="1" customHeight="1">
      <c r="A782" s="100">
        <f>IF(priority(Main[[#This Row],[Comments]])&lt;&gt;0, priority(Main[[#This Row],[Comments]]),"")</f>
        <v>1</v>
      </c>
      <c r="B782" s="77" t="s">
        <v>3216</v>
      </c>
      <c r="C782" s="65" t="s">
        <v>72</v>
      </c>
      <c r="D782" s="66" t="s">
        <v>240</v>
      </c>
      <c r="E782" s="67">
        <v>40461.111585648148</v>
      </c>
      <c r="F782" s="67"/>
      <c r="G782" s="64" t="str">
        <f>IF(stdProdLT(Main[[#This Row],[Comments]])=0.1,"N/A",IF(stdProdLT(Main[[#This Row],[Comments]])=0,"",stdProdLT(Main[[#This Row],[Comments]])))</f>
        <v/>
      </c>
      <c r="H782" s="68" t="str">
        <f>IF(AND(Main[[#This Row],[In Stock Date]]&lt;&gt;"",Main[[#This Row],[Revised Due Date]]&lt;&gt;""),Main[[#This Row],[In Stock Date]]-Main[[#This Row],[Revised Due Date]],"")</f>
        <v/>
      </c>
      <c r="I782" s="65" t="s">
        <v>74</v>
      </c>
      <c r="J782" s="65" t="s">
        <v>4</v>
      </c>
      <c r="K782" s="65" t="s">
        <v>1926</v>
      </c>
      <c r="L782" s="67"/>
      <c r="M782" s="69" t="str">
        <f>IF(Main[[#This Row],[Tech Start Date]]&lt;1/1/1990,"",IF(Main[[#This Row],[Class]]="C",WORKDAY(Main[[#This Row],[Tech Start Date]],9),IF(Main[[#This Row],[Class]]="B", WORKDAY(Main[[#This Row],[Tech Start Date]],6),IF(Main[[#This Row],[Class]]="A",WORKDAY(Main[[#This Row],[Tech Start Date]],2),""))))</f>
        <v/>
      </c>
      <c r="N782" s="69" t="str">
        <f>IF(Main[[#This Row],[Tech Start Date]]&lt;1/1/1990,"",IF(Main[[#This Row],[Class]]="C",WORKDAY(Main[[#This Row],[Tech Start Date]],19),IF(Main[[#This Row],[Class]]="B", WORKDAY(Main[[#This Row],[Tech Start Date]],12),IF(Main[[#This Row],[Class]]="A",WORKDAY(Main[[#This Row],[Tech Start Date]],4),""))))</f>
        <v/>
      </c>
      <c r="O782" s="69" t="str">
        <f>IF(Main[[#This Row],[Tech Start Date]]&lt;1/1/1990,"",IF(Main[[#This Row],[Class]]="C",WORKDAY(Main[[#This Row],[Tech Start Date]],23),IF(Main[[#This Row],[Class]]="B", WORKDAY(Main[[#This Row],[Tech Start Date]],15),IF(Main[[#This Row],[Class]]="A",WORKDAY(Main[[#This Row],[Tech Start Date]],5),""))))</f>
        <v/>
      </c>
      <c r="P782" s="69" t="str">
        <f>IF(Main[[#This Row],[Tech Start Date]]&lt;1/1/1990,"",IF(Main[[#This Row],[Class]]="C",WORKDAY(Main[[#This Row],[Tech Start Date]],28),IF(Main[[#This Row],[Class]]="B", WORKDAY(Main[[#This Row],[Tech Start Date]],19),IF(Main[[#This Row],[Class]]="A",WORKDAY(Main[[#This Row],[Tech Start Date]],9),""))))</f>
        <v/>
      </c>
      <c r="Q782" s="67"/>
      <c r="R782" s="67">
        <v>40836</v>
      </c>
      <c r="S782" s="65" t="s">
        <v>17</v>
      </c>
      <c r="T782" s="70" t="s">
        <v>241</v>
      </c>
      <c r="U782" s="65" t="s">
        <v>29</v>
      </c>
      <c r="V782" s="65" t="s">
        <v>1917</v>
      </c>
      <c r="W782" s="65" t="s">
        <v>1922</v>
      </c>
      <c r="X782" s="65" t="s">
        <v>2847</v>
      </c>
      <c r="Y782" s="65" t="s">
        <v>2978</v>
      </c>
      <c r="Z782" s="65" t="s">
        <v>415</v>
      </c>
      <c r="AA782" s="65" t="s">
        <v>2847</v>
      </c>
    </row>
    <row r="783" spans="1:27" ht="17.45" hidden="1" customHeight="1">
      <c r="A783" s="100" t="str">
        <f>IF(priority(Main[[#This Row],[Comments]])&lt;&gt;0, priority(Main[[#This Row],[Comments]]),"")</f>
        <v/>
      </c>
      <c r="B783" s="77" t="s">
        <v>1669</v>
      </c>
      <c r="C783" s="65" t="s">
        <v>4</v>
      </c>
      <c r="D783" s="66" t="s">
        <v>729</v>
      </c>
      <c r="E783" s="67"/>
      <c r="F783" s="67"/>
      <c r="G783" s="64" t="str">
        <f>IF(stdProdLT(Main[[#This Row],[Comments]])=0.1,"N/A",IF(stdProdLT(Main[[#This Row],[Comments]])=0,"",stdProdLT(Main[[#This Row],[Comments]])))</f>
        <v/>
      </c>
      <c r="H783" s="68" t="str">
        <f>IF(AND(Main[[#This Row],[In Stock Date]]&lt;&gt;"",Main[[#This Row],[Revised Due Date]]&lt;&gt;""),Main[[#This Row],[In Stock Date]]-Main[[#This Row],[Revised Due Date]],"")</f>
        <v/>
      </c>
      <c r="I783" s="65" t="s">
        <v>4</v>
      </c>
      <c r="J783" s="65" t="s">
        <v>4</v>
      </c>
      <c r="K783" s="65" t="s">
        <v>4</v>
      </c>
      <c r="L783" s="67"/>
      <c r="M783" s="69" t="str">
        <f>IF(Main[[#This Row],[Tech Start Date]]&lt;1/1/1990,"",IF(Main[[#This Row],[Class]]="C",WORKDAY(Main[[#This Row],[Tech Start Date]],9),IF(Main[[#This Row],[Class]]="B", WORKDAY(Main[[#This Row],[Tech Start Date]],6),IF(Main[[#This Row],[Class]]="A",WORKDAY(Main[[#This Row],[Tech Start Date]],2),""))))</f>
        <v/>
      </c>
      <c r="N783" s="69" t="str">
        <f>IF(Main[[#This Row],[Tech Start Date]]&lt;1/1/1990,"",IF(Main[[#This Row],[Class]]="C",WORKDAY(Main[[#This Row],[Tech Start Date]],19),IF(Main[[#This Row],[Class]]="B", WORKDAY(Main[[#This Row],[Tech Start Date]],12),IF(Main[[#This Row],[Class]]="A",WORKDAY(Main[[#This Row],[Tech Start Date]],4),""))))</f>
        <v/>
      </c>
      <c r="O783" s="69" t="str">
        <f>IF(Main[[#This Row],[Tech Start Date]]&lt;1/1/1990,"",IF(Main[[#This Row],[Class]]="C",WORKDAY(Main[[#This Row],[Tech Start Date]],23),IF(Main[[#This Row],[Class]]="B", WORKDAY(Main[[#This Row],[Tech Start Date]],15),IF(Main[[#This Row],[Class]]="A",WORKDAY(Main[[#This Row],[Tech Start Date]],5),""))))</f>
        <v/>
      </c>
      <c r="P783" s="69" t="str">
        <f>IF(Main[[#This Row],[Tech Start Date]]&lt;1/1/1990,"",IF(Main[[#This Row],[Class]]="C",WORKDAY(Main[[#This Row],[Tech Start Date]],28),IF(Main[[#This Row],[Class]]="B", WORKDAY(Main[[#This Row],[Tech Start Date]],19),IF(Main[[#This Row],[Class]]="A",WORKDAY(Main[[#This Row],[Tech Start Date]],9),""))))</f>
        <v/>
      </c>
      <c r="Q783" s="67"/>
      <c r="R783" s="67"/>
      <c r="S783" s="65" t="s">
        <v>23</v>
      </c>
      <c r="T783" s="70" t="s">
        <v>4</v>
      </c>
      <c r="U783" s="65" t="s">
        <v>14</v>
      </c>
      <c r="V783" s="65" t="s">
        <v>1914</v>
      </c>
      <c r="W783" s="65" t="s">
        <v>1918</v>
      </c>
      <c r="X783" s="65" t="s">
        <v>399</v>
      </c>
      <c r="Y783" s="65" t="s">
        <v>4</v>
      </c>
      <c r="Z783" s="65" t="s">
        <v>4</v>
      </c>
      <c r="AA783" s="65" t="s">
        <v>3032</v>
      </c>
    </row>
    <row r="784" spans="1:27" ht="17.45" hidden="1" customHeight="1">
      <c r="A784" s="100" t="str">
        <f>IF(priority(Main[[#This Row],[Comments]])&lt;&gt;0, priority(Main[[#This Row],[Comments]]),"")</f>
        <v/>
      </c>
      <c r="B784" s="77" t="s">
        <v>1671</v>
      </c>
      <c r="C784" s="65" t="s">
        <v>4</v>
      </c>
      <c r="D784" s="66" t="s">
        <v>731</v>
      </c>
      <c r="E784" s="67">
        <v>40679.253067129626</v>
      </c>
      <c r="F784" s="67"/>
      <c r="G784" s="64" t="str">
        <f>IF(stdProdLT(Main[[#This Row],[Comments]])=0.1,"N/A",IF(stdProdLT(Main[[#This Row],[Comments]])=0,"",stdProdLT(Main[[#This Row],[Comments]])))</f>
        <v/>
      </c>
      <c r="H784" s="68" t="str">
        <f>IF(AND(Main[[#This Row],[In Stock Date]]&lt;&gt;"",Main[[#This Row],[Revised Due Date]]&lt;&gt;""),Main[[#This Row],[In Stock Date]]-Main[[#This Row],[Revised Due Date]],"")</f>
        <v/>
      </c>
      <c r="I784" s="65" t="s">
        <v>4</v>
      </c>
      <c r="J784" s="65" t="s">
        <v>4</v>
      </c>
      <c r="K784" s="65" t="s">
        <v>4</v>
      </c>
      <c r="L784" s="67"/>
      <c r="M784" s="69" t="str">
        <f>IF(Main[[#This Row],[Tech Start Date]]&lt;1/1/1990,"",IF(Main[[#This Row],[Class]]="C",WORKDAY(Main[[#This Row],[Tech Start Date]],9),IF(Main[[#This Row],[Class]]="B", WORKDAY(Main[[#This Row],[Tech Start Date]],6),IF(Main[[#This Row],[Class]]="A",WORKDAY(Main[[#This Row],[Tech Start Date]],2),""))))</f>
        <v/>
      </c>
      <c r="N784" s="69" t="str">
        <f>IF(Main[[#This Row],[Tech Start Date]]&lt;1/1/1990,"",IF(Main[[#This Row],[Class]]="C",WORKDAY(Main[[#This Row],[Tech Start Date]],19),IF(Main[[#This Row],[Class]]="B", WORKDAY(Main[[#This Row],[Tech Start Date]],12),IF(Main[[#This Row],[Class]]="A",WORKDAY(Main[[#This Row],[Tech Start Date]],4),""))))</f>
        <v/>
      </c>
      <c r="O784" s="69" t="str">
        <f>IF(Main[[#This Row],[Tech Start Date]]&lt;1/1/1990,"",IF(Main[[#This Row],[Class]]="C",WORKDAY(Main[[#This Row],[Tech Start Date]],23),IF(Main[[#This Row],[Class]]="B", WORKDAY(Main[[#This Row],[Tech Start Date]],15),IF(Main[[#This Row],[Class]]="A",WORKDAY(Main[[#This Row],[Tech Start Date]],5),""))))</f>
        <v/>
      </c>
      <c r="P784" s="69" t="str">
        <f>IF(Main[[#This Row],[Tech Start Date]]&lt;1/1/1990,"",IF(Main[[#This Row],[Class]]="C",WORKDAY(Main[[#This Row],[Tech Start Date]],28),IF(Main[[#This Row],[Class]]="B", WORKDAY(Main[[#This Row],[Tech Start Date]],19),IF(Main[[#This Row],[Class]]="A",WORKDAY(Main[[#This Row],[Tech Start Date]],9),""))))</f>
        <v/>
      </c>
      <c r="Q784" s="67">
        <v>40724</v>
      </c>
      <c r="R784" s="67"/>
      <c r="S784" s="65" t="s">
        <v>6</v>
      </c>
      <c r="T784" s="70" t="s">
        <v>4</v>
      </c>
      <c r="U784" s="65" t="s">
        <v>7</v>
      </c>
      <c r="V784" s="65" t="s">
        <v>1914</v>
      </c>
      <c r="W784" s="65" t="s">
        <v>4</v>
      </c>
      <c r="X784" s="65" t="s">
        <v>2822</v>
      </c>
      <c r="Y784" s="65" t="s">
        <v>2938</v>
      </c>
      <c r="Z784" s="65" t="s">
        <v>4</v>
      </c>
      <c r="AA784" s="65" t="s">
        <v>2822</v>
      </c>
    </row>
    <row r="785" spans="1:27" ht="17.45" hidden="1" customHeight="1">
      <c r="A785" s="100" t="str">
        <f>IF(priority(Main[[#This Row],[Comments]])&lt;&gt;0, priority(Main[[#This Row],[Comments]]),"")</f>
        <v/>
      </c>
      <c r="B785" s="77" t="s">
        <v>1672</v>
      </c>
      <c r="C785" s="65" t="s">
        <v>4</v>
      </c>
      <c r="D785" s="66" t="s">
        <v>732</v>
      </c>
      <c r="E785" s="67">
        <v>40679.252465277779</v>
      </c>
      <c r="F785" s="67"/>
      <c r="G785" s="64" t="str">
        <f>IF(stdProdLT(Main[[#This Row],[Comments]])=0.1,"N/A",IF(stdProdLT(Main[[#This Row],[Comments]])=0,"",stdProdLT(Main[[#This Row],[Comments]])))</f>
        <v/>
      </c>
      <c r="H785" s="68" t="str">
        <f>IF(AND(Main[[#This Row],[In Stock Date]]&lt;&gt;"",Main[[#This Row],[Revised Due Date]]&lt;&gt;""),Main[[#This Row],[In Stock Date]]-Main[[#This Row],[Revised Due Date]],"")</f>
        <v/>
      </c>
      <c r="I785" s="65" t="s">
        <v>4</v>
      </c>
      <c r="J785" s="65" t="s">
        <v>4</v>
      </c>
      <c r="K785" s="65" t="s">
        <v>4</v>
      </c>
      <c r="L785" s="67"/>
      <c r="M785" s="69" t="str">
        <f>IF(Main[[#This Row],[Tech Start Date]]&lt;1/1/1990,"",IF(Main[[#This Row],[Class]]="C",WORKDAY(Main[[#This Row],[Tech Start Date]],9),IF(Main[[#This Row],[Class]]="B", WORKDAY(Main[[#This Row],[Tech Start Date]],6),IF(Main[[#This Row],[Class]]="A",WORKDAY(Main[[#This Row],[Tech Start Date]],2),""))))</f>
        <v/>
      </c>
      <c r="N785" s="69" t="str">
        <f>IF(Main[[#This Row],[Tech Start Date]]&lt;1/1/1990,"",IF(Main[[#This Row],[Class]]="C",WORKDAY(Main[[#This Row],[Tech Start Date]],19),IF(Main[[#This Row],[Class]]="B", WORKDAY(Main[[#This Row],[Tech Start Date]],12),IF(Main[[#This Row],[Class]]="A",WORKDAY(Main[[#This Row],[Tech Start Date]],4),""))))</f>
        <v/>
      </c>
      <c r="O785" s="69" t="str">
        <f>IF(Main[[#This Row],[Tech Start Date]]&lt;1/1/1990,"",IF(Main[[#This Row],[Class]]="C",WORKDAY(Main[[#This Row],[Tech Start Date]],23),IF(Main[[#This Row],[Class]]="B", WORKDAY(Main[[#This Row],[Tech Start Date]],15),IF(Main[[#This Row],[Class]]="A",WORKDAY(Main[[#This Row],[Tech Start Date]],5),""))))</f>
        <v/>
      </c>
      <c r="P785" s="69" t="str">
        <f>IF(Main[[#This Row],[Tech Start Date]]&lt;1/1/1990,"",IF(Main[[#This Row],[Class]]="C",WORKDAY(Main[[#This Row],[Tech Start Date]],28),IF(Main[[#This Row],[Class]]="B", WORKDAY(Main[[#This Row],[Tech Start Date]],19),IF(Main[[#This Row],[Class]]="A",WORKDAY(Main[[#This Row],[Tech Start Date]],9),""))))</f>
        <v/>
      </c>
      <c r="Q785" s="67">
        <v>40724</v>
      </c>
      <c r="R785" s="67"/>
      <c r="S785" s="65" t="s">
        <v>6</v>
      </c>
      <c r="T785" s="70" t="s">
        <v>4</v>
      </c>
      <c r="U785" s="65" t="s">
        <v>7</v>
      </c>
      <c r="V785" s="65" t="s">
        <v>1914</v>
      </c>
      <c r="W785" s="65" t="s">
        <v>4</v>
      </c>
      <c r="X785" s="65" t="s">
        <v>2822</v>
      </c>
      <c r="Y785" s="65" t="s">
        <v>2938</v>
      </c>
      <c r="Z785" s="65" t="s">
        <v>4</v>
      </c>
      <c r="AA785" s="65" t="s">
        <v>2822</v>
      </c>
    </row>
    <row r="786" spans="1:27" ht="17.45" hidden="1" customHeight="1">
      <c r="A786" s="100" t="str">
        <f>IF(priority(Main[[#This Row],[Comments]])&lt;&gt;0, priority(Main[[#This Row],[Comments]]),"")</f>
        <v/>
      </c>
      <c r="B786" s="77" t="s">
        <v>1673</v>
      </c>
      <c r="C786" s="65" t="s">
        <v>4</v>
      </c>
      <c r="D786" s="66" t="s">
        <v>733</v>
      </c>
      <c r="E786" s="67">
        <v>40679.253668981481</v>
      </c>
      <c r="F786" s="67"/>
      <c r="G786" s="64" t="str">
        <f>IF(stdProdLT(Main[[#This Row],[Comments]])=0.1,"N/A",IF(stdProdLT(Main[[#This Row],[Comments]])=0,"",stdProdLT(Main[[#This Row],[Comments]])))</f>
        <v/>
      </c>
      <c r="H786" s="68" t="str">
        <f>IF(AND(Main[[#This Row],[In Stock Date]]&lt;&gt;"",Main[[#This Row],[Revised Due Date]]&lt;&gt;""),Main[[#This Row],[In Stock Date]]-Main[[#This Row],[Revised Due Date]],"")</f>
        <v/>
      </c>
      <c r="I786" s="65" t="s">
        <v>4</v>
      </c>
      <c r="J786" s="65" t="s">
        <v>4</v>
      </c>
      <c r="K786" s="65" t="s">
        <v>4</v>
      </c>
      <c r="L786" s="67"/>
      <c r="M786" s="69" t="str">
        <f>IF(Main[[#This Row],[Tech Start Date]]&lt;1/1/1990,"",IF(Main[[#This Row],[Class]]="C",WORKDAY(Main[[#This Row],[Tech Start Date]],9),IF(Main[[#This Row],[Class]]="B", WORKDAY(Main[[#This Row],[Tech Start Date]],6),IF(Main[[#This Row],[Class]]="A",WORKDAY(Main[[#This Row],[Tech Start Date]],2),""))))</f>
        <v/>
      </c>
      <c r="N786" s="69" t="str">
        <f>IF(Main[[#This Row],[Tech Start Date]]&lt;1/1/1990,"",IF(Main[[#This Row],[Class]]="C",WORKDAY(Main[[#This Row],[Tech Start Date]],19),IF(Main[[#This Row],[Class]]="B", WORKDAY(Main[[#This Row],[Tech Start Date]],12),IF(Main[[#This Row],[Class]]="A",WORKDAY(Main[[#This Row],[Tech Start Date]],4),""))))</f>
        <v/>
      </c>
      <c r="O786" s="69" t="str">
        <f>IF(Main[[#This Row],[Tech Start Date]]&lt;1/1/1990,"",IF(Main[[#This Row],[Class]]="C",WORKDAY(Main[[#This Row],[Tech Start Date]],23),IF(Main[[#This Row],[Class]]="B", WORKDAY(Main[[#This Row],[Tech Start Date]],15),IF(Main[[#This Row],[Class]]="A",WORKDAY(Main[[#This Row],[Tech Start Date]],5),""))))</f>
        <v/>
      </c>
      <c r="P786" s="69" t="str">
        <f>IF(Main[[#This Row],[Tech Start Date]]&lt;1/1/1990,"",IF(Main[[#This Row],[Class]]="C",WORKDAY(Main[[#This Row],[Tech Start Date]],28),IF(Main[[#This Row],[Class]]="B", WORKDAY(Main[[#This Row],[Tech Start Date]],19),IF(Main[[#This Row],[Class]]="A",WORKDAY(Main[[#This Row],[Tech Start Date]],9),""))))</f>
        <v/>
      </c>
      <c r="Q786" s="67">
        <v>40724</v>
      </c>
      <c r="R786" s="67"/>
      <c r="S786" s="65" t="s">
        <v>6</v>
      </c>
      <c r="T786" s="70" t="s">
        <v>4</v>
      </c>
      <c r="U786" s="65" t="s">
        <v>7</v>
      </c>
      <c r="V786" s="65" t="s">
        <v>1914</v>
      </c>
      <c r="W786" s="65" t="s">
        <v>4</v>
      </c>
      <c r="X786" s="65" t="s">
        <v>2822</v>
      </c>
      <c r="Y786" s="65" t="s">
        <v>2938</v>
      </c>
      <c r="Z786" s="65" t="s">
        <v>4</v>
      </c>
      <c r="AA786" s="65" t="s">
        <v>2822</v>
      </c>
    </row>
    <row r="787" spans="1:27" ht="17.45" hidden="1" customHeight="1">
      <c r="A787" s="100" t="str">
        <f>IF(priority(Main[[#This Row],[Comments]])&lt;&gt;0, priority(Main[[#This Row],[Comments]]),"")</f>
        <v/>
      </c>
      <c r="B787" s="77" t="s">
        <v>1679</v>
      </c>
      <c r="C787" s="65" t="s">
        <v>4</v>
      </c>
      <c r="D787" s="66" t="s">
        <v>736</v>
      </c>
      <c r="E787" s="67"/>
      <c r="F787" s="67">
        <v>40598</v>
      </c>
      <c r="G787" s="64" t="str">
        <f>IF(stdProdLT(Main[[#This Row],[Comments]])=0.1,"N/A",IF(stdProdLT(Main[[#This Row],[Comments]])=0,"",stdProdLT(Main[[#This Row],[Comments]])))</f>
        <v/>
      </c>
      <c r="H787" s="68" t="str">
        <f>IF(AND(Main[[#This Row],[In Stock Date]]&lt;&gt;"",Main[[#This Row],[Revised Due Date]]&lt;&gt;""),Main[[#This Row],[In Stock Date]]-Main[[#This Row],[Revised Due Date]],"")</f>
        <v/>
      </c>
      <c r="I787" s="65" t="s">
        <v>4</v>
      </c>
      <c r="J787" s="65" t="s">
        <v>4</v>
      </c>
      <c r="K787" s="65" t="s">
        <v>4</v>
      </c>
      <c r="L787" s="67"/>
      <c r="M787" s="69" t="str">
        <f>IF(Main[[#This Row],[Tech Start Date]]&lt;1/1/1990,"",IF(Main[[#This Row],[Class]]="C",WORKDAY(Main[[#This Row],[Tech Start Date]],9),IF(Main[[#This Row],[Class]]="B", WORKDAY(Main[[#This Row],[Tech Start Date]],6),IF(Main[[#This Row],[Class]]="A",WORKDAY(Main[[#This Row],[Tech Start Date]],2),""))))</f>
        <v/>
      </c>
      <c r="N787" s="69" t="str">
        <f>IF(Main[[#This Row],[Tech Start Date]]&lt;1/1/1990,"",IF(Main[[#This Row],[Class]]="C",WORKDAY(Main[[#This Row],[Tech Start Date]],19),IF(Main[[#This Row],[Class]]="B", WORKDAY(Main[[#This Row],[Tech Start Date]],12),IF(Main[[#This Row],[Class]]="A",WORKDAY(Main[[#This Row],[Tech Start Date]],4),""))))</f>
        <v/>
      </c>
      <c r="O787" s="69" t="str">
        <f>IF(Main[[#This Row],[Tech Start Date]]&lt;1/1/1990,"",IF(Main[[#This Row],[Class]]="C",WORKDAY(Main[[#This Row],[Tech Start Date]],23),IF(Main[[#This Row],[Class]]="B", WORKDAY(Main[[#This Row],[Tech Start Date]],15),IF(Main[[#This Row],[Class]]="A",WORKDAY(Main[[#This Row],[Tech Start Date]],5),""))))</f>
        <v/>
      </c>
      <c r="P787" s="69" t="str">
        <f>IF(Main[[#This Row],[Tech Start Date]]&lt;1/1/1990,"",IF(Main[[#This Row],[Class]]="C",WORKDAY(Main[[#This Row],[Tech Start Date]],28),IF(Main[[#This Row],[Class]]="B", WORKDAY(Main[[#This Row],[Tech Start Date]],19),IF(Main[[#This Row],[Class]]="A",WORKDAY(Main[[#This Row],[Tech Start Date]],9),""))))</f>
        <v/>
      </c>
      <c r="Q787" s="67">
        <v>40598</v>
      </c>
      <c r="R787" s="67"/>
      <c r="S787" s="65" t="s">
        <v>11</v>
      </c>
      <c r="T787" s="70" t="s">
        <v>4</v>
      </c>
      <c r="U787" s="65" t="s">
        <v>14</v>
      </c>
      <c r="V787" s="65" t="s">
        <v>1924</v>
      </c>
      <c r="W787" s="65" t="s">
        <v>1920</v>
      </c>
      <c r="X787" s="65" t="s">
        <v>2848</v>
      </c>
      <c r="Y787" s="65" t="s">
        <v>2979</v>
      </c>
      <c r="Z787" s="65" t="s">
        <v>4</v>
      </c>
      <c r="AA787" s="65" t="s">
        <v>2848</v>
      </c>
    </row>
    <row r="788" spans="1:27" ht="17.45" hidden="1" customHeight="1">
      <c r="A788" s="100" t="str">
        <f>IF(priority(Main[[#This Row],[Comments]])&lt;&gt;0, priority(Main[[#This Row],[Comments]]),"")</f>
        <v/>
      </c>
      <c r="B788" s="77" t="s">
        <v>1704</v>
      </c>
      <c r="C788" s="65" t="s">
        <v>31</v>
      </c>
      <c r="D788" s="66" t="s">
        <v>754</v>
      </c>
      <c r="E788" s="67"/>
      <c r="F788" s="67">
        <v>40602</v>
      </c>
      <c r="G788" s="64" t="str">
        <f>IF(stdProdLT(Main[[#This Row],[Comments]])=0.1,"N/A",IF(stdProdLT(Main[[#This Row],[Comments]])=0,"",stdProdLT(Main[[#This Row],[Comments]])))</f>
        <v/>
      </c>
      <c r="H788" s="68" t="str">
        <f>IF(AND(Main[[#This Row],[In Stock Date]]&lt;&gt;"",Main[[#This Row],[Revised Due Date]]&lt;&gt;""),Main[[#This Row],[In Stock Date]]-Main[[#This Row],[Revised Due Date]],"")</f>
        <v/>
      </c>
      <c r="I788" s="65" t="s">
        <v>399</v>
      </c>
      <c r="J788" s="65" t="s">
        <v>75</v>
      </c>
      <c r="K788" s="65" t="s">
        <v>1923</v>
      </c>
      <c r="L788" s="67"/>
      <c r="M788" s="69" t="str">
        <f>IF(Main[[#This Row],[Tech Start Date]]&lt;1/1/1990,"",IF(Main[[#This Row],[Class]]="C",WORKDAY(Main[[#This Row],[Tech Start Date]],9),IF(Main[[#This Row],[Class]]="B", WORKDAY(Main[[#This Row],[Tech Start Date]],6),IF(Main[[#This Row],[Class]]="A",WORKDAY(Main[[#This Row],[Tech Start Date]],2),""))))</f>
        <v/>
      </c>
      <c r="N788" s="69" t="str">
        <f>IF(Main[[#This Row],[Tech Start Date]]&lt;1/1/1990,"",IF(Main[[#This Row],[Class]]="C",WORKDAY(Main[[#This Row],[Tech Start Date]],19),IF(Main[[#This Row],[Class]]="B", WORKDAY(Main[[#This Row],[Tech Start Date]],12),IF(Main[[#This Row],[Class]]="A",WORKDAY(Main[[#This Row],[Tech Start Date]],4),""))))</f>
        <v/>
      </c>
      <c r="O788" s="69" t="str">
        <f>IF(Main[[#This Row],[Tech Start Date]]&lt;1/1/1990,"",IF(Main[[#This Row],[Class]]="C",WORKDAY(Main[[#This Row],[Tech Start Date]],23),IF(Main[[#This Row],[Class]]="B", WORKDAY(Main[[#This Row],[Tech Start Date]],15),IF(Main[[#This Row],[Class]]="A",WORKDAY(Main[[#This Row],[Tech Start Date]],5),""))))</f>
        <v/>
      </c>
      <c r="P788" s="69" t="str">
        <f>IF(Main[[#This Row],[Tech Start Date]]&lt;1/1/1990,"",IF(Main[[#This Row],[Class]]="C",WORKDAY(Main[[#This Row],[Tech Start Date]],28),IF(Main[[#This Row],[Class]]="B", WORKDAY(Main[[#This Row],[Tech Start Date]],19),IF(Main[[#This Row],[Class]]="A",WORKDAY(Main[[#This Row],[Tech Start Date]],9),""))))</f>
        <v/>
      </c>
      <c r="Q788" s="67"/>
      <c r="R788" s="67"/>
      <c r="S788" s="65" t="s">
        <v>11</v>
      </c>
      <c r="T788" s="70" t="s">
        <v>4</v>
      </c>
      <c r="U788" s="65" t="s">
        <v>14</v>
      </c>
      <c r="V788" s="65" t="s">
        <v>1917</v>
      </c>
      <c r="W788" s="65" t="s">
        <v>1920</v>
      </c>
      <c r="X788" s="65" t="s">
        <v>50</v>
      </c>
      <c r="Y788" s="65" t="s">
        <v>2961</v>
      </c>
      <c r="Z788" s="65" t="s">
        <v>306</v>
      </c>
      <c r="AA788" s="65" t="s">
        <v>50</v>
      </c>
    </row>
    <row r="789" spans="1:27" ht="17.45" hidden="1" customHeight="1">
      <c r="A789" s="100" t="str">
        <f>IF(priority(Main[[#This Row],[Comments]])&lt;&gt;0, priority(Main[[#This Row],[Comments]]),"")</f>
        <v/>
      </c>
      <c r="B789" s="77" t="s">
        <v>1705</v>
      </c>
      <c r="C789" s="65" t="s">
        <v>93</v>
      </c>
      <c r="D789" s="66" t="s">
        <v>755</v>
      </c>
      <c r="E789" s="67"/>
      <c r="F789" s="67">
        <v>40302</v>
      </c>
      <c r="G789" s="64" t="str">
        <f>IF(stdProdLT(Main[[#This Row],[Comments]])=0.1,"N/A",IF(stdProdLT(Main[[#This Row],[Comments]])=0,"",stdProdLT(Main[[#This Row],[Comments]])))</f>
        <v/>
      </c>
      <c r="H789" s="68" t="str">
        <f>IF(AND(Main[[#This Row],[In Stock Date]]&lt;&gt;"",Main[[#This Row],[Revised Due Date]]&lt;&gt;""),Main[[#This Row],[In Stock Date]]-Main[[#This Row],[Revised Due Date]],"")</f>
        <v/>
      </c>
      <c r="I789" s="65" t="s">
        <v>4</v>
      </c>
      <c r="J789" s="65" t="s">
        <v>4</v>
      </c>
      <c r="K789" s="71" t="s">
        <v>4</v>
      </c>
      <c r="L789" s="67"/>
      <c r="M789" s="69" t="str">
        <f>IF(Main[[#This Row],[Tech Start Date]]&lt;1/1/1990,"",IF(Main[[#This Row],[Class]]="C",WORKDAY(Main[[#This Row],[Tech Start Date]],9),IF(Main[[#This Row],[Class]]="B", WORKDAY(Main[[#This Row],[Tech Start Date]],6),IF(Main[[#This Row],[Class]]="A",WORKDAY(Main[[#This Row],[Tech Start Date]],2),""))))</f>
        <v/>
      </c>
      <c r="N789" s="69" t="str">
        <f>IF(Main[[#This Row],[Tech Start Date]]&lt;1/1/1990,"",IF(Main[[#This Row],[Class]]="C",WORKDAY(Main[[#This Row],[Tech Start Date]],19),IF(Main[[#This Row],[Class]]="B", WORKDAY(Main[[#This Row],[Tech Start Date]],12),IF(Main[[#This Row],[Class]]="A",WORKDAY(Main[[#This Row],[Tech Start Date]],4),""))))</f>
        <v/>
      </c>
      <c r="O789" s="69" t="str">
        <f>IF(Main[[#This Row],[Tech Start Date]]&lt;1/1/1990,"",IF(Main[[#This Row],[Class]]="C",WORKDAY(Main[[#This Row],[Tech Start Date]],23),IF(Main[[#This Row],[Class]]="B", WORKDAY(Main[[#This Row],[Tech Start Date]],15),IF(Main[[#This Row],[Class]]="A",WORKDAY(Main[[#This Row],[Tech Start Date]],5),""))))</f>
        <v/>
      </c>
      <c r="P789" s="69" t="str">
        <f>IF(Main[[#This Row],[Tech Start Date]]&lt;1/1/1990,"",IF(Main[[#This Row],[Class]]="C",WORKDAY(Main[[#This Row],[Tech Start Date]],28),IF(Main[[#This Row],[Class]]="B", WORKDAY(Main[[#This Row],[Tech Start Date]],19),IF(Main[[#This Row],[Class]]="A",WORKDAY(Main[[#This Row],[Tech Start Date]],9),""))))</f>
        <v/>
      </c>
      <c r="Q789" s="67">
        <v>40190</v>
      </c>
      <c r="R789" s="67"/>
      <c r="S789" s="65" t="s">
        <v>11</v>
      </c>
      <c r="T789" s="70" t="s">
        <v>4</v>
      </c>
      <c r="U789" s="65" t="s">
        <v>12</v>
      </c>
      <c r="V789" s="65" t="s">
        <v>1924</v>
      </c>
      <c r="W789" s="65" t="s">
        <v>1920</v>
      </c>
      <c r="X789" s="65" t="s">
        <v>2898</v>
      </c>
      <c r="Y789" s="65" t="s">
        <v>4</v>
      </c>
      <c r="Z789" s="65" t="s">
        <v>4</v>
      </c>
      <c r="AA789" s="65" t="s">
        <v>2898</v>
      </c>
    </row>
    <row r="790" spans="1:27" ht="17.45" hidden="1" customHeight="1">
      <c r="A790" s="100" t="str">
        <f>IF(priority(Main[[#This Row],[Comments]])&lt;&gt;0, priority(Main[[#This Row],[Comments]]),"")</f>
        <v/>
      </c>
      <c r="B790" s="77" t="s">
        <v>1860</v>
      </c>
      <c r="C790" s="65" t="s">
        <v>31</v>
      </c>
      <c r="D790" s="66" t="s">
        <v>917</v>
      </c>
      <c r="E790" s="67"/>
      <c r="F790" s="67">
        <v>40664</v>
      </c>
      <c r="G790" s="64" t="str">
        <f>IF(stdProdLT(Main[[#This Row],[Comments]])=0.1,"N/A",IF(stdProdLT(Main[[#This Row],[Comments]])=0,"",stdProdLT(Main[[#This Row],[Comments]])))</f>
        <v/>
      </c>
      <c r="H790" s="68">
        <f>IF(AND(Main[[#This Row],[In Stock Date]]&lt;&gt;"",Main[[#This Row],[Revised Due Date]]&lt;&gt;""),Main[[#This Row],[In Stock Date]]-Main[[#This Row],[Revised Due Date]],"")</f>
        <v>87</v>
      </c>
      <c r="I790" s="65" t="s">
        <v>399</v>
      </c>
      <c r="J790" s="65" t="s">
        <v>75</v>
      </c>
      <c r="K790" s="65" t="s">
        <v>1923</v>
      </c>
      <c r="L790" s="67"/>
      <c r="M790" s="69" t="str">
        <f>IF(Main[[#This Row],[Tech Start Date]]&lt;1/1/1990,"",IF(Main[[#This Row],[Class]]="C",WORKDAY(Main[[#This Row],[Tech Start Date]],9),IF(Main[[#This Row],[Class]]="B", WORKDAY(Main[[#This Row],[Tech Start Date]],6),IF(Main[[#This Row],[Class]]="A",WORKDAY(Main[[#This Row],[Tech Start Date]],2),""))))</f>
        <v/>
      </c>
      <c r="N790" s="69" t="str">
        <f>IF(Main[[#This Row],[Tech Start Date]]&lt;1/1/1990,"",IF(Main[[#This Row],[Class]]="C",WORKDAY(Main[[#This Row],[Tech Start Date]],19),IF(Main[[#This Row],[Class]]="B", WORKDAY(Main[[#This Row],[Tech Start Date]],12),IF(Main[[#This Row],[Class]]="A",WORKDAY(Main[[#This Row],[Tech Start Date]],4),""))))</f>
        <v/>
      </c>
      <c r="O790" s="69" t="str">
        <f>IF(Main[[#This Row],[Tech Start Date]]&lt;1/1/1990,"",IF(Main[[#This Row],[Class]]="C",WORKDAY(Main[[#This Row],[Tech Start Date]],23),IF(Main[[#This Row],[Class]]="B", WORKDAY(Main[[#This Row],[Tech Start Date]],15),IF(Main[[#This Row],[Class]]="A",WORKDAY(Main[[#This Row],[Tech Start Date]],5),""))))</f>
        <v/>
      </c>
      <c r="P790" s="69" t="str">
        <f>IF(Main[[#This Row],[Tech Start Date]]&lt;1/1/1990,"",IF(Main[[#This Row],[Class]]="C",WORKDAY(Main[[#This Row],[Tech Start Date]],28),IF(Main[[#This Row],[Class]]="B", WORKDAY(Main[[#This Row],[Tech Start Date]],19),IF(Main[[#This Row],[Class]]="A",WORKDAY(Main[[#This Row],[Tech Start Date]],9),""))))</f>
        <v/>
      </c>
      <c r="Q790" s="67"/>
      <c r="R790" s="67">
        <v>40577</v>
      </c>
      <c r="S790" s="65" t="s">
        <v>11</v>
      </c>
      <c r="T790" s="70" t="s">
        <v>4</v>
      </c>
      <c r="U790" s="65" t="s">
        <v>14</v>
      </c>
      <c r="V790" s="65" t="s">
        <v>1917</v>
      </c>
      <c r="W790" s="65" t="s">
        <v>1920</v>
      </c>
      <c r="X790" s="65" t="s">
        <v>2825</v>
      </c>
      <c r="Y790" s="65" t="s">
        <v>2967</v>
      </c>
      <c r="Z790" s="65" t="s">
        <v>530</v>
      </c>
      <c r="AA790" s="65" t="s">
        <v>2825</v>
      </c>
    </row>
    <row r="791" spans="1:27" ht="17.45" hidden="1" customHeight="1">
      <c r="A791" s="100" t="str">
        <f>IF(priority(Main[[#This Row],[Comments]])&lt;&gt;0, priority(Main[[#This Row],[Comments]]),"")</f>
        <v/>
      </c>
      <c r="B791" s="77" t="s">
        <v>1726</v>
      </c>
      <c r="C791" s="65" t="s">
        <v>4</v>
      </c>
      <c r="D791" s="66" t="s">
        <v>782</v>
      </c>
      <c r="E791" s="67"/>
      <c r="F791" s="67"/>
      <c r="G791" s="64" t="str">
        <f>IF(stdProdLT(Main[[#This Row],[Comments]])=0.1,"N/A",IF(stdProdLT(Main[[#This Row],[Comments]])=0,"",stdProdLT(Main[[#This Row],[Comments]])))</f>
        <v/>
      </c>
      <c r="H791" s="68" t="str">
        <f>IF(AND(Main[[#This Row],[In Stock Date]]&lt;&gt;"",Main[[#This Row],[Revised Due Date]]&lt;&gt;""),Main[[#This Row],[In Stock Date]]-Main[[#This Row],[Revised Due Date]],"")</f>
        <v/>
      </c>
      <c r="I791" s="65" t="s">
        <v>4</v>
      </c>
      <c r="J791" s="65" t="s">
        <v>4</v>
      </c>
      <c r="K791" s="65" t="s">
        <v>4</v>
      </c>
      <c r="L791" s="67"/>
      <c r="M791" s="69" t="str">
        <f>IF(Main[[#This Row],[Tech Start Date]]&lt;1/1/1990,"",IF(Main[[#This Row],[Class]]="C",WORKDAY(Main[[#This Row],[Tech Start Date]],9),IF(Main[[#This Row],[Class]]="B", WORKDAY(Main[[#This Row],[Tech Start Date]],6),IF(Main[[#This Row],[Class]]="A",WORKDAY(Main[[#This Row],[Tech Start Date]],2),""))))</f>
        <v/>
      </c>
      <c r="N791" s="69" t="str">
        <f>IF(Main[[#This Row],[Tech Start Date]]&lt;1/1/1990,"",IF(Main[[#This Row],[Class]]="C",WORKDAY(Main[[#This Row],[Tech Start Date]],19),IF(Main[[#This Row],[Class]]="B", WORKDAY(Main[[#This Row],[Tech Start Date]],12),IF(Main[[#This Row],[Class]]="A",WORKDAY(Main[[#This Row],[Tech Start Date]],4),""))))</f>
        <v/>
      </c>
      <c r="O791" s="69" t="str">
        <f>IF(Main[[#This Row],[Tech Start Date]]&lt;1/1/1990,"",IF(Main[[#This Row],[Class]]="C",WORKDAY(Main[[#This Row],[Tech Start Date]],23),IF(Main[[#This Row],[Class]]="B", WORKDAY(Main[[#This Row],[Tech Start Date]],15),IF(Main[[#This Row],[Class]]="A",WORKDAY(Main[[#This Row],[Tech Start Date]],5),""))))</f>
        <v/>
      </c>
      <c r="P791" s="69" t="str">
        <f>IF(Main[[#This Row],[Tech Start Date]]&lt;1/1/1990,"",IF(Main[[#This Row],[Class]]="C",WORKDAY(Main[[#This Row],[Tech Start Date]],28),IF(Main[[#This Row],[Class]]="B", WORKDAY(Main[[#This Row],[Tech Start Date]],19),IF(Main[[#This Row],[Class]]="A",WORKDAY(Main[[#This Row],[Tech Start Date]],9),""))))</f>
        <v/>
      </c>
      <c r="Q791" s="67"/>
      <c r="R791" s="67"/>
      <c r="S791" s="65" t="s">
        <v>49</v>
      </c>
      <c r="T791" s="70" t="s">
        <v>4</v>
      </c>
      <c r="U791" s="65" t="s">
        <v>103</v>
      </c>
      <c r="V791" s="65" t="s">
        <v>1915</v>
      </c>
      <c r="W791" s="65" t="s">
        <v>1918</v>
      </c>
      <c r="X791" s="65" t="s">
        <v>306</v>
      </c>
      <c r="Y791" s="65" t="s">
        <v>4</v>
      </c>
      <c r="Z791" s="65" t="s">
        <v>4</v>
      </c>
      <c r="AA791" s="65" t="s">
        <v>4</v>
      </c>
    </row>
    <row r="792" spans="1:27" ht="17.45" hidden="1" customHeight="1">
      <c r="A792" s="100" t="str">
        <f>IF(priority(Main[[#This Row],[Comments]])&lt;&gt;0, priority(Main[[#This Row],[Comments]]),"")</f>
        <v/>
      </c>
      <c r="B792" s="77" t="s">
        <v>2194</v>
      </c>
      <c r="C792" s="65" t="s">
        <v>4</v>
      </c>
      <c r="D792" s="66" t="s">
        <v>2195</v>
      </c>
      <c r="E792" s="67"/>
      <c r="F792" s="67"/>
      <c r="G792" s="64" t="str">
        <f>IF(stdProdLT(Main[[#This Row],[Comments]])=0.1,"N/A",IF(stdProdLT(Main[[#This Row],[Comments]])=0,"",stdProdLT(Main[[#This Row],[Comments]])))</f>
        <v/>
      </c>
      <c r="H792" s="68" t="str">
        <f>IF(AND(Main[[#This Row],[In Stock Date]]&lt;&gt;"",Main[[#This Row],[Revised Due Date]]&lt;&gt;""),Main[[#This Row],[In Stock Date]]-Main[[#This Row],[Revised Due Date]],"")</f>
        <v/>
      </c>
      <c r="I792" s="65" t="s">
        <v>4</v>
      </c>
      <c r="J792" s="65" t="s">
        <v>4</v>
      </c>
      <c r="K792" s="65" t="s">
        <v>4</v>
      </c>
      <c r="L792" s="67"/>
      <c r="M792" s="69" t="str">
        <f>IF(Main[[#This Row],[Tech Start Date]]&lt;1/1/1990,"",IF(Main[[#This Row],[Class]]="C",WORKDAY(Main[[#This Row],[Tech Start Date]],9),IF(Main[[#This Row],[Class]]="B", WORKDAY(Main[[#This Row],[Tech Start Date]],6),IF(Main[[#This Row],[Class]]="A",WORKDAY(Main[[#This Row],[Tech Start Date]],2),""))))</f>
        <v/>
      </c>
      <c r="N792" s="69" t="str">
        <f>IF(Main[[#This Row],[Tech Start Date]]&lt;1/1/1990,"",IF(Main[[#This Row],[Class]]="C",WORKDAY(Main[[#This Row],[Tech Start Date]],19),IF(Main[[#This Row],[Class]]="B", WORKDAY(Main[[#This Row],[Tech Start Date]],12),IF(Main[[#This Row],[Class]]="A",WORKDAY(Main[[#This Row],[Tech Start Date]],4),""))))</f>
        <v/>
      </c>
      <c r="O792" s="69" t="str">
        <f>IF(Main[[#This Row],[Tech Start Date]]&lt;1/1/1990,"",IF(Main[[#This Row],[Class]]="C",WORKDAY(Main[[#This Row],[Tech Start Date]],23),IF(Main[[#This Row],[Class]]="B", WORKDAY(Main[[#This Row],[Tech Start Date]],15),IF(Main[[#This Row],[Class]]="A",WORKDAY(Main[[#This Row],[Tech Start Date]],5),""))))</f>
        <v/>
      </c>
      <c r="P792" s="69" t="str">
        <f>IF(Main[[#This Row],[Tech Start Date]]&lt;1/1/1990,"",IF(Main[[#This Row],[Class]]="C",WORKDAY(Main[[#This Row],[Tech Start Date]],28),IF(Main[[#This Row],[Class]]="B", WORKDAY(Main[[#This Row],[Tech Start Date]],19),IF(Main[[#This Row],[Class]]="A",WORKDAY(Main[[#This Row],[Tech Start Date]],9),""))))</f>
        <v/>
      </c>
      <c r="Q792" s="67"/>
      <c r="R792" s="67"/>
      <c r="S792" s="65" t="s">
        <v>6</v>
      </c>
      <c r="T792" s="70" t="s">
        <v>4</v>
      </c>
      <c r="U792" s="65" t="s">
        <v>14</v>
      </c>
      <c r="V792" s="65" t="s">
        <v>1929</v>
      </c>
      <c r="W792" s="65" t="s">
        <v>4</v>
      </c>
      <c r="X792" s="65" t="s">
        <v>306</v>
      </c>
      <c r="Y792" s="65" t="s">
        <v>4</v>
      </c>
      <c r="Z792" s="65" t="s">
        <v>4</v>
      </c>
      <c r="AA792" s="65" t="s">
        <v>4</v>
      </c>
    </row>
    <row r="793" spans="1:27" ht="17.45" hidden="1" customHeight="1">
      <c r="A793" s="100" t="str">
        <f>IF(priority(Main[[#This Row],[Comments]])&lt;&gt;0, priority(Main[[#This Row],[Comments]]),"")</f>
        <v/>
      </c>
      <c r="B793" s="77" t="s">
        <v>1699</v>
      </c>
      <c r="C793" s="65" t="s">
        <v>756</v>
      </c>
      <c r="D793" s="66" t="s">
        <v>757</v>
      </c>
      <c r="E793" s="67"/>
      <c r="F793" s="67"/>
      <c r="G793" s="64" t="str">
        <f>IF(stdProdLT(Main[[#This Row],[Comments]])=0.1,"N/A",IF(stdProdLT(Main[[#This Row],[Comments]])=0,"",stdProdLT(Main[[#This Row],[Comments]])))</f>
        <v/>
      </c>
      <c r="H793" s="68" t="str">
        <f>IF(AND(Main[[#This Row],[In Stock Date]]&lt;&gt;"",Main[[#This Row],[Revised Due Date]]&lt;&gt;""),Main[[#This Row],[In Stock Date]]-Main[[#This Row],[Revised Due Date]],"")</f>
        <v/>
      </c>
      <c r="I793" s="65" t="s">
        <v>4</v>
      </c>
      <c r="J793" s="65" t="s">
        <v>4</v>
      </c>
      <c r="K793" s="65" t="s">
        <v>4</v>
      </c>
      <c r="L793" s="67"/>
      <c r="M793" s="69" t="str">
        <f>IF(Main[[#This Row],[Tech Start Date]]&lt;1/1/1990,"",IF(Main[[#This Row],[Class]]="C",WORKDAY(Main[[#This Row],[Tech Start Date]],9),IF(Main[[#This Row],[Class]]="B", WORKDAY(Main[[#This Row],[Tech Start Date]],6),IF(Main[[#This Row],[Class]]="A",WORKDAY(Main[[#This Row],[Tech Start Date]],2),""))))</f>
        <v/>
      </c>
      <c r="N793" s="69" t="str">
        <f>IF(Main[[#This Row],[Tech Start Date]]&lt;1/1/1990,"",IF(Main[[#This Row],[Class]]="C",WORKDAY(Main[[#This Row],[Tech Start Date]],19),IF(Main[[#This Row],[Class]]="B", WORKDAY(Main[[#This Row],[Tech Start Date]],12),IF(Main[[#This Row],[Class]]="A",WORKDAY(Main[[#This Row],[Tech Start Date]],4),""))))</f>
        <v/>
      </c>
      <c r="O793" s="69" t="str">
        <f>IF(Main[[#This Row],[Tech Start Date]]&lt;1/1/1990,"",IF(Main[[#This Row],[Class]]="C",WORKDAY(Main[[#This Row],[Tech Start Date]],23),IF(Main[[#This Row],[Class]]="B", WORKDAY(Main[[#This Row],[Tech Start Date]],15),IF(Main[[#This Row],[Class]]="A",WORKDAY(Main[[#This Row],[Tech Start Date]],5),""))))</f>
        <v/>
      </c>
      <c r="P793" s="69" t="str">
        <f>IF(Main[[#This Row],[Tech Start Date]]&lt;1/1/1990,"",IF(Main[[#This Row],[Class]]="C",WORKDAY(Main[[#This Row],[Tech Start Date]],28),IF(Main[[#This Row],[Class]]="B", WORKDAY(Main[[#This Row],[Tech Start Date]],19),IF(Main[[#This Row],[Class]]="A",WORKDAY(Main[[#This Row],[Tech Start Date]],9),""))))</f>
        <v/>
      </c>
      <c r="Q793" s="67"/>
      <c r="R793" s="67"/>
      <c r="S793" s="65" t="s">
        <v>11</v>
      </c>
      <c r="T793" s="70" t="s">
        <v>4</v>
      </c>
      <c r="U793" s="65" t="s">
        <v>14</v>
      </c>
      <c r="V793" s="65" t="s">
        <v>1915</v>
      </c>
      <c r="W793" s="65" t="s">
        <v>1922</v>
      </c>
      <c r="X793" s="65" t="s">
        <v>2827</v>
      </c>
      <c r="Y793" s="65" t="s">
        <v>2948</v>
      </c>
      <c r="Z793" s="65" t="s">
        <v>4</v>
      </c>
      <c r="AA793" s="65" t="s">
        <v>2827</v>
      </c>
    </row>
    <row r="794" spans="1:27" ht="17.45" hidden="1" customHeight="1">
      <c r="A794" s="100" t="str">
        <f>IF(priority(Main[[#This Row],[Comments]])&lt;&gt;0, priority(Main[[#This Row],[Comments]]),"")</f>
        <v/>
      </c>
      <c r="B794" s="77" t="s">
        <v>1700</v>
      </c>
      <c r="C794" s="65" t="s">
        <v>4</v>
      </c>
      <c r="D794" s="66" t="s">
        <v>758</v>
      </c>
      <c r="E794" s="67">
        <v>40436.644293981481</v>
      </c>
      <c r="F794" s="67"/>
      <c r="G794" s="64" t="str">
        <f>IF(stdProdLT(Main[[#This Row],[Comments]])=0.1,"N/A",IF(stdProdLT(Main[[#This Row],[Comments]])=0,"",stdProdLT(Main[[#This Row],[Comments]])))</f>
        <v/>
      </c>
      <c r="H794" s="68" t="str">
        <f>IF(AND(Main[[#This Row],[In Stock Date]]&lt;&gt;"",Main[[#This Row],[Revised Due Date]]&lt;&gt;""),Main[[#This Row],[In Stock Date]]-Main[[#This Row],[Revised Due Date]],"")</f>
        <v/>
      </c>
      <c r="I794" s="65" t="s">
        <v>4</v>
      </c>
      <c r="J794" s="65" t="s">
        <v>28</v>
      </c>
      <c r="K794" s="65" t="s">
        <v>4</v>
      </c>
      <c r="L794" s="67"/>
      <c r="M794" s="69" t="str">
        <f>IF(Main[[#This Row],[Tech Start Date]]&lt;1/1/1990,"",IF(Main[[#This Row],[Class]]="C",WORKDAY(Main[[#This Row],[Tech Start Date]],9),IF(Main[[#This Row],[Class]]="B", WORKDAY(Main[[#This Row],[Tech Start Date]],6),IF(Main[[#This Row],[Class]]="A",WORKDAY(Main[[#This Row],[Tech Start Date]],2),""))))</f>
        <v/>
      </c>
      <c r="N794" s="69" t="str">
        <f>IF(Main[[#This Row],[Tech Start Date]]&lt;1/1/1990,"",IF(Main[[#This Row],[Class]]="C",WORKDAY(Main[[#This Row],[Tech Start Date]],19),IF(Main[[#This Row],[Class]]="B", WORKDAY(Main[[#This Row],[Tech Start Date]],12),IF(Main[[#This Row],[Class]]="A",WORKDAY(Main[[#This Row],[Tech Start Date]],4),""))))</f>
        <v/>
      </c>
      <c r="O794" s="69" t="str">
        <f>IF(Main[[#This Row],[Tech Start Date]]&lt;1/1/1990,"",IF(Main[[#This Row],[Class]]="C",WORKDAY(Main[[#This Row],[Tech Start Date]],23),IF(Main[[#This Row],[Class]]="B", WORKDAY(Main[[#This Row],[Tech Start Date]],15),IF(Main[[#This Row],[Class]]="A",WORKDAY(Main[[#This Row],[Tech Start Date]],5),""))))</f>
        <v/>
      </c>
      <c r="P794" s="69" t="str">
        <f>IF(Main[[#This Row],[Tech Start Date]]&lt;1/1/1990,"",IF(Main[[#This Row],[Class]]="C",WORKDAY(Main[[#This Row],[Tech Start Date]],28),IF(Main[[#This Row],[Class]]="B", WORKDAY(Main[[#This Row],[Tech Start Date]],19),IF(Main[[#This Row],[Class]]="A",WORKDAY(Main[[#This Row],[Tech Start Date]],9),""))))</f>
        <v/>
      </c>
      <c r="Q794" s="67"/>
      <c r="R794" s="67"/>
      <c r="S794" s="65" t="s">
        <v>6</v>
      </c>
      <c r="T794" s="70" t="s">
        <v>4</v>
      </c>
      <c r="U794" s="65" t="s">
        <v>7</v>
      </c>
      <c r="V794" s="65" t="s">
        <v>1914</v>
      </c>
      <c r="W794" s="65" t="s">
        <v>1918</v>
      </c>
      <c r="X794" s="65" t="s">
        <v>922</v>
      </c>
      <c r="Y794" s="65" t="s">
        <v>2982</v>
      </c>
      <c r="Z794" s="65" t="s">
        <v>129</v>
      </c>
      <c r="AA794" s="65" t="s">
        <v>922</v>
      </c>
    </row>
    <row r="795" spans="1:27" ht="17.45" hidden="1" customHeight="1">
      <c r="A795" s="100" t="str">
        <f>IF(priority(Main[[#This Row],[Comments]])&lt;&gt;0, priority(Main[[#This Row],[Comments]]),"")</f>
        <v/>
      </c>
      <c r="B795" s="77" t="s">
        <v>1701</v>
      </c>
      <c r="C795" s="65" t="s">
        <v>759</v>
      </c>
      <c r="D795" s="66" t="s">
        <v>760</v>
      </c>
      <c r="E795" s="67"/>
      <c r="F795" s="67"/>
      <c r="G795" s="64" t="str">
        <f>IF(stdProdLT(Main[[#This Row],[Comments]])=0.1,"N/A",IF(stdProdLT(Main[[#This Row],[Comments]])=0,"",stdProdLT(Main[[#This Row],[Comments]])))</f>
        <v/>
      </c>
      <c r="H795" s="68" t="str">
        <f>IF(AND(Main[[#This Row],[In Stock Date]]&lt;&gt;"",Main[[#This Row],[Revised Due Date]]&lt;&gt;""),Main[[#This Row],[In Stock Date]]-Main[[#This Row],[Revised Due Date]],"")</f>
        <v/>
      </c>
      <c r="I795" s="65" t="s">
        <v>163</v>
      </c>
      <c r="J795" s="65" t="s">
        <v>4</v>
      </c>
      <c r="K795" s="65" t="s">
        <v>1921</v>
      </c>
      <c r="L795" s="67"/>
      <c r="M795" s="69" t="str">
        <f>IF(Main[[#This Row],[Tech Start Date]]&lt;1/1/1990,"",IF(Main[[#This Row],[Class]]="C",WORKDAY(Main[[#This Row],[Tech Start Date]],9),IF(Main[[#This Row],[Class]]="B", WORKDAY(Main[[#This Row],[Tech Start Date]],6),IF(Main[[#This Row],[Class]]="A",WORKDAY(Main[[#This Row],[Tech Start Date]],2),""))))</f>
        <v/>
      </c>
      <c r="N795" s="69" t="str">
        <f>IF(Main[[#This Row],[Tech Start Date]]&lt;1/1/1990,"",IF(Main[[#This Row],[Class]]="C",WORKDAY(Main[[#This Row],[Tech Start Date]],19),IF(Main[[#This Row],[Class]]="B", WORKDAY(Main[[#This Row],[Tech Start Date]],12),IF(Main[[#This Row],[Class]]="A",WORKDAY(Main[[#This Row],[Tech Start Date]],4),""))))</f>
        <v/>
      </c>
      <c r="O795" s="69" t="str">
        <f>IF(Main[[#This Row],[Tech Start Date]]&lt;1/1/1990,"",IF(Main[[#This Row],[Class]]="C",WORKDAY(Main[[#This Row],[Tech Start Date]],23),IF(Main[[#This Row],[Class]]="B", WORKDAY(Main[[#This Row],[Tech Start Date]],15),IF(Main[[#This Row],[Class]]="A",WORKDAY(Main[[#This Row],[Tech Start Date]],5),""))))</f>
        <v/>
      </c>
      <c r="P795" s="69" t="str">
        <f>IF(Main[[#This Row],[Tech Start Date]]&lt;1/1/1990,"",IF(Main[[#This Row],[Class]]="C",WORKDAY(Main[[#This Row],[Tech Start Date]],28),IF(Main[[#This Row],[Class]]="B", WORKDAY(Main[[#This Row],[Tech Start Date]],19),IF(Main[[#This Row],[Class]]="A",WORKDAY(Main[[#This Row],[Tech Start Date]],9),""))))</f>
        <v/>
      </c>
      <c r="Q795" s="67">
        <v>40421</v>
      </c>
      <c r="R795" s="67"/>
      <c r="S795" s="65" t="s">
        <v>17</v>
      </c>
      <c r="T795" s="70" t="s">
        <v>4</v>
      </c>
      <c r="U795" s="65" t="s">
        <v>14</v>
      </c>
      <c r="V795" s="65" t="s">
        <v>1917</v>
      </c>
      <c r="W795" s="65" t="s">
        <v>1918</v>
      </c>
      <c r="X795" s="65" t="s">
        <v>163</v>
      </c>
      <c r="Y795" s="65" t="s">
        <v>3100</v>
      </c>
      <c r="Z795" s="65" t="s">
        <v>4</v>
      </c>
      <c r="AA795" s="65" t="s">
        <v>163</v>
      </c>
    </row>
    <row r="796" spans="1:27" ht="17.45" hidden="1" customHeight="1">
      <c r="A796" s="100" t="str">
        <f>IF(priority(Main[[#This Row],[Comments]])&lt;&gt;0, priority(Main[[#This Row],[Comments]]),"")</f>
        <v/>
      </c>
      <c r="B796" s="77" t="s">
        <v>1702</v>
      </c>
      <c r="C796" s="65" t="s">
        <v>4</v>
      </c>
      <c r="D796" s="66" t="s">
        <v>761</v>
      </c>
      <c r="E796" s="67"/>
      <c r="F796" s="67"/>
      <c r="G796" s="64" t="str">
        <f>IF(stdProdLT(Main[[#This Row],[Comments]])=0.1,"N/A",IF(stdProdLT(Main[[#This Row],[Comments]])=0,"",stdProdLT(Main[[#This Row],[Comments]])))</f>
        <v/>
      </c>
      <c r="H796" s="68" t="str">
        <f>IF(AND(Main[[#This Row],[In Stock Date]]&lt;&gt;"",Main[[#This Row],[Revised Due Date]]&lt;&gt;""),Main[[#This Row],[In Stock Date]]-Main[[#This Row],[Revised Due Date]],"")</f>
        <v/>
      </c>
      <c r="I796" s="65" t="s">
        <v>4</v>
      </c>
      <c r="J796" s="65" t="s">
        <v>4</v>
      </c>
      <c r="K796" s="65" t="s">
        <v>4</v>
      </c>
      <c r="L796" s="67"/>
      <c r="M796" s="69" t="str">
        <f>IF(Main[[#This Row],[Tech Start Date]]&lt;1/1/1990,"",IF(Main[[#This Row],[Class]]="C",WORKDAY(Main[[#This Row],[Tech Start Date]],9),IF(Main[[#This Row],[Class]]="B", WORKDAY(Main[[#This Row],[Tech Start Date]],6),IF(Main[[#This Row],[Class]]="A",WORKDAY(Main[[#This Row],[Tech Start Date]],2),""))))</f>
        <v/>
      </c>
      <c r="N796" s="69" t="str">
        <f>IF(Main[[#This Row],[Tech Start Date]]&lt;1/1/1990,"",IF(Main[[#This Row],[Class]]="C",WORKDAY(Main[[#This Row],[Tech Start Date]],19),IF(Main[[#This Row],[Class]]="B", WORKDAY(Main[[#This Row],[Tech Start Date]],12),IF(Main[[#This Row],[Class]]="A",WORKDAY(Main[[#This Row],[Tech Start Date]],4),""))))</f>
        <v/>
      </c>
      <c r="O796" s="69" t="str">
        <f>IF(Main[[#This Row],[Tech Start Date]]&lt;1/1/1990,"",IF(Main[[#This Row],[Class]]="C",WORKDAY(Main[[#This Row],[Tech Start Date]],23),IF(Main[[#This Row],[Class]]="B", WORKDAY(Main[[#This Row],[Tech Start Date]],15),IF(Main[[#This Row],[Class]]="A",WORKDAY(Main[[#This Row],[Tech Start Date]],5),""))))</f>
        <v/>
      </c>
      <c r="P796" s="69" t="str">
        <f>IF(Main[[#This Row],[Tech Start Date]]&lt;1/1/1990,"",IF(Main[[#This Row],[Class]]="C",WORKDAY(Main[[#This Row],[Tech Start Date]],28),IF(Main[[#This Row],[Class]]="B", WORKDAY(Main[[#This Row],[Tech Start Date]],19),IF(Main[[#This Row],[Class]]="A",WORKDAY(Main[[#This Row],[Tech Start Date]],9),""))))</f>
        <v/>
      </c>
      <c r="Q796" s="67">
        <v>40500</v>
      </c>
      <c r="R796" s="67"/>
      <c r="S796" s="65" t="s">
        <v>11</v>
      </c>
      <c r="T796" s="70" t="s">
        <v>4</v>
      </c>
      <c r="U796" s="65" t="s">
        <v>14</v>
      </c>
      <c r="V796" s="65" t="s">
        <v>1914</v>
      </c>
      <c r="W796" s="65" t="s">
        <v>4</v>
      </c>
      <c r="X796" s="65" t="s">
        <v>2832</v>
      </c>
      <c r="Y796" s="65" t="s">
        <v>3101</v>
      </c>
      <c r="Z796" s="65" t="s">
        <v>4</v>
      </c>
      <c r="AA796" s="65" t="s">
        <v>2849</v>
      </c>
    </row>
    <row r="797" spans="1:27" ht="17.45" hidden="1" customHeight="1">
      <c r="A797" s="100" t="str">
        <f>IF(priority(Main[[#This Row],[Comments]])&lt;&gt;0, priority(Main[[#This Row],[Comments]]),"")</f>
        <v/>
      </c>
      <c r="B797" s="77" t="s">
        <v>1703</v>
      </c>
      <c r="C797" s="65" t="s">
        <v>122</v>
      </c>
      <c r="D797" s="66" t="s">
        <v>696</v>
      </c>
      <c r="E797" s="67"/>
      <c r="F797" s="67"/>
      <c r="G797" s="64" t="str">
        <f>IF(stdProdLT(Main[[#This Row],[Comments]])=0.1,"N/A",IF(stdProdLT(Main[[#This Row],[Comments]])=0,"",stdProdLT(Main[[#This Row],[Comments]])))</f>
        <v/>
      </c>
      <c r="H797" s="68" t="str">
        <f>IF(AND(Main[[#This Row],[In Stock Date]]&lt;&gt;"",Main[[#This Row],[Revised Due Date]]&lt;&gt;""),Main[[#This Row],[In Stock Date]]-Main[[#This Row],[Revised Due Date]],"")</f>
        <v/>
      </c>
      <c r="I797" s="65" t="s">
        <v>4</v>
      </c>
      <c r="J797" s="65" t="s">
        <v>4</v>
      </c>
      <c r="K797" s="65" t="s">
        <v>4</v>
      </c>
      <c r="L797" s="67"/>
      <c r="M797" s="69" t="str">
        <f>IF(Main[[#This Row],[Tech Start Date]]&lt;1/1/1990,"",IF(Main[[#This Row],[Class]]="C",WORKDAY(Main[[#This Row],[Tech Start Date]],9),IF(Main[[#This Row],[Class]]="B", WORKDAY(Main[[#This Row],[Tech Start Date]],6),IF(Main[[#This Row],[Class]]="A",WORKDAY(Main[[#This Row],[Tech Start Date]],2),""))))</f>
        <v/>
      </c>
      <c r="N797" s="69" t="str">
        <f>IF(Main[[#This Row],[Tech Start Date]]&lt;1/1/1990,"",IF(Main[[#This Row],[Class]]="C",WORKDAY(Main[[#This Row],[Tech Start Date]],19),IF(Main[[#This Row],[Class]]="B", WORKDAY(Main[[#This Row],[Tech Start Date]],12),IF(Main[[#This Row],[Class]]="A",WORKDAY(Main[[#This Row],[Tech Start Date]],4),""))))</f>
        <v/>
      </c>
      <c r="O797" s="69" t="str">
        <f>IF(Main[[#This Row],[Tech Start Date]]&lt;1/1/1990,"",IF(Main[[#This Row],[Class]]="C",WORKDAY(Main[[#This Row],[Tech Start Date]],23),IF(Main[[#This Row],[Class]]="B", WORKDAY(Main[[#This Row],[Tech Start Date]],15),IF(Main[[#This Row],[Class]]="A",WORKDAY(Main[[#This Row],[Tech Start Date]],5),""))))</f>
        <v/>
      </c>
      <c r="P797" s="69" t="str">
        <f>IF(Main[[#This Row],[Tech Start Date]]&lt;1/1/1990,"",IF(Main[[#This Row],[Class]]="C",WORKDAY(Main[[#This Row],[Tech Start Date]],28),IF(Main[[#This Row],[Class]]="B", WORKDAY(Main[[#This Row],[Tech Start Date]],19),IF(Main[[#This Row],[Class]]="A",WORKDAY(Main[[#This Row],[Tech Start Date]],9),""))))</f>
        <v/>
      </c>
      <c r="Q797" s="67"/>
      <c r="R797" s="67"/>
      <c r="S797" s="65" t="s">
        <v>11</v>
      </c>
      <c r="T797" s="70" t="s">
        <v>4</v>
      </c>
      <c r="U797" s="65" t="s">
        <v>14</v>
      </c>
      <c r="V797" s="65" t="s">
        <v>1914</v>
      </c>
      <c r="W797" s="65" t="s">
        <v>1925</v>
      </c>
      <c r="X797" s="65" t="s">
        <v>2820</v>
      </c>
      <c r="Y797" s="65" t="s">
        <v>3092</v>
      </c>
      <c r="Z797" s="65" t="s">
        <v>4</v>
      </c>
      <c r="AA797" s="65" t="s">
        <v>3433</v>
      </c>
    </row>
    <row r="798" spans="1:27" ht="17.45" hidden="1" customHeight="1">
      <c r="A798" s="100" t="str">
        <f>IF(priority(Main[[#This Row],[Comments]])&lt;&gt;0, priority(Main[[#This Row],[Comments]]),"")</f>
        <v/>
      </c>
      <c r="B798" s="77" t="s">
        <v>1706</v>
      </c>
      <c r="C798" s="65" t="s">
        <v>4</v>
      </c>
      <c r="D798" s="66" t="s">
        <v>767</v>
      </c>
      <c r="E798" s="67"/>
      <c r="F798" s="67"/>
      <c r="G798" s="64" t="str">
        <f>IF(stdProdLT(Main[[#This Row],[Comments]])=0.1,"N/A",IF(stdProdLT(Main[[#This Row],[Comments]])=0,"",stdProdLT(Main[[#This Row],[Comments]])))</f>
        <v/>
      </c>
      <c r="H798" s="68" t="str">
        <f>IF(AND(Main[[#This Row],[In Stock Date]]&lt;&gt;"",Main[[#This Row],[Revised Due Date]]&lt;&gt;""),Main[[#This Row],[In Stock Date]]-Main[[#This Row],[Revised Due Date]],"")</f>
        <v/>
      </c>
      <c r="I798" s="65" t="s">
        <v>4</v>
      </c>
      <c r="J798" s="65" t="s">
        <v>4</v>
      </c>
      <c r="K798" s="65" t="s">
        <v>4</v>
      </c>
      <c r="L798" s="67"/>
      <c r="M798" s="69" t="str">
        <f>IF(Main[[#This Row],[Tech Start Date]]&lt;1/1/1990,"",IF(Main[[#This Row],[Class]]="C",WORKDAY(Main[[#This Row],[Tech Start Date]],9),IF(Main[[#This Row],[Class]]="B", WORKDAY(Main[[#This Row],[Tech Start Date]],6),IF(Main[[#This Row],[Class]]="A",WORKDAY(Main[[#This Row],[Tech Start Date]],2),""))))</f>
        <v/>
      </c>
      <c r="N798" s="69" t="str">
        <f>IF(Main[[#This Row],[Tech Start Date]]&lt;1/1/1990,"",IF(Main[[#This Row],[Class]]="C",WORKDAY(Main[[#This Row],[Tech Start Date]],19),IF(Main[[#This Row],[Class]]="B", WORKDAY(Main[[#This Row],[Tech Start Date]],12),IF(Main[[#This Row],[Class]]="A",WORKDAY(Main[[#This Row],[Tech Start Date]],4),""))))</f>
        <v/>
      </c>
      <c r="O798" s="69" t="str">
        <f>IF(Main[[#This Row],[Tech Start Date]]&lt;1/1/1990,"",IF(Main[[#This Row],[Class]]="C",WORKDAY(Main[[#This Row],[Tech Start Date]],23),IF(Main[[#This Row],[Class]]="B", WORKDAY(Main[[#This Row],[Tech Start Date]],15),IF(Main[[#This Row],[Class]]="A",WORKDAY(Main[[#This Row],[Tech Start Date]],5),""))))</f>
        <v/>
      </c>
      <c r="P798" s="69" t="str">
        <f>IF(Main[[#This Row],[Tech Start Date]]&lt;1/1/1990,"",IF(Main[[#This Row],[Class]]="C",WORKDAY(Main[[#This Row],[Tech Start Date]],28),IF(Main[[#This Row],[Class]]="B", WORKDAY(Main[[#This Row],[Tech Start Date]],19),IF(Main[[#This Row],[Class]]="A",WORKDAY(Main[[#This Row],[Tech Start Date]],9),""))))</f>
        <v/>
      </c>
      <c r="Q798" s="67"/>
      <c r="R798" s="67"/>
      <c r="S798" s="65" t="s">
        <v>17</v>
      </c>
      <c r="T798" s="70" t="s">
        <v>4</v>
      </c>
      <c r="U798" s="65" t="s">
        <v>14</v>
      </c>
      <c r="V798" s="65" t="s">
        <v>1917</v>
      </c>
      <c r="W798" s="65" t="s">
        <v>4</v>
      </c>
      <c r="X798" s="65" t="s">
        <v>306</v>
      </c>
      <c r="Y798" s="65" t="s">
        <v>4</v>
      </c>
      <c r="Z798" s="65" t="s">
        <v>4</v>
      </c>
      <c r="AA798" s="65" t="s">
        <v>3438</v>
      </c>
    </row>
    <row r="799" spans="1:27" ht="17.45" hidden="1" customHeight="1">
      <c r="A799" s="100" t="str">
        <f>IF(priority(Main[[#This Row],[Comments]])&lt;&gt;0, priority(Main[[#This Row],[Comments]]),"")</f>
        <v/>
      </c>
      <c r="B799" s="77" t="s">
        <v>1707</v>
      </c>
      <c r="C799" s="65" t="s">
        <v>58</v>
      </c>
      <c r="D799" s="66" t="s">
        <v>202</v>
      </c>
      <c r="E799" s="67"/>
      <c r="F799" s="67">
        <v>40697</v>
      </c>
      <c r="G799" s="64" t="str">
        <f>IF(stdProdLT(Main[[#This Row],[Comments]])=0.1,"N/A",IF(stdProdLT(Main[[#This Row],[Comments]])=0,"",stdProdLT(Main[[#This Row],[Comments]])))</f>
        <v/>
      </c>
      <c r="H799" s="68" t="str">
        <f>IF(AND(Main[[#This Row],[In Stock Date]]&lt;&gt;"",Main[[#This Row],[Revised Due Date]]&lt;&gt;""),Main[[#This Row],[In Stock Date]]-Main[[#This Row],[Revised Due Date]],"")</f>
        <v/>
      </c>
      <c r="I799" s="65" t="s">
        <v>4</v>
      </c>
      <c r="J799" s="65" t="s">
        <v>4</v>
      </c>
      <c r="K799" s="65" t="s">
        <v>4</v>
      </c>
      <c r="L799" s="67"/>
      <c r="M799" s="69" t="str">
        <f>IF(Main[[#This Row],[Tech Start Date]]&lt;1/1/1990,"",IF(Main[[#This Row],[Class]]="C",WORKDAY(Main[[#This Row],[Tech Start Date]],9),IF(Main[[#This Row],[Class]]="B", WORKDAY(Main[[#This Row],[Tech Start Date]],6),IF(Main[[#This Row],[Class]]="A",WORKDAY(Main[[#This Row],[Tech Start Date]],2),""))))</f>
        <v/>
      </c>
      <c r="N799" s="69" t="str">
        <f>IF(Main[[#This Row],[Tech Start Date]]&lt;1/1/1990,"",IF(Main[[#This Row],[Class]]="C",WORKDAY(Main[[#This Row],[Tech Start Date]],19),IF(Main[[#This Row],[Class]]="B", WORKDAY(Main[[#This Row],[Tech Start Date]],12),IF(Main[[#This Row],[Class]]="A",WORKDAY(Main[[#This Row],[Tech Start Date]],4),""))))</f>
        <v/>
      </c>
      <c r="O799" s="69" t="str">
        <f>IF(Main[[#This Row],[Tech Start Date]]&lt;1/1/1990,"",IF(Main[[#This Row],[Class]]="C",WORKDAY(Main[[#This Row],[Tech Start Date]],23),IF(Main[[#This Row],[Class]]="B", WORKDAY(Main[[#This Row],[Tech Start Date]],15),IF(Main[[#This Row],[Class]]="A",WORKDAY(Main[[#This Row],[Tech Start Date]],5),""))))</f>
        <v/>
      </c>
      <c r="P799" s="69" t="str">
        <f>IF(Main[[#This Row],[Tech Start Date]]&lt;1/1/1990,"",IF(Main[[#This Row],[Class]]="C",WORKDAY(Main[[#This Row],[Tech Start Date]],28),IF(Main[[#This Row],[Class]]="B", WORKDAY(Main[[#This Row],[Tech Start Date]],19),IF(Main[[#This Row],[Class]]="A",WORKDAY(Main[[#This Row],[Tech Start Date]],9),""))))</f>
        <v/>
      </c>
      <c r="Q799" s="67">
        <v>40539</v>
      </c>
      <c r="R799" s="67"/>
      <c r="S799" s="65" t="s">
        <v>11</v>
      </c>
      <c r="T799" s="70" t="s">
        <v>4</v>
      </c>
      <c r="U799" s="65" t="s">
        <v>14</v>
      </c>
      <c r="V799" s="65" t="s">
        <v>1914</v>
      </c>
      <c r="W799" s="65" t="s">
        <v>1920</v>
      </c>
      <c r="X799" s="65" t="s">
        <v>2829</v>
      </c>
      <c r="Y799" s="65" t="s">
        <v>2951</v>
      </c>
      <c r="Z799" s="65" t="s">
        <v>4</v>
      </c>
      <c r="AA799" s="65" t="s">
        <v>2829</v>
      </c>
    </row>
    <row r="800" spans="1:27" ht="17.45" hidden="1" customHeight="1">
      <c r="A800" s="100" t="str">
        <f>IF(priority(Main[[#This Row],[Comments]])&lt;&gt;0, priority(Main[[#This Row],[Comments]]),"")</f>
        <v/>
      </c>
      <c r="B800" s="77" t="s">
        <v>1724</v>
      </c>
      <c r="C800" s="65" t="s">
        <v>779</v>
      </c>
      <c r="D800" s="66" t="s">
        <v>780</v>
      </c>
      <c r="E800" s="67"/>
      <c r="F800" s="67">
        <v>40591</v>
      </c>
      <c r="G800" s="64" t="str">
        <f>IF(stdProdLT(Main[[#This Row],[Comments]])=0.1,"N/A",IF(stdProdLT(Main[[#This Row],[Comments]])=0,"",stdProdLT(Main[[#This Row],[Comments]])))</f>
        <v/>
      </c>
      <c r="H800" s="68" t="str">
        <f>IF(AND(Main[[#This Row],[In Stock Date]]&lt;&gt;"",Main[[#This Row],[Revised Due Date]]&lt;&gt;""),Main[[#This Row],[In Stock Date]]-Main[[#This Row],[Revised Due Date]],"")</f>
        <v/>
      </c>
      <c r="I800" s="65" t="s">
        <v>4</v>
      </c>
      <c r="J800" s="65" t="s">
        <v>4</v>
      </c>
      <c r="K800" s="65" t="s">
        <v>1926</v>
      </c>
      <c r="L800" s="67"/>
      <c r="M800" s="69" t="str">
        <f>IF(Main[[#This Row],[Tech Start Date]]&lt;1/1/1990,"",IF(Main[[#This Row],[Class]]="C",WORKDAY(Main[[#This Row],[Tech Start Date]],9),IF(Main[[#This Row],[Class]]="B", WORKDAY(Main[[#This Row],[Tech Start Date]],6),IF(Main[[#This Row],[Class]]="A",WORKDAY(Main[[#This Row],[Tech Start Date]],2),""))))</f>
        <v/>
      </c>
      <c r="N800" s="69" t="str">
        <f>IF(Main[[#This Row],[Tech Start Date]]&lt;1/1/1990,"",IF(Main[[#This Row],[Class]]="C",WORKDAY(Main[[#This Row],[Tech Start Date]],19),IF(Main[[#This Row],[Class]]="B", WORKDAY(Main[[#This Row],[Tech Start Date]],12),IF(Main[[#This Row],[Class]]="A",WORKDAY(Main[[#This Row],[Tech Start Date]],4),""))))</f>
        <v/>
      </c>
      <c r="O800" s="69" t="str">
        <f>IF(Main[[#This Row],[Tech Start Date]]&lt;1/1/1990,"",IF(Main[[#This Row],[Class]]="C",WORKDAY(Main[[#This Row],[Tech Start Date]],23),IF(Main[[#This Row],[Class]]="B", WORKDAY(Main[[#This Row],[Tech Start Date]],15),IF(Main[[#This Row],[Class]]="A",WORKDAY(Main[[#This Row],[Tech Start Date]],5),""))))</f>
        <v/>
      </c>
      <c r="P800" s="69" t="str">
        <f>IF(Main[[#This Row],[Tech Start Date]]&lt;1/1/1990,"",IF(Main[[#This Row],[Class]]="C",WORKDAY(Main[[#This Row],[Tech Start Date]],28),IF(Main[[#This Row],[Class]]="B", WORKDAY(Main[[#This Row],[Tech Start Date]],19),IF(Main[[#This Row],[Class]]="A",WORKDAY(Main[[#This Row],[Tech Start Date]],9),""))))</f>
        <v/>
      </c>
      <c r="Q800" s="67">
        <v>40514</v>
      </c>
      <c r="R800" s="67"/>
      <c r="S800" s="65" t="s">
        <v>11</v>
      </c>
      <c r="T800" s="70" t="s">
        <v>781</v>
      </c>
      <c r="U800" s="65" t="s">
        <v>14</v>
      </c>
      <c r="V800" s="65" t="s">
        <v>1914</v>
      </c>
      <c r="W800" s="65" t="s">
        <v>1919</v>
      </c>
      <c r="X800" s="65" t="s">
        <v>2904</v>
      </c>
      <c r="Y800" s="65" t="s">
        <v>4</v>
      </c>
      <c r="Z800" s="65" t="s">
        <v>4</v>
      </c>
      <c r="AA800" s="65" t="s">
        <v>2904</v>
      </c>
    </row>
    <row r="801" spans="1:27" ht="17.45" hidden="1" customHeight="1">
      <c r="A801" s="100" t="str">
        <f>IF(priority(Main[[#This Row],[Comments]])&lt;&gt;0, priority(Main[[#This Row],[Comments]]),"")</f>
        <v/>
      </c>
      <c r="B801" s="77" t="s">
        <v>1728</v>
      </c>
      <c r="C801" s="65" t="s">
        <v>4</v>
      </c>
      <c r="D801" s="66" t="s">
        <v>784</v>
      </c>
      <c r="E801" s="67">
        <v>40646.604930555557</v>
      </c>
      <c r="F801" s="67"/>
      <c r="G801" s="64" t="str">
        <f>IF(stdProdLT(Main[[#This Row],[Comments]])=0.1,"N/A",IF(stdProdLT(Main[[#This Row],[Comments]])=0,"",stdProdLT(Main[[#This Row],[Comments]])))</f>
        <v/>
      </c>
      <c r="H801" s="68" t="str">
        <f>IF(AND(Main[[#This Row],[In Stock Date]]&lt;&gt;"",Main[[#This Row],[Revised Due Date]]&lt;&gt;""),Main[[#This Row],[In Stock Date]]-Main[[#This Row],[Revised Due Date]],"")</f>
        <v/>
      </c>
      <c r="I801" s="65" t="s">
        <v>4</v>
      </c>
      <c r="J801" s="65" t="s">
        <v>4</v>
      </c>
      <c r="K801" s="71" t="s">
        <v>4</v>
      </c>
      <c r="L801" s="67"/>
      <c r="M801" s="69" t="str">
        <f>IF(Main[[#This Row],[Tech Start Date]]&lt;1/1/1990,"",IF(Main[[#This Row],[Class]]="C",WORKDAY(Main[[#This Row],[Tech Start Date]],9),IF(Main[[#This Row],[Class]]="B", WORKDAY(Main[[#This Row],[Tech Start Date]],6),IF(Main[[#This Row],[Class]]="A",WORKDAY(Main[[#This Row],[Tech Start Date]],2),""))))</f>
        <v/>
      </c>
      <c r="N801" s="69" t="str">
        <f>IF(Main[[#This Row],[Tech Start Date]]&lt;1/1/1990,"",IF(Main[[#This Row],[Class]]="C",WORKDAY(Main[[#This Row],[Tech Start Date]],19),IF(Main[[#This Row],[Class]]="B", WORKDAY(Main[[#This Row],[Tech Start Date]],12),IF(Main[[#This Row],[Class]]="A",WORKDAY(Main[[#This Row],[Tech Start Date]],4),""))))</f>
        <v/>
      </c>
      <c r="O801" s="69" t="str">
        <f>IF(Main[[#This Row],[Tech Start Date]]&lt;1/1/1990,"",IF(Main[[#This Row],[Class]]="C",WORKDAY(Main[[#This Row],[Tech Start Date]],23),IF(Main[[#This Row],[Class]]="B", WORKDAY(Main[[#This Row],[Tech Start Date]],15),IF(Main[[#This Row],[Class]]="A",WORKDAY(Main[[#This Row],[Tech Start Date]],5),""))))</f>
        <v/>
      </c>
      <c r="P801" s="69" t="str">
        <f>IF(Main[[#This Row],[Tech Start Date]]&lt;1/1/1990,"",IF(Main[[#This Row],[Class]]="C",WORKDAY(Main[[#This Row],[Tech Start Date]],28),IF(Main[[#This Row],[Class]]="B", WORKDAY(Main[[#This Row],[Tech Start Date]],19),IF(Main[[#This Row],[Class]]="A",WORKDAY(Main[[#This Row],[Tech Start Date]],9),""))))</f>
        <v/>
      </c>
      <c r="Q801" s="67">
        <v>40683</v>
      </c>
      <c r="R801" s="67"/>
      <c r="S801" s="65" t="s">
        <v>6</v>
      </c>
      <c r="T801" s="70" t="s">
        <v>4</v>
      </c>
      <c r="U801" s="65" t="s">
        <v>7</v>
      </c>
      <c r="V801" s="65" t="s">
        <v>1914</v>
      </c>
      <c r="W801" s="65" t="s">
        <v>4</v>
      </c>
      <c r="X801" s="65" t="s">
        <v>2818</v>
      </c>
      <c r="Y801" s="65" t="s">
        <v>2929</v>
      </c>
      <c r="Z801" s="65" t="s">
        <v>4</v>
      </c>
      <c r="AA801" s="65" t="s">
        <v>2818</v>
      </c>
    </row>
    <row r="802" spans="1:27" ht="17.45" hidden="1" customHeight="1">
      <c r="A802" s="100" t="str">
        <f>IF(priority(Main[[#This Row],[Comments]])&lt;&gt;0, priority(Main[[#This Row],[Comments]]),"")</f>
        <v/>
      </c>
      <c r="B802" s="77" t="s">
        <v>3614</v>
      </c>
      <c r="C802" s="65" t="s">
        <v>4</v>
      </c>
      <c r="D802" s="66" t="s">
        <v>3615</v>
      </c>
      <c r="E802" s="67"/>
      <c r="F802" s="67"/>
      <c r="G802" s="64" t="str">
        <f>IF(stdProdLT(Main[[#This Row],[Comments]])=0.1,"N/A",IF(stdProdLT(Main[[#This Row],[Comments]])=0,"",stdProdLT(Main[[#This Row],[Comments]])))</f>
        <v/>
      </c>
      <c r="H802" s="68" t="str">
        <f>IF(AND(Main[[#This Row],[In Stock Date]]&lt;&gt;"",Main[[#This Row],[Revised Due Date]]&lt;&gt;""),Main[[#This Row],[In Stock Date]]-Main[[#This Row],[Revised Due Date]],"")</f>
        <v/>
      </c>
      <c r="I802" s="65" t="s">
        <v>2044</v>
      </c>
      <c r="J802" s="65" t="s">
        <v>28</v>
      </c>
      <c r="K802" s="65" t="s">
        <v>1923</v>
      </c>
      <c r="L802" s="67"/>
      <c r="M802" s="69" t="str">
        <f>IF(Main[[#This Row],[Tech Start Date]]&lt;1/1/1990,"",IF(Main[[#This Row],[Class]]="C",WORKDAY(Main[[#This Row],[Tech Start Date]],9),IF(Main[[#This Row],[Class]]="B", WORKDAY(Main[[#This Row],[Tech Start Date]],6),IF(Main[[#This Row],[Class]]="A",WORKDAY(Main[[#This Row],[Tech Start Date]],2),""))))</f>
        <v/>
      </c>
      <c r="N802" s="69" t="str">
        <f>IF(Main[[#This Row],[Tech Start Date]]&lt;1/1/1990,"",IF(Main[[#This Row],[Class]]="C",WORKDAY(Main[[#This Row],[Tech Start Date]],19),IF(Main[[#This Row],[Class]]="B", WORKDAY(Main[[#This Row],[Tech Start Date]],12),IF(Main[[#This Row],[Class]]="A",WORKDAY(Main[[#This Row],[Tech Start Date]],4),""))))</f>
        <v/>
      </c>
      <c r="O802" s="69" t="str">
        <f>IF(Main[[#This Row],[Tech Start Date]]&lt;1/1/1990,"",IF(Main[[#This Row],[Class]]="C",WORKDAY(Main[[#This Row],[Tech Start Date]],23),IF(Main[[#This Row],[Class]]="B", WORKDAY(Main[[#This Row],[Tech Start Date]],15),IF(Main[[#This Row],[Class]]="A",WORKDAY(Main[[#This Row],[Tech Start Date]],5),""))))</f>
        <v/>
      </c>
      <c r="P802" s="69" t="str">
        <f>IF(Main[[#This Row],[Tech Start Date]]&lt;1/1/1990,"",IF(Main[[#This Row],[Class]]="C",WORKDAY(Main[[#This Row],[Tech Start Date]],28),IF(Main[[#This Row],[Class]]="B", WORKDAY(Main[[#This Row],[Tech Start Date]],19),IF(Main[[#This Row],[Class]]="A",WORKDAY(Main[[#This Row],[Tech Start Date]],9),""))))</f>
        <v/>
      </c>
      <c r="Q802" s="67">
        <v>40964</v>
      </c>
      <c r="R802" s="67"/>
      <c r="S802" s="65" t="s">
        <v>6</v>
      </c>
      <c r="T802" s="70" t="s">
        <v>4</v>
      </c>
      <c r="U802" s="65" t="s">
        <v>14</v>
      </c>
      <c r="V802" s="65" t="s">
        <v>1924</v>
      </c>
      <c r="W802" s="65" t="s">
        <v>1918</v>
      </c>
      <c r="X802" s="65" t="s">
        <v>2044</v>
      </c>
      <c r="Y802" s="65" t="s">
        <v>3156</v>
      </c>
      <c r="Z802" s="65" t="s">
        <v>30</v>
      </c>
      <c r="AA802" s="65" t="s">
        <v>2044</v>
      </c>
    </row>
    <row r="803" spans="1:27" ht="17.45" hidden="1" customHeight="1">
      <c r="A803" s="100" t="str">
        <f>IF(priority(Main[[#This Row],[Comments]])&lt;&gt;0, priority(Main[[#This Row],[Comments]]),"")</f>
        <v/>
      </c>
      <c r="B803" s="77" t="s">
        <v>1730</v>
      </c>
      <c r="C803" s="65" t="s">
        <v>4</v>
      </c>
      <c r="D803" s="66" t="s">
        <v>785</v>
      </c>
      <c r="E803" s="67">
        <v>40584.401712962965</v>
      </c>
      <c r="F803" s="67">
        <v>40602</v>
      </c>
      <c r="G803" s="64" t="str">
        <f>IF(stdProdLT(Main[[#This Row],[Comments]])=0.1,"N/A",IF(stdProdLT(Main[[#This Row],[Comments]])=0,"",stdProdLT(Main[[#This Row],[Comments]])))</f>
        <v/>
      </c>
      <c r="H803" s="68" t="str">
        <f>IF(AND(Main[[#This Row],[In Stock Date]]&lt;&gt;"",Main[[#This Row],[Revised Due Date]]&lt;&gt;""),Main[[#This Row],[In Stock Date]]-Main[[#This Row],[Revised Due Date]],"")</f>
        <v/>
      </c>
      <c r="I803" s="65" t="s">
        <v>4</v>
      </c>
      <c r="J803" s="65" t="s">
        <v>28</v>
      </c>
      <c r="K803" s="71" t="s">
        <v>1926</v>
      </c>
      <c r="L803" s="67"/>
      <c r="M803" s="69" t="str">
        <f>IF(Main[[#This Row],[Tech Start Date]]&lt;1/1/1990,"",IF(Main[[#This Row],[Class]]="C",WORKDAY(Main[[#This Row],[Tech Start Date]],9),IF(Main[[#This Row],[Class]]="B", WORKDAY(Main[[#This Row],[Tech Start Date]],6),IF(Main[[#This Row],[Class]]="A",WORKDAY(Main[[#This Row],[Tech Start Date]],2),""))))</f>
        <v/>
      </c>
      <c r="N803" s="69" t="str">
        <f>IF(Main[[#This Row],[Tech Start Date]]&lt;1/1/1990,"",IF(Main[[#This Row],[Class]]="C",WORKDAY(Main[[#This Row],[Tech Start Date]],19),IF(Main[[#This Row],[Class]]="B", WORKDAY(Main[[#This Row],[Tech Start Date]],12),IF(Main[[#This Row],[Class]]="A",WORKDAY(Main[[#This Row],[Tech Start Date]],4),""))))</f>
        <v/>
      </c>
      <c r="O803" s="69" t="str">
        <f>IF(Main[[#This Row],[Tech Start Date]]&lt;1/1/1990,"",IF(Main[[#This Row],[Class]]="C",WORKDAY(Main[[#This Row],[Tech Start Date]],23),IF(Main[[#This Row],[Class]]="B", WORKDAY(Main[[#This Row],[Tech Start Date]],15),IF(Main[[#This Row],[Class]]="A",WORKDAY(Main[[#This Row],[Tech Start Date]],5),""))))</f>
        <v/>
      </c>
      <c r="P803" s="69" t="str">
        <f>IF(Main[[#This Row],[Tech Start Date]]&lt;1/1/1990,"",IF(Main[[#This Row],[Class]]="C",WORKDAY(Main[[#This Row],[Tech Start Date]],28),IF(Main[[#This Row],[Class]]="B", WORKDAY(Main[[#This Row],[Tech Start Date]],19),IF(Main[[#This Row],[Class]]="A",WORKDAY(Main[[#This Row],[Tech Start Date]],9),""))))</f>
        <v/>
      </c>
      <c r="Q803" s="67">
        <v>40602</v>
      </c>
      <c r="R803" s="67"/>
      <c r="S803" s="65" t="s">
        <v>17</v>
      </c>
      <c r="T803" s="70" t="s">
        <v>4</v>
      </c>
      <c r="U803" s="65" t="s">
        <v>7</v>
      </c>
      <c r="V803" s="65" t="s">
        <v>1914</v>
      </c>
      <c r="W803" s="65" t="s">
        <v>1922</v>
      </c>
      <c r="X803" s="65" t="s">
        <v>2828</v>
      </c>
      <c r="Y803" s="65" t="s">
        <v>2950</v>
      </c>
      <c r="Z803" s="65" t="s">
        <v>129</v>
      </c>
      <c r="AA803" s="65" t="s">
        <v>2828</v>
      </c>
    </row>
    <row r="804" spans="1:27" ht="17.45" hidden="1" customHeight="1">
      <c r="A804" s="100" t="str">
        <f>IF(priority(Main[[#This Row],[Comments]])&lt;&gt;0, priority(Main[[#This Row],[Comments]]),"")</f>
        <v/>
      </c>
      <c r="B804" s="77" t="s">
        <v>2085</v>
      </c>
      <c r="C804" s="65" t="s">
        <v>4</v>
      </c>
      <c r="D804" s="66" t="s">
        <v>2396</v>
      </c>
      <c r="E804" s="67">
        <v>40764.689201388886</v>
      </c>
      <c r="F804" s="67"/>
      <c r="G804" s="64" t="str">
        <f>IF(stdProdLT(Main[[#This Row],[Comments]])=0.1,"N/A",IF(stdProdLT(Main[[#This Row],[Comments]])=0,"",stdProdLT(Main[[#This Row],[Comments]])))</f>
        <v/>
      </c>
      <c r="H804" s="68" t="str">
        <f>IF(AND(Main[[#This Row],[In Stock Date]]&lt;&gt;"",Main[[#This Row],[Revised Due Date]]&lt;&gt;""),Main[[#This Row],[In Stock Date]]-Main[[#This Row],[Revised Due Date]],"")</f>
        <v/>
      </c>
      <c r="I804" s="65" t="s">
        <v>4</v>
      </c>
      <c r="J804" s="65" t="s">
        <v>4</v>
      </c>
      <c r="K804" s="71" t="s">
        <v>4</v>
      </c>
      <c r="L804" s="67"/>
      <c r="M804" s="69" t="str">
        <f>IF(Main[[#This Row],[Tech Start Date]]&lt;1/1/1990,"",IF(Main[[#This Row],[Class]]="C",WORKDAY(Main[[#This Row],[Tech Start Date]],9),IF(Main[[#This Row],[Class]]="B", WORKDAY(Main[[#This Row],[Tech Start Date]],6),IF(Main[[#This Row],[Class]]="A",WORKDAY(Main[[#This Row],[Tech Start Date]],2),""))))</f>
        <v/>
      </c>
      <c r="N804" s="69" t="str">
        <f>IF(Main[[#This Row],[Tech Start Date]]&lt;1/1/1990,"",IF(Main[[#This Row],[Class]]="C",WORKDAY(Main[[#This Row],[Tech Start Date]],19),IF(Main[[#This Row],[Class]]="B", WORKDAY(Main[[#This Row],[Tech Start Date]],12),IF(Main[[#This Row],[Class]]="A",WORKDAY(Main[[#This Row],[Tech Start Date]],4),""))))</f>
        <v/>
      </c>
      <c r="O804" s="69" t="str">
        <f>IF(Main[[#This Row],[Tech Start Date]]&lt;1/1/1990,"",IF(Main[[#This Row],[Class]]="C",WORKDAY(Main[[#This Row],[Tech Start Date]],23),IF(Main[[#This Row],[Class]]="B", WORKDAY(Main[[#This Row],[Tech Start Date]],15),IF(Main[[#This Row],[Class]]="A",WORKDAY(Main[[#This Row],[Tech Start Date]],5),""))))</f>
        <v/>
      </c>
      <c r="P804" s="69" t="str">
        <f>IF(Main[[#This Row],[Tech Start Date]]&lt;1/1/1990,"",IF(Main[[#This Row],[Class]]="C",WORKDAY(Main[[#This Row],[Tech Start Date]],28),IF(Main[[#This Row],[Class]]="B", WORKDAY(Main[[#This Row],[Tech Start Date]],19),IF(Main[[#This Row],[Class]]="A",WORKDAY(Main[[#This Row],[Tech Start Date]],9),""))))</f>
        <v/>
      </c>
      <c r="Q804" s="67"/>
      <c r="R804" s="67"/>
      <c r="S804" s="65" t="s">
        <v>6</v>
      </c>
      <c r="T804" s="70" t="s">
        <v>4</v>
      </c>
      <c r="U804" s="65" t="s">
        <v>7</v>
      </c>
      <c r="V804" s="65" t="s">
        <v>1915</v>
      </c>
      <c r="W804" s="65" t="s">
        <v>1916</v>
      </c>
      <c r="X804" s="65" t="s">
        <v>306</v>
      </c>
      <c r="Y804" s="65" t="s">
        <v>4</v>
      </c>
      <c r="Z804" s="65" t="s">
        <v>4</v>
      </c>
      <c r="AA804" s="65" t="s">
        <v>4</v>
      </c>
    </row>
    <row r="805" spans="1:27" ht="17.45" hidden="1" customHeight="1">
      <c r="A805" s="100" t="str">
        <f>IF(priority(Main[[#This Row],[Comments]])&lt;&gt;0, priority(Main[[#This Row],[Comments]]),"")</f>
        <v/>
      </c>
      <c r="B805" s="77" t="s">
        <v>1731</v>
      </c>
      <c r="C805" s="65" t="s">
        <v>4</v>
      </c>
      <c r="D805" s="66" t="s">
        <v>786</v>
      </c>
      <c r="E805" s="67">
        <v>40371.351643518516</v>
      </c>
      <c r="F805" s="67"/>
      <c r="G805" s="64" t="str">
        <f>IF(stdProdLT(Main[[#This Row],[Comments]])=0.1,"N/A",IF(stdProdLT(Main[[#This Row],[Comments]])=0,"",stdProdLT(Main[[#This Row],[Comments]])))</f>
        <v/>
      </c>
      <c r="H805" s="68" t="str">
        <f>IF(AND(Main[[#This Row],[In Stock Date]]&lt;&gt;"",Main[[#This Row],[Revised Due Date]]&lt;&gt;""),Main[[#This Row],[In Stock Date]]-Main[[#This Row],[Revised Due Date]],"")</f>
        <v/>
      </c>
      <c r="I805" s="65" t="s">
        <v>4</v>
      </c>
      <c r="J805" s="65" t="s">
        <v>4</v>
      </c>
      <c r="K805" s="65" t="s">
        <v>4</v>
      </c>
      <c r="L805" s="67"/>
      <c r="M805" s="69" t="str">
        <f>IF(Main[[#This Row],[Tech Start Date]]&lt;1/1/1990,"",IF(Main[[#This Row],[Class]]="C",WORKDAY(Main[[#This Row],[Tech Start Date]],9),IF(Main[[#This Row],[Class]]="B", WORKDAY(Main[[#This Row],[Tech Start Date]],6),IF(Main[[#This Row],[Class]]="A",WORKDAY(Main[[#This Row],[Tech Start Date]],2),""))))</f>
        <v/>
      </c>
      <c r="N805" s="69" t="str">
        <f>IF(Main[[#This Row],[Tech Start Date]]&lt;1/1/1990,"",IF(Main[[#This Row],[Class]]="C",WORKDAY(Main[[#This Row],[Tech Start Date]],19),IF(Main[[#This Row],[Class]]="B", WORKDAY(Main[[#This Row],[Tech Start Date]],12),IF(Main[[#This Row],[Class]]="A",WORKDAY(Main[[#This Row],[Tech Start Date]],4),""))))</f>
        <v/>
      </c>
      <c r="O805" s="69" t="str">
        <f>IF(Main[[#This Row],[Tech Start Date]]&lt;1/1/1990,"",IF(Main[[#This Row],[Class]]="C",WORKDAY(Main[[#This Row],[Tech Start Date]],23),IF(Main[[#This Row],[Class]]="B", WORKDAY(Main[[#This Row],[Tech Start Date]],15),IF(Main[[#This Row],[Class]]="A",WORKDAY(Main[[#This Row],[Tech Start Date]],5),""))))</f>
        <v/>
      </c>
      <c r="P805" s="69" t="str">
        <f>IF(Main[[#This Row],[Tech Start Date]]&lt;1/1/1990,"",IF(Main[[#This Row],[Class]]="C",WORKDAY(Main[[#This Row],[Tech Start Date]],28),IF(Main[[#This Row],[Class]]="B", WORKDAY(Main[[#This Row],[Tech Start Date]],19),IF(Main[[#This Row],[Class]]="A",WORKDAY(Main[[#This Row],[Tech Start Date]],9),""))))</f>
        <v/>
      </c>
      <c r="Q805" s="67">
        <v>40385</v>
      </c>
      <c r="R805" s="67"/>
      <c r="S805" s="65" t="s">
        <v>6</v>
      </c>
      <c r="T805" s="70" t="s">
        <v>4</v>
      </c>
      <c r="U805" s="65" t="s">
        <v>7</v>
      </c>
      <c r="V805" s="65" t="s">
        <v>1914</v>
      </c>
      <c r="W805" s="65" t="s">
        <v>1916</v>
      </c>
      <c r="X805" s="65" t="s">
        <v>102</v>
      </c>
      <c r="Y805" s="65" t="s">
        <v>3032</v>
      </c>
      <c r="Z805" s="65" t="s">
        <v>4</v>
      </c>
      <c r="AA805" s="65" t="s">
        <v>3397</v>
      </c>
    </row>
    <row r="806" spans="1:27" ht="17.45" hidden="1" customHeight="1">
      <c r="A806" s="100" t="str">
        <f>IF(priority(Main[[#This Row],[Comments]])&lt;&gt;0, priority(Main[[#This Row],[Comments]]),"")</f>
        <v/>
      </c>
      <c r="B806" s="77" t="s">
        <v>1756</v>
      </c>
      <c r="C806" s="65" t="s">
        <v>4</v>
      </c>
      <c r="D806" s="66" t="s">
        <v>794</v>
      </c>
      <c r="E806" s="67"/>
      <c r="F806" s="67"/>
      <c r="G806" s="64" t="str">
        <f>IF(stdProdLT(Main[[#This Row],[Comments]])=0.1,"N/A",IF(stdProdLT(Main[[#This Row],[Comments]])=0,"",stdProdLT(Main[[#This Row],[Comments]])))</f>
        <v/>
      </c>
      <c r="H806" s="68" t="str">
        <f>IF(AND(Main[[#This Row],[In Stock Date]]&lt;&gt;"",Main[[#This Row],[Revised Due Date]]&lt;&gt;""),Main[[#This Row],[In Stock Date]]-Main[[#This Row],[Revised Due Date]],"")</f>
        <v/>
      </c>
      <c r="I806" s="65" t="s">
        <v>4</v>
      </c>
      <c r="J806" s="65" t="s">
        <v>4</v>
      </c>
      <c r="K806" s="71" t="s">
        <v>4</v>
      </c>
      <c r="L806" s="67"/>
      <c r="M806" s="69" t="str">
        <f>IF(Main[[#This Row],[Tech Start Date]]&lt;1/1/1990,"",IF(Main[[#This Row],[Class]]="C",WORKDAY(Main[[#This Row],[Tech Start Date]],9),IF(Main[[#This Row],[Class]]="B", WORKDAY(Main[[#This Row],[Tech Start Date]],6),IF(Main[[#This Row],[Class]]="A",WORKDAY(Main[[#This Row],[Tech Start Date]],2),""))))</f>
        <v/>
      </c>
      <c r="N806" s="69" t="str">
        <f>IF(Main[[#This Row],[Tech Start Date]]&lt;1/1/1990,"",IF(Main[[#This Row],[Class]]="C",WORKDAY(Main[[#This Row],[Tech Start Date]],19),IF(Main[[#This Row],[Class]]="B", WORKDAY(Main[[#This Row],[Tech Start Date]],12),IF(Main[[#This Row],[Class]]="A",WORKDAY(Main[[#This Row],[Tech Start Date]],4),""))))</f>
        <v/>
      </c>
      <c r="O806" s="69" t="str">
        <f>IF(Main[[#This Row],[Tech Start Date]]&lt;1/1/1990,"",IF(Main[[#This Row],[Class]]="C",WORKDAY(Main[[#This Row],[Tech Start Date]],23),IF(Main[[#This Row],[Class]]="B", WORKDAY(Main[[#This Row],[Tech Start Date]],15),IF(Main[[#This Row],[Class]]="A",WORKDAY(Main[[#This Row],[Tech Start Date]],5),""))))</f>
        <v/>
      </c>
      <c r="P806" s="69" t="str">
        <f>IF(Main[[#This Row],[Tech Start Date]]&lt;1/1/1990,"",IF(Main[[#This Row],[Class]]="C",WORKDAY(Main[[#This Row],[Tech Start Date]],28),IF(Main[[#This Row],[Class]]="B", WORKDAY(Main[[#This Row],[Tech Start Date]],19),IF(Main[[#This Row],[Class]]="A",WORKDAY(Main[[#This Row],[Tech Start Date]],9),""))))</f>
        <v/>
      </c>
      <c r="Q806" s="67"/>
      <c r="R806" s="67"/>
      <c r="S806" s="65" t="s">
        <v>23</v>
      </c>
      <c r="T806" s="70" t="s">
        <v>4</v>
      </c>
      <c r="U806" s="65" t="s">
        <v>14</v>
      </c>
      <c r="V806" s="65" t="s">
        <v>1917</v>
      </c>
      <c r="W806" s="65" t="s">
        <v>1918</v>
      </c>
      <c r="X806" s="65" t="s">
        <v>306</v>
      </c>
      <c r="Y806" s="65" t="s">
        <v>4</v>
      </c>
      <c r="Z806" s="65" t="s">
        <v>4</v>
      </c>
      <c r="AA806" s="65" t="s">
        <v>4</v>
      </c>
    </row>
    <row r="807" spans="1:27" ht="17.45" hidden="1" customHeight="1">
      <c r="A807" s="100" t="str">
        <f>IF(priority(Main[[#This Row],[Comments]])&lt;&gt;0, priority(Main[[#This Row],[Comments]]),"")</f>
        <v/>
      </c>
      <c r="B807" s="77" t="s">
        <v>1757</v>
      </c>
      <c r="C807" s="65" t="s">
        <v>122</v>
      </c>
      <c r="D807" s="66" t="s">
        <v>795</v>
      </c>
      <c r="E807" s="67"/>
      <c r="F807" s="67"/>
      <c r="G807" s="64" t="str">
        <f>IF(stdProdLT(Main[[#This Row],[Comments]])=0.1,"N/A",IF(stdProdLT(Main[[#This Row],[Comments]])=0,"",stdProdLT(Main[[#This Row],[Comments]])))</f>
        <v/>
      </c>
      <c r="H807" s="68" t="str">
        <f>IF(AND(Main[[#This Row],[In Stock Date]]&lt;&gt;"",Main[[#This Row],[Revised Due Date]]&lt;&gt;""),Main[[#This Row],[In Stock Date]]-Main[[#This Row],[Revised Due Date]],"")</f>
        <v/>
      </c>
      <c r="I807" s="65" t="s">
        <v>4</v>
      </c>
      <c r="J807" s="65" t="s">
        <v>4</v>
      </c>
      <c r="K807" s="71" t="s">
        <v>4</v>
      </c>
      <c r="L807" s="67"/>
      <c r="M807" s="69" t="str">
        <f>IF(Main[[#This Row],[Tech Start Date]]&lt;1/1/1990,"",IF(Main[[#This Row],[Class]]="C",WORKDAY(Main[[#This Row],[Tech Start Date]],9),IF(Main[[#This Row],[Class]]="B", WORKDAY(Main[[#This Row],[Tech Start Date]],6),IF(Main[[#This Row],[Class]]="A",WORKDAY(Main[[#This Row],[Tech Start Date]],2),""))))</f>
        <v/>
      </c>
      <c r="N807" s="69" t="str">
        <f>IF(Main[[#This Row],[Tech Start Date]]&lt;1/1/1990,"",IF(Main[[#This Row],[Class]]="C",WORKDAY(Main[[#This Row],[Tech Start Date]],19),IF(Main[[#This Row],[Class]]="B", WORKDAY(Main[[#This Row],[Tech Start Date]],12),IF(Main[[#This Row],[Class]]="A",WORKDAY(Main[[#This Row],[Tech Start Date]],4),""))))</f>
        <v/>
      </c>
      <c r="O807" s="69" t="str">
        <f>IF(Main[[#This Row],[Tech Start Date]]&lt;1/1/1990,"",IF(Main[[#This Row],[Class]]="C",WORKDAY(Main[[#This Row],[Tech Start Date]],23),IF(Main[[#This Row],[Class]]="B", WORKDAY(Main[[#This Row],[Tech Start Date]],15),IF(Main[[#This Row],[Class]]="A",WORKDAY(Main[[#This Row],[Tech Start Date]],5),""))))</f>
        <v/>
      </c>
      <c r="P807" s="69" t="str">
        <f>IF(Main[[#This Row],[Tech Start Date]]&lt;1/1/1990,"",IF(Main[[#This Row],[Class]]="C",WORKDAY(Main[[#This Row],[Tech Start Date]],28),IF(Main[[#This Row],[Class]]="B", WORKDAY(Main[[#This Row],[Tech Start Date]],19),IF(Main[[#This Row],[Class]]="A",WORKDAY(Main[[#This Row],[Tech Start Date]],9),""))))</f>
        <v/>
      </c>
      <c r="Q807" s="67">
        <v>40245</v>
      </c>
      <c r="R807" s="67"/>
      <c r="S807" s="65" t="s">
        <v>11</v>
      </c>
      <c r="T807" s="70" t="s">
        <v>4</v>
      </c>
      <c r="U807" s="65" t="s">
        <v>14</v>
      </c>
      <c r="V807" s="65" t="s">
        <v>1917</v>
      </c>
      <c r="W807" s="65" t="s">
        <v>1916</v>
      </c>
      <c r="X807" s="65" t="s">
        <v>2872</v>
      </c>
      <c r="Y807" s="65" t="s">
        <v>4</v>
      </c>
      <c r="Z807" s="65" t="s">
        <v>4</v>
      </c>
      <c r="AA807" s="65" t="s">
        <v>2872</v>
      </c>
    </row>
    <row r="808" spans="1:27" ht="17.45" hidden="1" customHeight="1">
      <c r="A808" s="100" t="str">
        <f>IF(priority(Main[[#This Row],[Comments]])&lt;&gt;0, priority(Main[[#This Row],[Comments]]),"")</f>
        <v/>
      </c>
      <c r="B808" s="77" t="s">
        <v>1733</v>
      </c>
      <c r="C808" s="65" t="s">
        <v>4</v>
      </c>
      <c r="D808" s="66" t="s">
        <v>787</v>
      </c>
      <c r="E808" s="67"/>
      <c r="F808" s="67"/>
      <c r="G808" s="64" t="str">
        <f>IF(stdProdLT(Main[[#This Row],[Comments]])=0.1,"N/A",IF(stdProdLT(Main[[#This Row],[Comments]])=0,"",stdProdLT(Main[[#This Row],[Comments]])))</f>
        <v/>
      </c>
      <c r="H808" s="68" t="str">
        <f>IF(AND(Main[[#This Row],[In Stock Date]]&lt;&gt;"",Main[[#This Row],[Revised Due Date]]&lt;&gt;""),Main[[#This Row],[In Stock Date]]-Main[[#This Row],[Revised Due Date]],"")</f>
        <v/>
      </c>
      <c r="I808" s="65" t="s">
        <v>4</v>
      </c>
      <c r="J808" s="65" t="s">
        <v>28</v>
      </c>
      <c r="K808" s="65" t="s">
        <v>4</v>
      </c>
      <c r="L808" s="67"/>
      <c r="M808" s="69" t="str">
        <f>IF(Main[[#This Row],[Tech Start Date]]&lt;1/1/1990,"",IF(Main[[#This Row],[Class]]="C",WORKDAY(Main[[#This Row],[Tech Start Date]],9),IF(Main[[#This Row],[Class]]="B", WORKDAY(Main[[#This Row],[Tech Start Date]],6),IF(Main[[#This Row],[Class]]="A",WORKDAY(Main[[#This Row],[Tech Start Date]],2),""))))</f>
        <v/>
      </c>
      <c r="N808" s="69" t="str">
        <f>IF(Main[[#This Row],[Tech Start Date]]&lt;1/1/1990,"",IF(Main[[#This Row],[Class]]="C",WORKDAY(Main[[#This Row],[Tech Start Date]],19),IF(Main[[#This Row],[Class]]="B", WORKDAY(Main[[#This Row],[Tech Start Date]],12),IF(Main[[#This Row],[Class]]="A",WORKDAY(Main[[#This Row],[Tech Start Date]],4),""))))</f>
        <v/>
      </c>
      <c r="O808" s="69" t="str">
        <f>IF(Main[[#This Row],[Tech Start Date]]&lt;1/1/1990,"",IF(Main[[#This Row],[Class]]="C",WORKDAY(Main[[#This Row],[Tech Start Date]],23),IF(Main[[#This Row],[Class]]="B", WORKDAY(Main[[#This Row],[Tech Start Date]],15),IF(Main[[#This Row],[Class]]="A",WORKDAY(Main[[#This Row],[Tech Start Date]],5),""))))</f>
        <v/>
      </c>
      <c r="P808" s="69" t="str">
        <f>IF(Main[[#This Row],[Tech Start Date]]&lt;1/1/1990,"",IF(Main[[#This Row],[Class]]="C",WORKDAY(Main[[#This Row],[Tech Start Date]],28),IF(Main[[#This Row],[Class]]="B", WORKDAY(Main[[#This Row],[Tech Start Date]],19),IF(Main[[#This Row],[Class]]="A",WORKDAY(Main[[#This Row],[Tech Start Date]],9),""))))</f>
        <v/>
      </c>
      <c r="Q808" s="67">
        <v>40466</v>
      </c>
      <c r="R808" s="67"/>
      <c r="S808" s="65" t="s">
        <v>6</v>
      </c>
      <c r="T808" s="70" t="s">
        <v>4</v>
      </c>
      <c r="U808" s="65" t="s">
        <v>14</v>
      </c>
      <c r="V808" s="65" t="s">
        <v>1914</v>
      </c>
      <c r="W808" s="65" t="s">
        <v>1918</v>
      </c>
      <c r="X808" s="65" t="s">
        <v>907</v>
      </c>
      <c r="Y808" s="65" t="s">
        <v>3017</v>
      </c>
      <c r="Z808" s="65" t="s">
        <v>129</v>
      </c>
      <c r="AA808" s="65" t="s">
        <v>907</v>
      </c>
    </row>
    <row r="809" spans="1:27" ht="17.45" hidden="1" customHeight="1">
      <c r="A809" s="100" t="str">
        <f>IF(priority(Main[[#This Row],[Comments]])&lt;&gt;0, priority(Main[[#This Row],[Comments]]),"")</f>
        <v/>
      </c>
      <c r="B809" s="77" t="s">
        <v>3334</v>
      </c>
      <c r="C809" s="65" t="s">
        <v>4</v>
      </c>
      <c r="D809" s="66" t="s">
        <v>3616</v>
      </c>
      <c r="E809" s="67">
        <v>40938.727824074071</v>
      </c>
      <c r="F809" s="67"/>
      <c r="G809" s="64" t="str">
        <f>IF(stdProdLT(Main[[#This Row],[Comments]])=0.1,"N/A",IF(stdProdLT(Main[[#This Row],[Comments]])=0,"",stdProdLT(Main[[#This Row],[Comments]])))</f>
        <v/>
      </c>
      <c r="H809" s="68" t="str">
        <f>IF(AND(Main[[#This Row],[In Stock Date]]&lt;&gt;"",Main[[#This Row],[Revised Due Date]]&lt;&gt;""),Main[[#This Row],[In Stock Date]]-Main[[#This Row],[Revised Due Date]],"")</f>
        <v/>
      </c>
      <c r="I809" s="65" t="s">
        <v>81</v>
      </c>
      <c r="J809" s="65" t="s">
        <v>52</v>
      </c>
      <c r="K809" s="65" t="s">
        <v>1923</v>
      </c>
      <c r="L809" s="67"/>
      <c r="M809" s="69" t="str">
        <f>IF(Main[[#This Row],[Tech Start Date]]&lt;1/1/1990,"",IF(Main[[#This Row],[Class]]="C",WORKDAY(Main[[#This Row],[Tech Start Date]],9),IF(Main[[#This Row],[Class]]="B", WORKDAY(Main[[#This Row],[Tech Start Date]],6),IF(Main[[#This Row],[Class]]="A",WORKDAY(Main[[#This Row],[Tech Start Date]],2),""))))</f>
        <v/>
      </c>
      <c r="N809" s="69" t="str">
        <f>IF(Main[[#This Row],[Tech Start Date]]&lt;1/1/1990,"",IF(Main[[#This Row],[Class]]="C",WORKDAY(Main[[#This Row],[Tech Start Date]],19),IF(Main[[#This Row],[Class]]="B", WORKDAY(Main[[#This Row],[Tech Start Date]],12),IF(Main[[#This Row],[Class]]="A",WORKDAY(Main[[#This Row],[Tech Start Date]],4),""))))</f>
        <v/>
      </c>
      <c r="O809" s="69" t="str">
        <f>IF(Main[[#This Row],[Tech Start Date]]&lt;1/1/1990,"",IF(Main[[#This Row],[Class]]="C",WORKDAY(Main[[#This Row],[Tech Start Date]],23),IF(Main[[#This Row],[Class]]="B", WORKDAY(Main[[#This Row],[Tech Start Date]],15),IF(Main[[#This Row],[Class]]="A",WORKDAY(Main[[#This Row],[Tech Start Date]],5),""))))</f>
        <v/>
      </c>
      <c r="P809" s="69" t="str">
        <f>IF(Main[[#This Row],[Tech Start Date]]&lt;1/1/1990,"",IF(Main[[#This Row],[Class]]="C",WORKDAY(Main[[#This Row],[Tech Start Date]],28),IF(Main[[#This Row],[Class]]="B", WORKDAY(Main[[#This Row],[Tech Start Date]],19),IF(Main[[#This Row],[Class]]="A",WORKDAY(Main[[#This Row],[Tech Start Date]],9),""))))</f>
        <v/>
      </c>
      <c r="Q809" s="67">
        <v>40970</v>
      </c>
      <c r="R809" s="67"/>
      <c r="S809" s="65" t="s">
        <v>6</v>
      </c>
      <c r="T809" s="70" t="s">
        <v>4</v>
      </c>
      <c r="U809" s="65" t="s">
        <v>29</v>
      </c>
      <c r="V809" s="65" t="s">
        <v>1917</v>
      </c>
      <c r="W809" s="65" t="s">
        <v>1918</v>
      </c>
      <c r="X809" s="65" t="s">
        <v>2819</v>
      </c>
      <c r="Y809" s="65" t="s">
        <v>2932</v>
      </c>
      <c r="Z809" s="65" t="s">
        <v>30</v>
      </c>
      <c r="AA809" s="65" t="s">
        <v>2819</v>
      </c>
    </row>
    <row r="810" spans="1:27" ht="17.45" hidden="1" customHeight="1">
      <c r="A810" s="100" t="str">
        <f>IF(priority(Main[[#This Row],[Comments]])&lt;&gt;0, priority(Main[[#This Row],[Comments]]),"")</f>
        <v/>
      </c>
      <c r="B810" s="77" t="s">
        <v>1736</v>
      </c>
      <c r="C810" s="65" t="s">
        <v>4</v>
      </c>
      <c r="D810" s="66" t="s">
        <v>430</v>
      </c>
      <c r="E810" s="67"/>
      <c r="F810" s="67"/>
      <c r="G810" s="64" t="str">
        <f>IF(stdProdLT(Main[[#This Row],[Comments]])=0.1,"N/A",IF(stdProdLT(Main[[#This Row],[Comments]])=0,"",stdProdLT(Main[[#This Row],[Comments]])))</f>
        <v/>
      </c>
      <c r="H810" s="68" t="str">
        <f>IF(AND(Main[[#This Row],[In Stock Date]]&lt;&gt;"",Main[[#This Row],[Revised Due Date]]&lt;&gt;""),Main[[#This Row],[In Stock Date]]-Main[[#This Row],[Revised Due Date]],"")</f>
        <v/>
      </c>
      <c r="I810" s="65" t="s">
        <v>4</v>
      </c>
      <c r="J810" s="65" t="s">
        <v>4</v>
      </c>
      <c r="K810" s="65" t="s">
        <v>4</v>
      </c>
      <c r="L810" s="67"/>
      <c r="M810" s="69" t="str">
        <f>IF(Main[[#This Row],[Tech Start Date]]&lt;1/1/1990,"",IF(Main[[#This Row],[Class]]="C",WORKDAY(Main[[#This Row],[Tech Start Date]],9),IF(Main[[#This Row],[Class]]="B", WORKDAY(Main[[#This Row],[Tech Start Date]],6),IF(Main[[#This Row],[Class]]="A",WORKDAY(Main[[#This Row],[Tech Start Date]],2),""))))</f>
        <v/>
      </c>
      <c r="N810" s="69" t="str">
        <f>IF(Main[[#This Row],[Tech Start Date]]&lt;1/1/1990,"",IF(Main[[#This Row],[Class]]="C",WORKDAY(Main[[#This Row],[Tech Start Date]],19),IF(Main[[#This Row],[Class]]="B", WORKDAY(Main[[#This Row],[Tech Start Date]],12),IF(Main[[#This Row],[Class]]="A",WORKDAY(Main[[#This Row],[Tech Start Date]],4),""))))</f>
        <v/>
      </c>
      <c r="O810" s="69" t="str">
        <f>IF(Main[[#This Row],[Tech Start Date]]&lt;1/1/1990,"",IF(Main[[#This Row],[Class]]="C",WORKDAY(Main[[#This Row],[Tech Start Date]],23),IF(Main[[#This Row],[Class]]="B", WORKDAY(Main[[#This Row],[Tech Start Date]],15),IF(Main[[#This Row],[Class]]="A",WORKDAY(Main[[#This Row],[Tech Start Date]],5),""))))</f>
        <v/>
      </c>
      <c r="P810" s="69" t="str">
        <f>IF(Main[[#This Row],[Tech Start Date]]&lt;1/1/1990,"",IF(Main[[#This Row],[Class]]="C",WORKDAY(Main[[#This Row],[Tech Start Date]],28),IF(Main[[#This Row],[Class]]="B", WORKDAY(Main[[#This Row],[Tech Start Date]],19),IF(Main[[#This Row],[Class]]="A",WORKDAY(Main[[#This Row],[Tech Start Date]],9),""))))</f>
        <v/>
      </c>
      <c r="Q810" s="67"/>
      <c r="R810" s="67"/>
      <c r="S810" s="65" t="s">
        <v>6</v>
      </c>
      <c r="T810" s="70" t="s">
        <v>4</v>
      </c>
      <c r="U810" s="65" t="s">
        <v>14</v>
      </c>
      <c r="V810" s="65" t="s">
        <v>1917</v>
      </c>
      <c r="W810" s="65" t="s">
        <v>1918</v>
      </c>
      <c r="X810" s="65" t="s">
        <v>30</v>
      </c>
      <c r="Y810" s="65" t="s">
        <v>2957</v>
      </c>
      <c r="Z810" s="65" t="s">
        <v>4</v>
      </c>
      <c r="AA810" s="65" t="s">
        <v>30</v>
      </c>
    </row>
    <row r="811" spans="1:27" ht="17.45" hidden="1" customHeight="1">
      <c r="A811" s="100" t="str">
        <f>IF(priority(Main[[#This Row],[Comments]])&lt;&gt;0, priority(Main[[#This Row],[Comments]]),"")</f>
        <v/>
      </c>
      <c r="B811" s="77" t="s">
        <v>1737</v>
      </c>
      <c r="C811" s="65" t="s">
        <v>436</v>
      </c>
      <c r="D811" s="66" t="s">
        <v>789</v>
      </c>
      <c r="E811" s="67"/>
      <c r="F811" s="67"/>
      <c r="G811" s="64" t="str">
        <f>IF(stdProdLT(Main[[#This Row],[Comments]])=0.1,"N/A",IF(stdProdLT(Main[[#This Row],[Comments]])=0,"",stdProdLT(Main[[#This Row],[Comments]])))</f>
        <v/>
      </c>
      <c r="H811" s="68" t="str">
        <f>IF(AND(Main[[#This Row],[In Stock Date]]&lt;&gt;"",Main[[#This Row],[Revised Due Date]]&lt;&gt;""),Main[[#This Row],[In Stock Date]]-Main[[#This Row],[Revised Due Date]],"")</f>
        <v/>
      </c>
      <c r="I811" s="65" t="s">
        <v>4</v>
      </c>
      <c r="J811" s="65" t="s">
        <v>4</v>
      </c>
      <c r="K811" s="65" t="s">
        <v>4</v>
      </c>
      <c r="L811" s="67"/>
      <c r="M811" s="69" t="str">
        <f>IF(Main[[#This Row],[Tech Start Date]]&lt;1/1/1990,"",IF(Main[[#This Row],[Class]]="C",WORKDAY(Main[[#This Row],[Tech Start Date]],9),IF(Main[[#This Row],[Class]]="B", WORKDAY(Main[[#This Row],[Tech Start Date]],6),IF(Main[[#This Row],[Class]]="A",WORKDAY(Main[[#This Row],[Tech Start Date]],2),""))))</f>
        <v/>
      </c>
      <c r="N811" s="69" t="str">
        <f>IF(Main[[#This Row],[Tech Start Date]]&lt;1/1/1990,"",IF(Main[[#This Row],[Class]]="C",WORKDAY(Main[[#This Row],[Tech Start Date]],19),IF(Main[[#This Row],[Class]]="B", WORKDAY(Main[[#This Row],[Tech Start Date]],12),IF(Main[[#This Row],[Class]]="A",WORKDAY(Main[[#This Row],[Tech Start Date]],4),""))))</f>
        <v/>
      </c>
      <c r="O811" s="69" t="str">
        <f>IF(Main[[#This Row],[Tech Start Date]]&lt;1/1/1990,"",IF(Main[[#This Row],[Class]]="C",WORKDAY(Main[[#This Row],[Tech Start Date]],23),IF(Main[[#This Row],[Class]]="B", WORKDAY(Main[[#This Row],[Tech Start Date]],15),IF(Main[[#This Row],[Class]]="A",WORKDAY(Main[[#This Row],[Tech Start Date]],5),""))))</f>
        <v/>
      </c>
      <c r="P811" s="69" t="str">
        <f>IF(Main[[#This Row],[Tech Start Date]]&lt;1/1/1990,"",IF(Main[[#This Row],[Class]]="C",WORKDAY(Main[[#This Row],[Tech Start Date]],28),IF(Main[[#This Row],[Class]]="B", WORKDAY(Main[[#This Row],[Tech Start Date]],19),IF(Main[[#This Row],[Class]]="A",WORKDAY(Main[[#This Row],[Tech Start Date]],9),""))))</f>
        <v/>
      </c>
      <c r="Q811" s="67"/>
      <c r="R811" s="67"/>
      <c r="S811" s="65" t="s">
        <v>11</v>
      </c>
      <c r="T811" s="70" t="s">
        <v>4</v>
      </c>
      <c r="U811" s="65" t="s">
        <v>14</v>
      </c>
      <c r="V811" s="65" t="s">
        <v>1914</v>
      </c>
      <c r="W811" s="65" t="s">
        <v>1922</v>
      </c>
      <c r="X811" s="65" t="s">
        <v>2853</v>
      </c>
      <c r="Y811" s="65" t="s">
        <v>2991</v>
      </c>
      <c r="Z811" s="65" t="s">
        <v>4</v>
      </c>
      <c r="AA811" s="65" t="s">
        <v>2853</v>
      </c>
    </row>
    <row r="812" spans="1:27" ht="17.45" hidden="1" customHeight="1">
      <c r="A812" s="100" t="str">
        <f>IF(priority(Main[[#This Row],[Comments]])&lt;&gt;0, priority(Main[[#This Row],[Comments]]),"")</f>
        <v/>
      </c>
      <c r="B812" s="77" t="s">
        <v>1738</v>
      </c>
      <c r="C812" s="65" t="s">
        <v>4</v>
      </c>
      <c r="D812" s="66" t="s">
        <v>790</v>
      </c>
      <c r="E812" s="67">
        <v>40479.428263888891</v>
      </c>
      <c r="F812" s="67"/>
      <c r="G812" s="64" t="str">
        <f>IF(stdProdLT(Main[[#This Row],[Comments]])=0.1,"N/A",IF(stdProdLT(Main[[#This Row],[Comments]])=0,"",stdProdLT(Main[[#This Row],[Comments]])))</f>
        <v/>
      </c>
      <c r="H812" s="68" t="str">
        <f>IF(AND(Main[[#This Row],[In Stock Date]]&lt;&gt;"",Main[[#This Row],[Revised Due Date]]&lt;&gt;""),Main[[#This Row],[In Stock Date]]-Main[[#This Row],[Revised Due Date]],"")</f>
        <v/>
      </c>
      <c r="I812" s="65" t="s">
        <v>30</v>
      </c>
      <c r="J812" s="65" t="s">
        <v>28</v>
      </c>
      <c r="K812" s="65" t="s">
        <v>1923</v>
      </c>
      <c r="L812" s="67"/>
      <c r="M812" s="69" t="str">
        <f>IF(Main[[#This Row],[Tech Start Date]]&lt;1/1/1990,"",IF(Main[[#This Row],[Class]]="C",WORKDAY(Main[[#This Row],[Tech Start Date]],9),IF(Main[[#This Row],[Class]]="B", WORKDAY(Main[[#This Row],[Tech Start Date]],6),IF(Main[[#This Row],[Class]]="A",WORKDAY(Main[[#This Row],[Tech Start Date]],2),""))))</f>
        <v/>
      </c>
      <c r="N812" s="69" t="str">
        <f>IF(Main[[#This Row],[Tech Start Date]]&lt;1/1/1990,"",IF(Main[[#This Row],[Class]]="C",WORKDAY(Main[[#This Row],[Tech Start Date]],19),IF(Main[[#This Row],[Class]]="B", WORKDAY(Main[[#This Row],[Tech Start Date]],12),IF(Main[[#This Row],[Class]]="A",WORKDAY(Main[[#This Row],[Tech Start Date]],4),""))))</f>
        <v/>
      </c>
      <c r="O812" s="69" t="str">
        <f>IF(Main[[#This Row],[Tech Start Date]]&lt;1/1/1990,"",IF(Main[[#This Row],[Class]]="C",WORKDAY(Main[[#This Row],[Tech Start Date]],23),IF(Main[[#This Row],[Class]]="B", WORKDAY(Main[[#This Row],[Tech Start Date]],15),IF(Main[[#This Row],[Class]]="A",WORKDAY(Main[[#This Row],[Tech Start Date]],5),""))))</f>
        <v/>
      </c>
      <c r="P812" s="69" t="str">
        <f>IF(Main[[#This Row],[Tech Start Date]]&lt;1/1/1990,"",IF(Main[[#This Row],[Class]]="C",WORKDAY(Main[[#This Row],[Tech Start Date]],28),IF(Main[[#This Row],[Class]]="B", WORKDAY(Main[[#This Row],[Tech Start Date]],19),IF(Main[[#This Row],[Class]]="A",WORKDAY(Main[[#This Row],[Tech Start Date]],9),""))))</f>
        <v/>
      </c>
      <c r="Q812" s="67">
        <v>40512</v>
      </c>
      <c r="R812" s="67"/>
      <c r="S812" s="65" t="s">
        <v>6</v>
      </c>
      <c r="T812" s="70" t="s">
        <v>4</v>
      </c>
      <c r="U812" s="65" t="s">
        <v>534</v>
      </c>
      <c r="V812" s="65" t="s">
        <v>1917</v>
      </c>
      <c r="W812" s="65" t="s">
        <v>1918</v>
      </c>
      <c r="X812" s="65" t="s">
        <v>2891</v>
      </c>
      <c r="Y812" s="65" t="s">
        <v>3102</v>
      </c>
      <c r="Z812" s="65" t="s">
        <v>30</v>
      </c>
      <c r="AA812" s="65" t="s">
        <v>2891</v>
      </c>
    </row>
    <row r="813" spans="1:27" ht="17.45" hidden="1" customHeight="1">
      <c r="A813" s="100" t="str">
        <f>IF(priority(Main[[#This Row],[Comments]])&lt;&gt;0, priority(Main[[#This Row],[Comments]]),"")</f>
        <v/>
      </c>
      <c r="B813" s="77" t="s">
        <v>1739</v>
      </c>
      <c r="C813" s="65" t="s">
        <v>4</v>
      </c>
      <c r="D813" s="66" t="s">
        <v>39</v>
      </c>
      <c r="E813" s="67"/>
      <c r="F813" s="67"/>
      <c r="G813" s="64" t="str">
        <f>IF(stdProdLT(Main[[#This Row],[Comments]])=0.1,"N/A",IF(stdProdLT(Main[[#This Row],[Comments]])=0,"",stdProdLT(Main[[#This Row],[Comments]])))</f>
        <v/>
      </c>
      <c r="H813" s="68" t="str">
        <f>IF(AND(Main[[#This Row],[In Stock Date]]&lt;&gt;"",Main[[#This Row],[Revised Due Date]]&lt;&gt;""),Main[[#This Row],[In Stock Date]]-Main[[#This Row],[Revised Due Date]],"")</f>
        <v/>
      </c>
      <c r="I813" s="65" t="s">
        <v>4</v>
      </c>
      <c r="J813" s="65" t="s">
        <v>4</v>
      </c>
      <c r="K813" s="65" t="s">
        <v>4</v>
      </c>
      <c r="L813" s="67"/>
      <c r="M813" s="69" t="str">
        <f>IF(Main[[#This Row],[Tech Start Date]]&lt;1/1/1990,"",IF(Main[[#This Row],[Class]]="C",WORKDAY(Main[[#This Row],[Tech Start Date]],9),IF(Main[[#This Row],[Class]]="B", WORKDAY(Main[[#This Row],[Tech Start Date]],6),IF(Main[[#This Row],[Class]]="A",WORKDAY(Main[[#This Row],[Tech Start Date]],2),""))))</f>
        <v/>
      </c>
      <c r="N813" s="69" t="str">
        <f>IF(Main[[#This Row],[Tech Start Date]]&lt;1/1/1990,"",IF(Main[[#This Row],[Class]]="C",WORKDAY(Main[[#This Row],[Tech Start Date]],19),IF(Main[[#This Row],[Class]]="B", WORKDAY(Main[[#This Row],[Tech Start Date]],12),IF(Main[[#This Row],[Class]]="A",WORKDAY(Main[[#This Row],[Tech Start Date]],4),""))))</f>
        <v/>
      </c>
      <c r="O813" s="69" t="str">
        <f>IF(Main[[#This Row],[Tech Start Date]]&lt;1/1/1990,"",IF(Main[[#This Row],[Class]]="C",WORKDAY(Main[[#This Row],[Tech Start Date]],23),IF(Main[[#This Row],[Class]]="B", WORKDAY(Main[[#This Row],[Tech Start Date]],15),IF(Main[[#This Row],[Class]]="A",WORKDAY(Main[[#This Row],[Tech Start Date]],5),""))))</f>
        <v/>
      </c>
      <c r="P813" s="69" t="str">
        <f>IF(Main[[#This Row],[Tech Start Date]]&lt;1/1/1990,"",IF(Main[[#This Row],[Class]]="C",WORKDAY(Main[[#This Row],[Tech Start Date]],28),IF(Main[[#This Row],[Class]]="B", WORKDAY(Main[[#This Row],[Tech Start Date]],19),IF(Main[[#This Row],[Class]]="A",WORKDAY(Main[[#This Row],[Tech Start Date]],9),""))))</f>
        <v/>
      </c>
      <c r="Q813" s="67">
        <v>40669</v>
      </c>
      <c r="R813" s="67"/>
      <c r="S813" s="65" t="s">
        <v>6</v>
      </c>
      <c r="T813" s="70" t="s">
        <v>4</v>
      </c>
      <c r="U813" s="65" t="s">
        <v>14</v>
      </c>
      <c r="V813" s="65" t="s">
        <v>1917</v>
      </c>
      <c r="W813" s="65" t="s">
        <v>4</v>
      </c>
      <c r="X813" s="65" t="s">
        <v>2818</v>
      </c>
      <c r="Y813" s="65" t="s">
        <v>2929</v>
      </c>
      <c r="Z813" s="65" t="s">
        <v>4</v>
      </c>
      <c r="AA813" s="65" t="s">
        <v>2818</v>
      </c>
    </row>
    <row r="814" spans="1:27" ht="17.45" hidden="1" customHeight="1">
      <c r="A814" s="100" t="str">
        <f>IF(priority(Main[[#This Row],[Comments]])&lt;&gt;0, priority(Main[[#This Row],[Comments]]),"")</f>
        <v/>
      </c>
      <c r="B814" s="77" t="s">
        <v>1740</v>
      </c>
      <c r="C814" s="65" t="s">
        <v>4</v>
      </c>
      <c r="D814" s="66" t="s">
        <v>791</v>
      </c>
      <c r="E814" s="67"/>
      <c r="F814" s="67"/>
      <c r="G814" s="64" t="str">
        <f>IF(stdProdLT(Main[[#This Row],[Comments]])=0.1,"N/A",IF(stdProdLT(Main[[#This Row],[Comments]])=0,"",stdProdLT(Main[[#This Row],[Comments]])))</f>
        <v/>
      </c>
      <c r="H814" s="68" t="str">
        <f>IF(AND(Main[[#This Row],[In Stock Date]]&lt;&gt;"",Main[[#This Row],[Revised Due Date]]&lt;&gt;""),Main[[#This Row],[In Stock Date]]-Main[[#This Row],[Revised Due Date]],"")</f>
        <v/>
      </c>
      <c r="I814" s="65" t="s">
        <v>4</v>
      </c>
      <c r="J814" s="65" t="s">
        <v>4</v>
      </c>
      <c r="K814" s="65" t="s">
        <v>4</v>
      </c>
      <c r="L814" s="67"/>
      <c r="M814" s="69" t="str">
        <f>IF(Main[[#This Row],[Tech Start Date]]&lt;1/1/1990,"",IF(Main[[#This Row],[Class]]="C",WORKDAY(Main[[#This Row],[Tech Start Date]],9),IF(Main[[#This Row],[Class]]="B", WORKDAY(Main[[#This Row],[Tech Start Date]],6),IF(Main[[#This Row],[Class]]="A",WORKDAY(Main[[#This Row],[Tech Start Date]],2),""))))</f>
        <v/>
      </c>
      <c r="N814" s="69" t="str">
        <f>IF(Main[[#This Row],[Tech Start Date]]&lt;1/1/1990,"",IF(Main[[#This Row],[Class]]="C",WORKDAY(Main[[#This Row],[Tech Start Date]],19),IF(Main[[#This Row],[Class]]="B", WORKDAY(Main[[#This Row],[Tech Start Date]],12),IF(Main[[#This Row],[Class]]="A",WORKDAY(Main[[#This Row],[Tech Start Date]],4),""))))</f>
        <v/>
      </c>
      <c r="O814" s="69" t="str">
        <f>IF(Main[[#This Row],[Tech Start Date]]&lt;1/1/1990,"",IF(Main[[#This Row],[Class]]="C",WORKDAY(Main[[#This Row],[Tech Start Date]],23),IF(Main[[#This Row],[Class]]="B", WORKDAY(Main[[#This Row],[Tech Start Date]],15),IF(Main[[#This Row],[Class]]="A",WORKDAY(Main[[#This Row],[Tech Start Date]],5),""))))</f>
        <v/>
      </c>
      <c r="P814" s="69" t="str">
        <f>IF(Main[[#This Row],[Tech Start Date]]&lt;1/1/1990,"",IF(Main[[#This Row],[Class]]="C",WORKDAY(Main[[#This Row],[Tech Start Date]],28),IF(Main[[#This Row],[Class]]="B", WORKDAY(Main[[#This Row],[Tech Start Date]],19),IF(Main[[#This Row],[Class]]="A",WORKDAY(Main[[#This Row],[Tech Start Date]],9),""))))</f>
        <v/>
      </c>
      <c r="Q814" s="67"/>
      <c r="R814" s="67"/>
      <c r="S814" s="65" t="s">
        <v>17</v>
      </c>
      <c r="T814" s="70" t="s">
        <v>4</v>
      </c>
      <c r="U814" s="65" t="s">
        <v>14</v>
      </c>
      <c r="V814" s="65" t="s">
        <v>1917</v>
      </c>
      <c r="W814" s="65" t="s">
        <v>4</v>
      </c>
      <c r="X814" s="65" t="s">
        <v>306</v>
      </c>
      <c r="Y814" s="65" t="s">
        <v>4</v>
      </c>
      <c r="Z814" s="65" t="s">
        <v>4</v>
      </c>
      <c r="AA814" s="65" t="s">
        <v>652</v>
      </c>
    </row>
    <row r="815" spans="1:27" ht="17.45" hidden="1" customHeight="1">
      <c r="A815" s="100" t="str">
        <f>IF(priority(Main[[#This Row],[Comments]])&lt;&gt;0, priority(Main[[#This Row],[Comments]]),"")</f>
        <v/>
      </c>
      <c r="B815" s="77" t="s">
        <v>1488</v>
      </c>
      <c r="C815" s="65" t="s">
        <v>37</v>
      </c>
      <c r="D815" s="66" t="s">
        <v>2390</v>
      </c>
      <c r="E815" s="67">
        <v>40682.490115740744</v>
      </c>
      <c r="F815" s="67"/>
      <c r="G815" s="64" t="str">
        <f>IF(stdProdLT(Main[[#This Row],[Comments]])=0.1,"N/A",IF(stdProdLT(Main[[#This Row],[Comments]])=0,"",stdProdLT(Main[[#This Row],[Comments]])))</f>
        <v/>
      </c>
      <c r="H815" s="68" t="str">
        <f>IF(AND(Main[[#This Row],[In Stock Date]]&lt;&gt;"",Main[[#This Row],[Revised Due Date]]&lt;&gt;""),Main[[#This Row],[In Stock Date]]-Main[[#This Row],[Revised Due Date]],"")</f>
        <v/>
      </c>
      <c r="I815" s="65" t="s">
        <v>4</v>
      </c>
      <c r="J815" s="65" t="s">
        <v>4</v>
      </c>
      <c r="K815" s="65" t="s">
        <v>4</v>
      </c>
      <c r="L815" s="67"/>
      <c r="M815" s="69" t="str">
        <f>IF(Main[[#This Row],[Tech Start Date]]&lt;1/1/1990,"",IF(Main[[#This Row],[Class]]="C",WORKDAY(Main[[#This Row],[Tech Start Date]],9),IF(Main[[#This Row],[Class]]="B", WORKDAY(Main[[#This Row],[Tech Start Date]],6),IF(Main[[#This Row],[Class]]="A",WORKDAY(Main[[#This Row],[Tech Start Date]],2),""))))</f>
        <v/>
      </c>
      <c r="N815" s="69" t="str">
        <f>IF(Main[[#This Row],[Tech Start Date]]&lt;1/1/1990,"",IF(Main[[#This Row],[Class]]="C",WORKDAY(Main[[#This Row],[Tech Start Date]],19),IF(Main[[#This Row],[Class]]="B", WORKDAY(Main[[#This Row],[Tech Start Date]],12),IF(Main[[#This Row],[Class]]="A",WORKDAY(Main[[#This Row],[Tech Start Date]],4),""))))</f>
        <v/>
      </c>
      <c r="O815" s="69" t="str">
        <f>IF(Main[[#This Row],[Tech Start Date]]&lt;1/1/1990,"",IF(Main[[#This Row],[Class]]="C",WORKDAY(Main[[#This Row],[Tech Start Date]],23),IF(Main[[#This Row],[Class]]="B", WORKDAY(Main[[#This Row],[Tech Start Date]],15),IF(Main[[#This Row],[Class]]="A",WORKDAY(Main[[#This Row],[Tech Start Date]],5),""))))</f>
        <v/>
      </c>
      <c r="P815" s="69" t="str">
        <f>IF(Main[[#This Row],[Tech Start Date]]&lt;1/1/1990,"",IF(Main[[#This Row],[Class]]="C",WORKDAY(Main[[#This Row],[Tech Start Date]],28),IF(Main[[#This Row],[Class]]="B", WORKDAY(Main[[#This Row],[Tech Start Date]],19),IF(Main[[#This Row],[Class]]="A",WORKDAY(Main[[#This Row],[Tech Start Date]],9),""))))</f>
        <v/>
      </c>
      <c r="Q815" s="67">
        <v>40703</v>
      </c>
      <c r="R815" s="67"/>
      <c r="S815" s="65" t="s">
        <v>6</v>
      </c>
      <c r="T815" s="70" t="s">
        <v>4</v>
      </c>
      <c r="U815" s="65" t="s">
        <v>7</v>
      </c>
      <c r="V815" s="65" t="s">
        <v>1914</v>
      </c>
      <c r="W815" s="65" t="s">
        <v>1925</v>
      </c>
      <c r="X815" s="65" t="s">
        <v>970</v>
      </c>
      <c r="Y815" s="65" t="s">
        <v>3097</v>
      </c>
      <c r="Z815" s="65" t="s">
        <v>4</v>
      </c>
      <c r="AA815" s="65" t="s">
        <v>970</v>
      </c>
    </row>
    <row r="816" spans="1:27" ht="17.45" hidden="1" customHeight="1">
      <c r="A816" s="100" t="str">
        <f>IF(priority(Main[[#This Row],[Comments]])&lt;&gt;0, priority(Main[[#This Row],[Comments]]),"")</f>
        <v/>
      </c>
      <c r="B816" s="77" t="s">
        <v>1742</v>
      </c>
      <c r="C816" s="65" t="s">
        <v>4</v>
      </c>
      <c r="D816" s="66" t="s">
        <v>681</v>
      </c>
      <c r="E816" s="67"/>
      <c r="F816" s="67"/>
      <c r="G816" s="64" t="str">
        <f>IF(stdProdLT(Main[[#This Row],[Comments]])=0.1,"N/A",IF(stdProdLT(Main[[#This Row],[Comments]])=0,"",stdProdLT(Main[[#This Row],[Comments]])))</f>
        <v/>
      </c>
      <c r="H816" s="68" t="str">
        <f>IF(AND(Main[[#This Row],[In Stock Date]]&lt;&gt;"",Main[[#This Row],[Revised Due Date]]&lt;&gt;""),Main[[#This Row],[In Stock Date]]-Main[[#This Row],[Revised Due Date]],"")</f>
        <v/>
      </c>
      <c r="I816" s="65" t="s">
        <v>4</v>
      </c>
      <c r="J816" s="65" t="s">
        <v>4</v>
      </c>
      <c r="K816" s="71" t="s">
        <v>4</v>
      </c>
      <c r="L816" s="67"/>
      <c r="M816" s="69" t="str">
        <f>IF(Main[[#This Row],[Tech Start Date]]&lt;1/1/1990,"",IF(Main[[#This Row],[Class]]="C",WORKDAY(Main[[#This Row],[Tech Start Date]],9),IF(Main[[#This Row],[Class]]="B", WORKDAY(Main[[#This Row],[Tech Start Date]],6),IF(Main[[#This Row],[Class]]="A",WORKDAY(Main[[#This Row],[Tech Start Date]],2),""))))</f>
        <v/>
      </c>
      <c r="N816" s="69" t="str">
        <f>IF(Main[[#This Row],[Tech Start Date]]&lt;1/1/1990,"",IF(Main[[#This Row],[Class]]="C",WORKDAY(Main[[#This Row],[Tech Start Date]],19),IF(Main[[#This Row],[Class]]="B", WORKDAY(Main[[#This Row],[Tech Start Date]],12),IF(Main[[#This Row],[Class]]="A",WORKDAY(Main[[#This Row],[Tech Start Date]],4),""))))</f>
        <v/>
      </c>
      <c r="O816" s="69" t="str">
        <f>IF(Main[[#This Row],[Tech Start Date]]&lt;1/1/1990,"",IF(Main[[#This Row],[Class]]="C",WORKDAY(Main[[#This Row],[Tech Start Date]],23),IF(Main[[#This Row],[Class]]="B", WORKDAY(Main[[#This Row],[Tech Start Date]],15),IF(Main[[#This Row],[Class]]="A",WORKDAY(Main[[#This Row],[Tech Start Date]],5),""))))</f>
        <v/>
      </c>
      <c r="P816" s="69" t="str">
        <f>IF(Main[[#This Row],[Tech Start Date]]&lt;1/1/1990,"",IF(Main[[#This Row],[Class]]="C",WORKDAY(Main[[#This Row],[Tech Start Date]],28),IF(Main[[#This Row],[Class]]="B", WORKDAY(Main[[#This Row],[Tech Start Date]],19),IF(Main[[#This Row],[Class]]="A",WORKDAY(Main[[#This Row],[Tech Start Date]],9),""))))</f>
        <v/>
      </c>
      <c r="Q816" s="67"/>
      <c r="R816" s="67"/>
      <c r="S816" s="65" t="s">
        <v>23</v>
      </c>
      <c r="T816" s="70" t="s">
        <v>4</v>
      </c>
      <c r="U816" s="65" t="s">
        <v>14</v>
      </c>
      <c r="V816" s="65" t="s">
        <v>1917</v>
      </c>
      <c r="W816" s="65" t="s">
        <v>1918</v>
      </c>
      <c r="X816" s="65" t="s">
        <v>417</v>
      </c>
      <c r="Y816" s="65" t="s">
        <v>3103</v>
      </c>
      <c r="Z816" s="65" t="s">
        <v>4</v>
      </c>
      <c r="AA816" s="65" t="s">
        <v>3429</v>
      </c>
    </row>
    <row r="817" spans="1:27" ht="17.45" hidden="1" customHeight="1">
      <c r="A817" s="100" t="str">
        <f>IF(priority(Main[[#This Row],[Comments]])&lt;&gt;0, priority(Main[[#This Row],[Comments]]),"")</f>
        <v/>
      </c>
      <c r="B817" s="77" t="s">
        <v>1854</v>
      </c>
      <c r="C817" s="65" t="s">
        <v>47</v>
      </c>
      <c r="D817" s="66" t="s">
        <v>910</v>
      </c>
      <c r="E817" s="67">
        <v>39937.598483796297</v>
      </c>
      <c r="F817" s="67"/>
      <c r="G817" s="64" t="str">
        <f>IF(stdProdLT(Main[[#This Row],[Comments]])=0.1,"N/A",IF(stdProdLT(Main[[#This Row],[Comments]])=0,"",stdProdLT(Main[[#This Row],[Comments]])))</f>
        <v/>
      </c>
      <c r="H817" s="68" t="str">
        <f>IF(AND(Main[[#This Row],[In Stock Date]]&lt;&gt;"",Main[[#This Row],[Revised Due Date]]&lt;&gt;""),Main[[#This Row],[In Stock Date]]-Main[[#This Row],[Revised Due Date]],"")</f>
        <v/>
      </c>
      <c r="I817" s="65" t="s">
        <v>898</v>
      </c>
      <c r="J817" s="65" t="s">
        <v>4</v>
      </c>
      <c r="K817" s="65" t="s">
        <v>1926</v>
      </c>
      <c r="L817" s="67"/>
      <c r="M817" s="69" t="str">
        <f>IF(Main[[#This Row],[Tech Start Date]]&lt;1/1/1990,"",IF(Main[[#This Row],[Class]]="C",WORKDAY(Main[[#This Row],[Tech Start Date]],9),IF(Main[[#This Row],[Class]]="B", WORKDAY(Main[[#This Row],[Tech Start Date]],6),IF(Main[[#This Row],[Class]]="A",WORKDAY(Main[[#This Row],[Tech Start Date]],2),""))))</f>
        <v/>
      </c>
      <c r="N817" s="69" t="str">
        <f>IF(Main[[#This Row],[Tech Start Date]]&lt;1/1/1990,"",IF(Main[[#This Row],[Class]]="C",WORKDAY(Main[[#This Row],[Tech Start Date]],19),IF(Main[[#This Row],[Class]]="B", WORKDAY(Main[[#This Row],[Tech Start Date]],12),IF(Main[[#This Row],[Class]]="A",WORKDAY(Main[[#This Row],[Tech Start Date]],4),""))))</f>
        <v/>
      </c>
      <c r="O817" s="69" t="str">
        <f>IF(Main[[#This Row],[Tech Start Date]]&lt;1/1/1990,"",IF(Main[[#This Row],[Class]]="C",WORKDAY(Main[[#This Row],[Tech Start Date]],23),IF(Main[[#This Row],[Class]]="B", WORKDAY(Main[[#This Row],[Tech Start Date]],15),IF(Main[[#This Row],[Class]]="A",WORKDAY(Main[[#This Row],[Tech Start Date]],5),""))))</f>
        <v/>
      </c>
      <c r="P817" s="69" t="str">
        <f>IF(Main[[#This Row],[Tech Start Date]]&lt;1/1/1990,"",IF(Main[[#This Row],[Class]]="C",WORKDAY(Main[[#This Row],[Tech Start Date]],28),IF(Main[[#This Row],[Class]]="B", WORKDAY(Main[[#This Row],[Tech Start Date]],19),IF(Main[[#This Row],[Class]]="A",WORKDAY(Main[[#This Row],[Tech Start Date]],9),""))))</f>
        <v/>
      </c>
      <c r="Q817" s="67"/>
      <c r="R817" s="67">
        <v>40945</v>
      </c>
      <c r="S817" s="65" t="s">
        <v>17</v>
      </c>
      <c r="T817" s="70" t="s">
        <v>4</v>
      </c>
      <c r="U817" s="65" t="s">
        <v>29</v>
      </c>
      <c r="V817" s="65" t="s">
        <v>1917</v>
      </c>
      <c r="W817" s="65" t="s">
        <v>1919</v>
      </c>
      <c r="X817" s="65" t="s">
        <v>2827</v>
      </c>
      <c r="Y817" s="65" t="s">
        <v>2948</v>
      </c>
      <c r="Z817" s="65" t="s">
        <v>415</v>
      </c>
      <c r="AA817" s="65" t="s">
        <v>2827</v>
      </c>
    </row>
    <row r="818" spans="1:27" ht="17.45" hidden="1" customHeight="1">
      <c r="A818" s="100" t="str">
        <f>IF(priority(Main[[#This Row],[Comments]])&lt;&gt;0, priority(Main[[#This Row],[Comments]]),"")</f>
        <v/>
      </c>
      <c r="B818" s="77" t="s">
        <v>1743</v>
      </c>
      <c r="C818" s="65" t="s">
        <v>31</v>
      </c>
      <c r="D818" s="66" t="s">
        <v>792</v>
      </c>
      <c r="E818" s="67"/>
      <c r="F818" s="67"/>
      <c r="G818" s="64" t="str">
        <f>IF(stdProdLT(Main[[#This Row],[Comments]])=0.1,"N/A",IF(stdProdLT(Main[[#This Row],[Comments]])=0,"",stdProdLT(Main[[#This Row],[Comments]])))</f>
        <v/>
      </c>
      <c r="H818" s="68" t="str">
        <f>IF(AND(Main[[#This Row],[In Stock Date]]&lt;&gt;"",Main[[#This Row],[Revised Due Date]]&lt;&gt;""),Main[[#This Row],[In Stock Date]]-Main[[#This Row],[Revised Due Date]],"")</f>
        <v/>
      </c>
      <c r="I818" s="65" t="s">
        <v>4</v>
      </c>
      <c r="J818" s="65" t="s">
        <v>4</v>
      </c>
      <c r="K818" s="65" t="s">
        <v>4</v>
      </c>
      <c r="L818" s="67"/>
      <c r="M818" s="69" t="str">
        <f>IF(Main[[#This Row],[Tech Start Date]]&lt;1/1/1990,"",IF(Main[[#This Row],[Class]]="C",WORKDAY(Main[[#This Row],[Tech Start Date]],9),IF(Main[[#This Row],[Class]]="B", WORKDAY(Main[[#This Row],[Tech Start Date]],6),IF(Main[[#This Row],[Class]]="A",WORKDAY(Main[[#This Row],[Tech Start Date]],2),""))))</f>
        <v/>
      </c>
      <c r="N818" s="69" t="str">
        <f>IF(Main[[#This Row],[Tech Start Date]]&lt;1/1/1990,"",IF(Main[[#This Row],[Class]]="C",WORKDAY(Main[[#This Row],[Tech Start Date]],19),IF(Main[[#This Row],[Class]]="B", WORKDAY(Main[[#This Row],[Tech Start Date]],12),IF(Main[[#This Row],[Class]]="A",WORKDAY(Main[[#This Row],[Tech Start Date]],4),""))))</f>
        <v/>
      </c>
      <c r="O818" s="69" t="str">
        <f>IF(Main[[#This Row],[Tech Start Date]]&lt;1/1/1990,"",IF(Main[[#This Row],[Class]]="C",WORKDAY(Main[[#This Row],[Tech Start Date]],23),IF(Main[[#This Row],[Class]]="B", WORKDAY(Main[[#This Row],[Tech Start Date]],15),IF(Main[[#This Row],[Class]]="A",WORKDAY(Main[[#This Row],[Tech Start Date]],5),""))))</f>
        <v/>
      </c>
      <c r="P818" s="69" t="str">
        <f>IF(Main[[#This Row],[Tech Start Date]]&lt;1/1/1990,"",IF(Main[[#This Row],[Class]]="C",WORKDAY(Main[[#This Row],[Tech Start Date]],28),IF(Main[[#This Row],[Class]]="B", WORKDAY(Main[[#This Row],[Tech Start Date]],19),IF(Main[[#This Row],[Class]]="A",WORKDAY(Main[[#This Row],[Tech Start Date]],9),""))))</f>
        <v/>
      </c>
      <c r="Q818" s="67">
        <v>40318</v>
      </c>
      <c r="R818" s="67"/>
      <c r="S818" s="65" t="s">
        <v>11</v>
      </c>
      <c r="T818" s="70" t="s">
        <v>4</v>
      </c>
      <c r="U818" s="65" t="s">
        <v>14</v>
      </c>
      <c r="V818" s="65" t="s">
        <v>1924</v>
      </c>
      <c r="W818" s="65" t="s">
        <v>1916</v>
      </c>
      <c r="X818" s="65" t="s">
        <v>2830</v>
      </c>
      <c r="Y818" s="65" t="s">
        <v>4</v>
      </c>
      <c r="Z818" s="65" t="s">
        <v>4</v>
      </c>
      <c r="AA818" s="65" t="s">
        <v>2830</v>
      </c>
    </row>
    <row r="819" spans="1:27" ht="17.45" hidden="1" customHeight="1">
      <c r="A819" s="100" t="str">
        <f>IF(priority(Main[[#This Row],[Comments]])&lt;&gt;0, priority(Main[[#This Row],[Comments]]),"")</f>
        <v/>
      </c>
      <c r="B819" s="77" t="s">
        <v>1769</v>
      </c>
      <c r="C819" s="65" t="s">
        <v>4</v>
      </c>
      <c r="D819" s="66" t="s">
        <v>804</v>
      </c>
      <c r="E819" s="67"/>
      <c r="F819" s="67"/>
      <c r="G819" s="64" t="str">
        <f>IF(stdProdLT(Main[[#This Row],[Comments]])=0.1,"N/A",IF(stdProdLT(Main[[#This Row],[Comments]])=0,"",stdProdLT(Main[[#This Row],[Comments]])))</f>
        <v/>
      </c>
      <c r="H819" s="68" t="str">
        <f>IF(AND(Main[[#This Row],[In Stock Date]]&lt;&gt;"",Main[[#This Row],[Revised Due Date]]&lt;&gt;""),Main[[#This Row],[In Stock Date]]-Main[[#This Row],[Revised Due Date]],"")</f>
        <v/>
      </c>
      <c r="I819" s="65" t="s">
        <v>4</v>
      </c>
      <c r="J819" s="65" t="s">
        <v>4</v>
      </c>
      <c r="K819" s="65" t="s">
        <v>4</v>
      </c>
      <c r="L819" s="67"/>
      <c r="M819" s="69" t="str">
        <f>IF(Main[[#This Row],[Tech Start Date]]&lt;1/1/1990,"",IF(Main[[#This Row],[Class]]="C",WORKDAY(Main[[#This Row],[Tech Start Date]],9),IF(Main[[#This Row],[Class]]="B", WORKDAY(Main[[#This Row],[Tech Start Date]],6),IF(Main[[#This Row],[Class]]="A",WORKDAY(Main[[#This Row],[Tech Start Date]],2),""))))</f>
        <v/>
      </c>
      <c r="N819" s="69" t="str">
        <f>IF(Main[[#This Row],[Tech Start Date]]&lt;1/1/1990,"",IF(Main[[#This Row],[Class]]="C",WORKDAY(Main[[#This Row],[Tech Start Date]],19),IF(Main[[#This Row],[Class]]="B", WORKDAY(Main[[#This Row],[Tech Start Date]],12),IF(Main[[#This Row],[Class]]="A",WORKDAY(Main[[#This Row],[Tech Start Date]],4),""))))</f>
        <v/>
      </c>
      <c r="O819" s="69" t="str">
        <f>IF(Main[[#This Row],[Tech Start Date]]&lt;1/1/1990,"",IF(Main[[#This Row],[Class]]="C",WORKDAY(Main[[#This Row],[Tech Start Date]],23),IF(Main[[#This Row],[Class]]="B", WORKDAY(Main[[#This Row],[Tech Start Date]],15),IF(Main[[#This Row],[Class]]="A",WORKDAY(Main[[#This Row],[Tech Start Date]],5),""))))</f>
        <v/>
      </c>
      <c r="P819" s="69" t="str">
        <f>IF(Main[[#This Row],[Tech Start Date]]&lt;1/1/1990,"",IF(Main[[#This Row],[Class]]="C",WORKDAY(Main[[#This Row],[Tech Start Date]],28),IF(Main[[#This Row],[Class]]="B", WORKDAY(Main[[#This Row],[Tech Start Date]],19),IF(Main[[#This Row],[Class]]="A",WORKDAY(Main[[#This Row],[Tech Start Date]],9),""))))</f>
        <v/>
      </c>
      <c r="Q819" s="67"/>
      <c r="R819" s="67"/>
      <c r="S819" s="65" t="s">
        <v>49</v>
      </c>
      <c r="T819" s="70" t="s">
        <v>4</v>
      </c>
      <c r="U819" s="65" t="s">
        <v>14</v>
      </c>
      <c r="V819" s="65" t="s">
        <v>1917</v>
      </c>
      <c r="W819" s="65" t="s">
        <v>1918</v>
      </c>
      <c r="X819" s="65" t="s">
        <v>306</v>
      </c>
      <c r="Y819" s="65" t="s">
        <v>3104</v>
      </c>
      <c r="Z819" s="65" t="s">
        <v>4</v>
      </c>
      <c r="AA819" s="65" t="s">
        <v>306</v>
      </c>
    </row>
    <row r="820" spans="1:27" ht="17.45" hidden="1" customHeight="1">
      <c r="A820" s="100" t="str">
        <f>IF(priority(Main[[#This Row],[Comments]])&lt;&gt;0, priority(Main[[#This Row],[Comments]]),"")</f>
        <v/>
      </c>
      <c r="B820" s="77" t="s">
        <v>3192</v>
      </c>
      <c r="C820" s="65" t="s">
        <v>4</v>
      </c>
      <c r="D820" s="66" t="s">
        <v>3229</v>
      </c>
      <c r="E820" s="67">
        <v>40921.504814814813</v>
      </c>
      <c r="F820" s="67"/>
      <c r="G820" s="64" t="str">
        <f>IF(stdProdLT(Main[[#This Row],[Comments]])=0.1,"N/A",IF(stdProdLT(Main[[#This Row],[Comments]])=0,"",stdProdLT(Main[[#This Row],[Comments]])))</f>
        <v/>
      </c>
      <c r="H820" s="68" t="str">
        <f>IF(AND(Main[[#This Row],[In Stock Date]]&lt;&gt;"",Main[[#This Row],[Revised Due Date]]&lt;&gt;""),Main[[#This Row],[In Stock Date]]-Main[[#This Row],[Revised Due Date]],"")</f>
        <v/>
      </c>
      <c r="I820" s="65" t="s">
        <v>2051</v>
      </c>
      <c r="J820" s="65" t="s">
        <v>28</v>
      </c>
      <c r="K820" s="71" t="s">
        <v>1923</v>
      </c>
      <c r="L820" s="67"/>
      <c r="M820" s="69" t="str">
        <f>IF(Main[[#This Row],[Tech Start Date]]&lt;1/1/1990,"",IF(Main[[#This Row],[Class]]="C",WORKDAY(Main[[#This Row],[Tech Start Date]],9),IF(Main[[#This Row],[Class]]="B", WORKDAY(Main[[#This Row],[Tech Start Date]],6),IF(Main[[#This Row],[Class]]="A",WORKDAY(Main[[#This Row],[Tech Start Date]],2),""))))</f>
        <v/>
      </c>
      <c r="N820" s="69" t="str">
        <f>IF(Main[[#This Row],[Tech Start Date]]&lt;1/1/1990,"",IF(Main[[#This Row],[Class]]="C",WORKDAY(Main[[#This Row],[Tech Start Date]],19),IF(Main[[#This Row],[Class]]="B", WORKDAY(Main[[#This Row],[Tech Start Date]],12),IF(Main[[#This Row],[Class]]="A",WORKDAY(Main[[#This Row],[Tech Start Date]],4),""))))</f>
        <v/>
      </c>
      <c r="O820" s="69" t="str">
        <f>IF(Main[[#This Row],[Tech Start Date]]&lt;1/1/1990,"",IF(Main[[#This Row],[Class]]="C",WORKDAY(Main[[#This Row],[Tech Start Date]],23),IF(Main[[#This Row],[Class]]="B", WORKDAY(Main[[#This Row],[Tech Start Date]],15),IF(Main[[#This Row],[Class]]="A",WORKDAY(Main[[#This Row],[Tech Start Date]],5),""))))</f>
        <v/>
      </c>
      <c r="P820" s="69" t="str">
        <f>IF(Main[[#This Row],[Tech Start Date]]&lt;1/1/1990,"",IF(Main[[#This Row],[Class]]="C",WORKDAY(Main[[#This Row],[Tech Start Date]],28),IF(Main[[#This Row],[Class]]="B", WORKDAY(Main[[#This Row],[Tech Start Date]],19),IF(Main[[#This Row],[Class]]="A",WORKDAY(Main[[#This Row],[Tech Start Date]],9),""))))</f>
        <v/>
      </c>
      <c r="Q820" s="67">
        <v>40939</v>
      </c>
      <c r="R820" s="67"/>
      <c r="S820" s="65" t="s">
        <v>6</v>
      </c>
      <c r="T820" s="70" t="s">
        <v>4</v>
      </c>
      <c r="U820" s="65" t="s">
        <v>29</v>
      </c>
      <c r="V820" s="65" t="s">
        <v>1917</v>
      </c>
      <c r="W820" s="65" t="s">
        <v>1918</v>
      </c>
      <c r="X820" s="65" t="s">
        <v>30</v>
      </c>
      <c r="Y820" s="65" t="s">
        <v>3193</v>
      </c>
      <c r="Z820" s="65" t="s">
        <v>30</v>
      </c>
      <c r="AA820" s="65" t="s">
        <v>2903</v>
      </c>
    </row>
    <row r="821" spans="1:27" ht="17.45" hidden="1" customHeight="1">
      <c r="A821" s="100" t="str">
        <f>IF(priority(Main[[#This Row],[Comments]])&lt;&gt;0, priority(Main[[#This Row],[Comments]]),"")</f>
        <v/>
      </c>
      <c r="B821" s="77" t="s">
        <v>3257</v>
      </c>
      <c r="C821" s="65" t="s">
        <v>4</v>
      </c>
      <c r="D821" s="66" t="s">
        <v>3258</v>
      </c>
      <c r="E821" s="67"/>
      <c r="F821" s="67"/>
      <c r="G821" s="64" t="str">
        <f>IF(stdProdLT(Main[[#This Row],[Comments]])=0.1,"N/A",IF(stdProdLT(Main[[#This Row],[Comments]])=0,"",stdProdLT(Main[[#This Row],[Comments]])))</f>
        <v/>
      </c>
      <c r="H821" s="68" t="str">
        <f>IF(AND(Main[[#This Row],[In Stock Date]]&lt;&gt;"",Main[[#This Row],[Revised Due Date]]&lt;&gt;""),Main[[#This Row],[In Stock Date]]-Main[[#This Row],[Revised Due Date]],"")</f>
        <v/>
      </c>
      <c r="I821" s="65" t="s">
        <v>4</v>
      </c>
      <c r="J821" s="65" t="s">
        <v>4</v>
      </c>
      <c r="K821" s="65" t="s">
        <v>4</v>
      </c>
      <c r="L821" s="67"/>
      <c r="M821" s="69" t="str">
        <f>IF(Main[[#This Row],[Tech Start Date]]&lt;1/1/1990,"",IF(Main[[#This Row],[Class]]="C",WORKDAY(Main[[#This Row],[Tech Start Date]],9),IF(Main[[#This Row],[Class]]="B", WORKDAY(Main[[#This Row],[Tech Start Date]],6),IF(Main[[#This Row],[Class]]="A",WORKDAY(Main[[#This Row],[Tech Start Date]],2),""))))</f>
        <v/>
      </c>
      <c r="N821" s="69" t="str">
        <f>IF(Main[[#This Row],[Tech Start Date]]&lt;1/1/1990,"",IF(Main[[#This Row],[Class]]="C",WORKDAY(Main[[#This Row],[Tech Start Date]],19),IF(Main[[#This Row],[Class]]="B", WORKDAY(Main[[#This Row],[Tech Start Date]],12),IF(Main[[#This Row],[Class]]="A",WORKDAY(Main[[#This Row],[Tech Start Date]],4),""))))</f>
        <v/>
      </c>
      <c r="O821" s="69" t="str">
        <f>IF(Main[[#This Row],[Tech Start Date]]&lt;1/1/1990,"",IF(Main[[#This Row],[Class]]="C",WORKDAY(Main[[#This Row],[Tech Start Date]],23),IF(Main[[#This Row],[Class]]="B", WORKDAY(Main[[#This Row],[Tech Start Date]],15),IF(Main[[#This Row],[Class]]="A",WORKDAY(Main[[#This Row],[Tech Start Date]],5),""))))</f>
        <v/>
      </c>
      <c r="P821" s="69" t="str">
        <f>IF(Main[[#This Row],[Tech Start Date]]&lt;1/1/1990,"",IF(Main[[#This Row],[Class]]="C",WORKDAY(Main[[#This Row],[Tech Start Date]],28),IF(Main[[#This Row],[Class]]="B", WORKDAY(Main[[#This Row],[Tech Start Date]],19),IF(Main[[#This Row],[Class]]="A",WORKDAY(Main[[#This Row],[Tech Start Date]],9),""))))</f>
        <v/>
      </c>
      <c r="Q821" s="67"/>
      <c r="R821" s="67"/>
      <c r="S821" s="65" t="s">
        <v>17</v>
      </c>
      <c r="T821" s="70" t="s">
        <v>4</v>
      </c>
      <c r="U821" s="65" t="s">
        <v>12</v>
      </c>
      <c r="V821" s="65" t="s">
        <v>1917</v>
      </c>
      <c r="W821" s="65" t="s">
        <v>4</v>
      </c>
      <c r="X821" s="65" t="s">
        <v>1976</v>
      </c>
      <c r="Y821" s="65" t="s">
        <v>4</v>
      </c>
      <c r="Z821" s="65" t="s">
        <v>4</v>
      </c>
      <c r="AA821" s="65" t="s">
        <v>4</v>
      </c>
    </row>
    <row r="822" spans="1:27" ht="17.45" hidden="1" customHeight="1">
      <c r="A822" s="100" t="str">
        <f>IF(priority(Main[[#This Row],[Comments]])&lt;&gt;0, priority(Main[[#This Row],[Comments]]),"")</f>
        <v/>
      </c>
      <c r="B822" s="77" t="s">
        <v>1770</v>
      </c>
      <c r="C822" s="65" t="s">
        <v>4</v>
      </c>
      <c r="D822" s="66" t="s">
        <v>805</v>
      </c>
      <c r="E822" s="67"/>
      <c r="F822" s="67"/>
      <c r="G822" s="64" t="str">
        <f>IF(stdProdLT(Main[[#This Row],[Comments]])=0.1,"N/A",IF(stdProdLT(Main[[#This Row],[Comments]])=0,"",stdProdLT(Main[[#This Row],[Comments]])))</f>
        <v/>
      </c>
      <c r="H822" s="68" t="str">
        <f>IF(AND(Main[[#This Row],[In Stock Date]]&lt;&gt;"",Main[[#This Row],[Revised Due Date]]&lt;&gt;""),Main[[#This Row],[In Stock Date]]-Main[[#This Row],[Revised Due Date]],"")</f>
        <v/>
      </c>
      <c r="I822" s="65" t="s">
        <v>4</v>
      </c>
      <c r="J822" s="65" t="s">
        <v>4</v>
      </c>
      <c r="K822" s="65" t="s">
        <v>4</v>
      </c>
      <c r="L822" s="67"/>
      <c r="M822" s="69" t="str">
        <f>IF(Main[[#This Row],[Tech Start Date]]&lt;1/1/1990,"",IF(Main[[#This Row],[Class]]="C",WORKDAY(Main[[#This Row],[Tech Start Date]],9),IF(Main[[#This Row],[Class]]="B", WORKDAY(Main[[#This Row],[Tech Start Date]],6),IF(Main[[#This Row],[Class]]="A",WORKDAY(Main[[#This Row],[Tech Start Date]],2),""))))</f>
        <v/>
      </c>
      <c r="N822" s="69" t="str">
        <f>IF(Main[[#This Row],[Tech Start Date]]&lt;1/1/1990,"",IF(Main[[#This Row],[Class]]="C",WORKDAY(Main[[#This Row],[Tech Start Date]],19),IF(Main[[#This Row],[Class]]="B", WORKDAY(Main[[#This Row],[Tech Start Date]],12),IF(Main[[#This Row],[Class]]="A",WORKDAY(Main[[#This Row],[Tech Start Date]],4),""))))</f>
        <v/>
      </c>
      <c r="O822" s="69" t="str">
        <f>IF(Main[[#This Row],[Tech Start Date]]&lt;1/1/1990,"",IF(Main[[#This Row],[Class]]="C",WORKDAY(Main[[#This Row],[Tech Start Date]],23),IF(Main[[#This Row],[Class]]="B", WORKDAY(Main[[#This Row],[Tech Start Date]],15),IF(Main[[#This Row],[Class]]="A",WORKDAY(Main[[#This Row],[Tech Start Date]],5),""))))</f>
        <v/>
      </c>
      <c r="P822" s="69" t="str">
        <f>IF(Main[[#This Row],[Tech Start Date]]&lt;1/1/1990,"",IF(Main[[#This Row],[Class]]="C",WORKDAY(Main[[#This Row],[Tech Start Date]],28),IF(Main[[#This Row],[Class]]="B", WORKDAY(Main[[#This Row],[Tech Start Date]],19),IF(Main[[#This Row],[Class]]="A",WORKDAY(Main[[#This Row],[Tech Start Date]],9),""))))</f>
        <v/>
      </c>
      <c r="Q822" s="67"/>
      <c r="R822" s="67"/>
      <c r="S822" s="65" t="s">
        <v>6</v>
      </c>
      <c r="T822" s="70" t="s">
        <v>4</v>
      </c>
      <c r="U822" s="65" t="s">
        <v>12</v>
      </c>
      <c r="V822" s="65" t="s">
        <v>1914</v>
      </c>
      <c r="W822" s="65" t="s">
        <v>1918</v>
      </c>
      <c r="X822" s="65" t="s">
        <v>877</v>
      </c>
      <c r="Y822" s="65" t="s">
        <v>3009</v>
      </c>
      <c r="Z822" s="65" t="s">
        <v>4</v>
      </c>
      <c r="AA822" s="65" t="s">
        <v>877</v>
      </c>
    </row>
    <row r="823" spans="1:27" ht="17.45" hidden="1" customHeight="1">
      <c r="A823" s="100" t="str">
        <f>IF(priority(Main[[#This Row],[Comments]])&lt;&gt;0, priority(Main[[#This Row],[Comments]]),"")</f>
        <v/>
      </c>
      <c r="B823" s="77" t="s">
        <v>1745</v>
      </c>
      <c r="C823" s="65" t="s">
        <v>284</v>
      </c>
      <c r="D823" s="66" t="s">
        <v>796</v>
      </c>
      <c r="E823" s="67"/>
      <c r="F823" s="67"/>
      <c r="G823" s="64" t="str">
        <f>IF(stdProdLT(Main[[#This Row],[Comments]])=0.1,"N/A",IF(stdProdLT(Main[[#This Row],[Comments]])=0,"",stdProdLT(Main[[#This Row],[Comments]])))</f>
        <v/>
      </c>
      <c r="H823" s="68" t="str">
        <f>IF(AND(Main[[#This Row],[In Stock Date]]&lt;&gt;"",Main[[#This Row],[Revised Due Date]]&lt;&gt;""),Main[[#This Row],[In Stock Date]]-Main[[#This Row],[Revised Due Date]],"")</f>
        <v/>
      </c>
      <c r="I823" s="65" t="s">
        <v>4</v>
      </c>
      <c r="J823" s="65" t="s">
        <v>4</v>
      </c>
      <c r="K823" s="71" t="s">
        <v>4</v>
      </c>
      <c r="L823" s="67"/>
      <c r="M823" s="69" t="str">
        <f>IF(Main[[#This Row],[Tech Start Date]]&lt;1/1/1990,"",IF(Main[[#This Row],[Class]]="C",WORKDAY(Main[[#This Row],[Tech Start Date]],9),IF(Main[[#This Row],[Class]]="B", WORKDAY(Main[[#This Row],[Tech Start Date]],6),IF(Main[[#This Row],[Class]]="A",WORKDAY(Main[[#This Row],[Tech Start Date]],2),""))))</f>
        <v/>
      </c>
      <c r="N823" s="69" t="str">
        <f>IF(Main[[#This Row],[Tech Start Date]]&lt;1/1/1990,"",IF(Main[[#This Row],[Class]]="C",WORKDAY(Main[[#This Row],[Tech Start Date]],19),IF(Main[[#This Row],[Class]]="B", WORKDAY(Main[[#This Row],[Tech Start Date]],12),IF(Main[[#This Row],[Class]]="A",WORKDAY(Main[[#This Row],[Tech Start Date]],4),""))))</f>
        <v/>
      </c>
      <c r="O823" s="69" t="str">
        <f>IF(Main[[#This Row],[Tech Start Date]]&lt;1/1/1990,"",IF(Main[[#This Row],[Class]]="C",WORKDAY(Main[[#This Row],[Tech Start Date]],23),IF(Main[[#This Row],[Class]]="B", WORKDAY(Main[[#This Row],[Tech Start Date]],15),IF(Main[[#This Row],[Class]]="A",WORKDAY(Main[[#This Row],[Tech Start Date]],5),""))))</f>
        <v/>
      </c>
      <c r="P823" s="69" t="str">
        <f>IF(Main[[#This Row],[Tech Start Date]]&lt;1/1/1990,"",IF(Main[[#This Row],[Class]]="C",WORKDAY(Main[[#This Row],[Tech Start Date]],28),IF(Main[[#This Row],[Class]]="B", WORKDAY(Main[[#This Row],[Tech Start Date]],19),IF(Main[[#This Row],[Class]]="A",WORKDAY(Main[[#This Row],[Tech Start Date]],9),""))))</f>
        <v/>
      </c>
      <c r="Q823" s="67">
        <v>40134</v>
      </c>
      <c r="R823" s="67"/>
      <c r="S823" s="65" t="s">
        <v>11</v>
      </c>
      <c r="T823" s="70" t="s">
        <v>4</v>
      </c>
      <c r="U823" s="65" t="s">
        <v>14</v>
      </c>
      <c r="V823" s="65" t="s">
        <v>1924</v>
      </c>
      <c r="W823" s="65" t="s">
        <v>1922</v>
      </c>
      <c r="X823" s="65" t="s">
        <v>2817</v>
      </c>
      <c r="Y823" s="65" t="s">
        <v>4</v>
      </c>
      <c r="Z823" s="65" t="s">
        <v>4</v>
      </c>
      <c r="AA823" s="65" t="s">
        <v>2817</v>
      </c>
    </row>
    <row r="824" spans="1:27" ht="17.45" hidden="1" customHeight="1">
      <c r="A824" s="100" t="str">
        <f>IF(priority(Main[[#This Row],[Comments]])&lt;&gt;0, priority(Main[[#This Row],[Comments]]),"")</f>
        <v/>
      </c>
      <c r="B824" s="77" t="s">
        <v>1746</v>
      </c>
      <c r="C824" s="65" t="s">
        <v>4</v>
      </c>
      <c r="D824" s="66" t="s">
        <v>797</v>
      </c>
      <c r="E824" s="67"/>
      <c r="F824" s="67">
        <v>40598</v>
      </c>
      <c r="G824" s="64" t="str">
        <f>IF(stdProdLT(Main[[#This Row],[Comments]])=0.1,"N/A",IF(stdProdLT(Main[[#This Row],[Comments]])=0,"",stdProdLT(Main[[#This Row],[Comments]])))</f>
        <v/>
      </c>
      <c r="H824" s="68" t="str">
        <f>IF(AND(Main[[#This Row],[In Stock Date]]&lt;&gt;"",Main[[#This Row],[Revised Due Date]]&lt;&gt;""),Main[[#This Row],[In Stock Date]]-Main[[#This Row],[Revised Due Date]],"")</f>
        <v/>
      </c>
      <c r="I824" s="65" t="s">
        <v>4</v>
      </c>
      <c r="J824" s="65" t="s">
        <v>4</v>
      </c>
      <c r="K824" s="65" t="s">
        <v>4</v>
      </c>
      <c r="L824" s="67"/>
      <c r="M824" s="69" t="str">
        <f>IF(Main[[#This Row],[Tech Start Date]]&lt;1/1/1990,"",IF(Main[[#This Row],[Class]]="C",WORKDAY(Main[[#This Row],[Tech Start Date]],9),IF(Main[[#This Row],[Class]]="B", WORKDAY(Main[[#This Row],[Tech Start Date]],6),IF(Main[[#This Row],[Class]]="A",WORKDAY(Main[[#This Row],[Tech Start Date]],2),""))))</f>
        <v/>
      </c>
      <c r="N824" s="69" t="str">
        <f>IF(Main[[#This Row],[Tech Start Date]]&lt;1/1/1990,"",IF(Main[[#This Row],[Class]]="C",WORKDAY(Main[[#This Row],[Tech Start Date]],19),IF(Main[[#This Row],[Class]]="B", WORKDAY(Main[[#This Row],[Tech Start Date]],12),IF(Main[[#This Row],[Class]]="A",WORKDAY(Main[[#This Row],[Tech Start Date]],4),""))))</f>
        <v/>
      </c>
      <c r="O824" s="69" t="str">
        <f>IF(Main[[#This Row],[Tech Start Date]]&lt;1/1/1990,"",IF(Main[[#This Row],[Class]]="C",WORKDAY(Main[[#This Row],[Tech Start Date]],23),IF(Main[[#This Row],[Class]]="B", WORKDAY(Main[[#This Row],[Tech Start Date]],15),IF(Main[[#This Row],[Class]]="A",WORKDAY(Main[[#This Row],[Tech Start Date]],5),""))))</f>
        <v/>
      </c>
      <c r="P824" s="69" t="str">
        <f>IF(Main[[#This Row],[Tech Start Date]]&lt;1/1/1990,"",IF(Main[[#This Row],[Class]]="C",WORKDAY(Main[[#This Row],[Tech Start Date]],28),IF(Main[[#This Row],[Class]]="B", WORKDAY(Main[[#This Row],[Tech Start Date]],19),IF(Main[[#This Row],[Class]]="A",WORKDAY(Main[[#This Row],[Tech Start Date]],9),""))))</f>
        <v/>
      </c>
      <c r="Q824" s="67">
        <v>40598</v>
      </c>
      <c r="R824" s="67"/>
      <c r="S824" s="65" t="s">
        <v>11</v>
      </c>
      <c r="T824" s="70" t="s">
        <v>4</v>
      </c>
      <c r="U824" s="65" t="s">
        <v>14</v>
      </c>
      <c r="V824" s="65" t="s">
        <v>1924</v>
      </c>
      <c r="W824" s="65" t="s">
        <v>1920</v>
      </c>
      <c r="X824" s="65" t="s">
        <v>2848</v>
      </c>
      <c r="Y824" s="65" t="s">
        <v>2979</v>
      </c>
      <c r="Z824" s="65" t="s">
        <v>4</v>
      </c>
      <c r="AA824" s="65" t="s">
        <v>2848</v>
      </c>
    </row>
    <row r="825" spans="1:27" ht="17.45" hidden="1" customHeight="1">
      <c r="A825" s="100" t="str">
        <f>IF(priority(Main[[#This Row],[Comments]])&lt;&gt;0, priority(Main[[#This Row],[Comments]]),"")</f>
        <v/>
      </c>
      <c r="B825" s="77" t="s">
        <v>1747</v>
      </c>
      <c r="C825" s="65" t="s">
        <v>436</v>
      </c>
      <c r="D825" s="66" t="s">
        <v>789</v>
      </c>
      <c r="E825" s="67"/>
      <c r="F825" s="67"/>
      <c r="G825" s="64" t="str">
        <f>IF(stdProdLT(Main[[#This Row],[Comments]])=0.1,"N/A",IF(stdProdLT(Main[[#This Row],[Comments]])=0,"",stdProdLT(Main[[#This Row],[Comments]])))</f>
        <v/>
      </c>
      <c r="H825" s="68" t="str">
        <f>IF(AND(Main[[#This Row],[In Stock Date]]&lt;&gt;"",Main[[#This Row],[Revised Due Date]]&lt;&gt;""),Main[[#This Row],[In Stock Date]]-Main[[#This Row],[Revised Due Date]],"")</f>
        <v/>
      </c>
      <c r="I825" s="65" t="s">
        <v>4</v>
      </c>
      <c r="J825" s="65" t="s">
        <v>4</v>
      </c>
      <c r="K825" s="65" t="s">
        <v>4</v>
      </c>
      <c r="L825" s="67"/>
      <c r="M825" s="69" t="str">
        <f>IF(Main[[#This Row],[Tech Start Date]]&lt;1/1/1990,"",IF(Main[[#This Row],[Class]]="C",WORKDAY(Main[[#This Row],[Tech Start Date]],9),IF(Main[[#This Row],[Class]]="B", WORKDAY(Main[[#This Row],[Tech Start Date]],6),IF(Main[[#This Row],[Class]]="A",WORKDAY(Main[[#This Row],[Tech Start Date]],2),""))))</f>
        <v/>
      </c>
      <c r="N825" s="69" t="str">
        <f>IF(Main[[#This Row],[Tech Start Date]]&lt;1/1/1990,"",IF(Main[[#This Row],[Class]]="C",WORKDAY(Main[[#This Row],[Tech Start Date]],19),IF(Main[[#This Row],[Class]]="B", WORKDAY(Main[[#This Row],[Tech Start Date]],12),IF(Main[[#This Row],[Class]]="A",WORKDAY(Main[[#This Row],[Tech Start Date]],4),""))))</f>
        <v/>
      </c>
      <c r="O825" s="69" t="str">
        <f>IF(Main[[#This Row],[Tech Start Date]]&lt;1/1/1990,"",IF(Main[[#This Row],[Class]]="C",WORKDAY(Main[[#This Row],[Tech Start Date]],23),IF(Main[[#This Row],[Class]]="B", WORKDAY(Main[[#This Row],[Tech Start Date]],15),IF(Main[[#This Row],[Class]]="A",WORKDAY(Main[[#This Row],[Tech Start Date]],5),""))))</f>
        <v/>
      </c>
      <c r="P825" s="69" t="str">
        <f>IF(Main[[#This Row],[Tech Start Date]]&lt;1/1/1990,"",IF(Main[[#This Row],[Class]]="C",WORKDAY(Main[[#This Row],[Tech Start Date]],28),IF(Main[[#This Row],[Class]]="B", WORKDAY(Main[[#This Row],[Tech Start Date]],19),IF(Main[[#This Row],[Class]]="A",WORKDAY(Main[[#This Row],[Tech Start Date]],9),""))))</f>
        <v/>
      </c>
      <c r="Q825" s="67"/>
      <c r="R825" s="67"/>
      <c r="S825" s="65" t="s">
        <v>11</v>
      </c>
      <c r="T825" s="70" t="s">
        <v>4</v>
      </c>
      <c r="U825" s="65" t="s">
        <v>14</v>
      </c>
      <c r="V825" s="65" t="s">
        <v>1914</v>
      </c>
      <c r="W825" s="65" t="s">
        <v>1922</v>
      </c>
      <c r="X825" s="65" t="s">
        <v>2853</v>
      </c>
      <c r="Y825" s="65" t="s">
        <v>2991</v>
      </c>
      <c r="Z825" s="65" t="s">
        <v>4</v>
      </c>
      <c r="AA825" s="65" t="s">
        <v>2853</v>
      </c>
    </row>
    <row r="826" spans="1:27" ht="17.45" hidden="1" customHeight="1">
      <c r="A826" s="100" t="str">
        <f>IF(priority(Main[[#This Row],[Comments]])&lt;&gt;0, priority(Main[[#This Row],[Comments]]),"")</f>
        <v/>
      </c>
      <c r="B826" s="77" t="s">
        <v>1749</v>
      </c>
      <c r="C826" s="65" t="s">
        <v>4</v>
      </c>
      <c r="D826" s="66" t="s">
        <v>798</v>
      </c>
      <c r="E826" s="67"/>
      <c r="F826" s="67"/>
      <c r="G826" s="64" t="str">
        <f>IF(stdProdLT(Main[[#This Row],[Comments]])=0.1,"N/A",IF(stdProdLT(Main[[#This Row],[Comments]])=0,"",stdProdLT(Main[[#This Row],[Comments]])))</f>
        <v/>
      </c>
      <c r="H826" s="68" t="str">
        <f>IF(AND(Main[[#This Row],[In Stock Date]]&lt;&gt;"",Main[[#This Row],[Revised Due Date]]&lt;&gt;""),Main[[#This Row],[In Stock Date]]-Main[[#This Row],[Revised Due Date]],"")</f>
        <v/>
      </c>
      <c r="I826" s="65" t="s">
        <v>4</v>
      </c>
      <c r="J826" s="65" t="s">
        <v>4</v>
      </c>
      <c r="K826" s="65" t="s">
        <v>4</v>
      </c>
      <c r="L826" s="67"/>
      <c r="M826" s="69" t="str">
        <f>IF(Main[[#This Row],[Tech Start Date]]&lt;1/1/1990,"",IF(Main[[#This Row],[Class]]="C",WORKDAY(Main[[#This Row],[Tech Start Date]],9),IF(Main[[#This Row],[Class]]="B", WORKDAY(Main[[#This Row],[Tech Start Date]],6),IF(Main[[#This Row],[Class]]="A",WORKDAY(Main[[#This Row],[Tech Start Date]],2),""))))</f>
        <v/>
      </c>
      <c r="N826" s="69" t="str">
        <f>IF(Main[[#This Row],[Tech Start Date]]&lt;1/1/1990,"",IF(Main[[#This Row],[Class]]="C",WORKDAY(Main[[#This Row],[Tech Start Date]],19),IF(Main[[#This Row],[Class]]="B", WORKDAY(Main[[#This Row],[Tech Start Date]],12),IF(Main[[#This Row],[Class]]="A",WORKDAY(Main[[#This Row],[Tech Start Date]],4),""))))</f>
        <v/>
      </c>
      <c r="O826" s="69" t="str">
        <f>IF(Main[[#This Row],[Tech Start Date]]&lt;1/1/1990,"",IF(Main[[#This Row],[Class]]="C",WORKDAY(Main[[#This Row],[Tech Start Date]],23),IF(Main[[#This Row],[Class]]="B", WORKDAY(Main[[#This Row],[Tech Start Date]],15),IF(Main[[#This Row],[Class]]="A",WORKDAY(Main[[#This Row],[Tech Start Date]],5),""))))</f>
        <v/>
      </c>
      <c r="P826" s="69" t="str">
        <f>IF(Main[[#This Row],[Tech Start Date]]&lt;1/1/1990,"",IF(Main[[#This Row],[Class]]="C",WORKDAY(Main[[#This Row],[Tech Start Date]],28),IF(Main[[#This Row],[Class]]="B", WORKDAY(Main[[#This Row],[Tech Start Date]],19),IF(Main[[#This Row],[Class]]="A",WORKDAY(Main[[#This Row],[Tech Start Date]],9),""))))</f>
        <v/>
      </c>
      <c r="Q826" s="67"/>
      <c r="R826" s="67"/>
      <c r="S826" s="65" t="s">
        <v>23</v>
      </c>
      <c r="T826" s="70" t="s">
        <v>4</v>
      </c>
      <c r="U826" s="65" t="s">
        <v>14</v>
      </c>
      <c r="V826" s="65" t="s">
        <v>1924</v>
      </c>
      <c r="W826" s="65" t="s">
        <v>1918</v>
      </c>
      <c r="X826" s="65" t="s">
        <v>417</v>
      </c>
      <c r="Y826" s="65" t="s">
        <v>3106</v>
      </c>
      <c r="Z826" s="65" t="s">
        <v>4</v>
      </c>
      <c r="AA826" s="65" t="s">
        <v>417</v>
      </c>
    </row>
    <row r="827" spans="1:27" ht="17.45" hidden="1" customHeight="1">
      <c r="A827" s="100" t="str">
        <f>IF(priority(Main[[#This Row],[Comments]])&lt;&gt;0, priority(Main[[#This Row],[Comments]]),"")</f>
        <v/>
      </c>
      <c r="B827" s="77" t="s">
        <v>1096</v>
      </c>
      <c r="C827" s="65" t="s">
        <v>4</v>
      </c>
      <c r="D827" s="66" t="s">
        <v>145</v>
      </c>
      <c r="E827" s="67"/>
      <c r="F827" s="67"/>
      <c r="G827" s="64" t="str">
        <f>IF(stdProdLT(Main[[#This Row],[Comments]])=0.1,"N/A",IF(stdProdLT(Main[[#This Row],[Comments]])=0,"",stdProdLT(Main[[#This Row],[Comments]])))</f>
        <v/>
      </c>
      <c r="H827" s="68" t="str">
        <f>IF(AND(Main[[#This Row],[In Stock Date]]&lt;&gt;"",Main[[#This Row],[Revised Due Date]]&lt;&gt;""),Main[[#This Row],[In Stock Date]]-Main[[#This Row],[Revised Due Date]],"")</f>
        <v/>
      </c>
      <c r="I827" s="65" t="s">
        <v>4</v>
      </c>
      <c r="J827" s="65" t="s">
        <v>4</v>
      </c>
      <c r="K827" s="65" t="s">
        <v>4</v>
      </c>
      <c r="L827" s="67"/>
      <c r="M827" s="69" t="str">
        <f>IF(Main[[#This Row],[Tech Start Date]]&lt;1/1/1990,"",IF(Main[[#This Row],[Class]]="C",WORKDAY(Main[[#This Row],[Tech Start Date]],9),IF(Main[[#This Row],[Class]]="B", WORKDAY(Main[[#This Row],[Tech Start Date]],6),IF(Main[[#This Row],[Class]]="A",WORKDAY(Main[[#This Row],[Tech Start Date]],2),""))))</f>
        <v/>
      </c>
      <c r="N827" s="69" t="str">
        <f>IF(Main[[#This Row],[Tech Start Date]]&lt;1/1/1990,"",IF(Main[[#This Row],[Class]]="C",WORKDAY(Main[[#This Row],[Tech Start Date]],19),IF(Main[[#This Row],[Class]]="B", WORKDAY(Main[[#This Row],[Tech Start Date]],12),IF(Main[[#This Row],[Class]]="A",WORKDAY(Main[[#This Row],[Tech Start Date]],4),""))))</f>
        <v/>
      </c>
      <c r="O827" s="69" t="str">
        <f>IF(Main[[#This Row],[Tech Start Date]]&lt;1/1/1990,"",IF(Main[[#This Row],[Class]]="C",WORKDAY(Main[[#This Row],[Tech Start Date]],23),IF(Main[[#This Row],[Class]]="B", WORKDAY(Main[[#This Row],[Tech Start Date]],15),IF(Main[[#This Row],[Class]]="A",WORKDAY(Main[[#This Row],[Tech Start Date]],5),""))))</f>
        <v/>
      </c>
      <c r="P827" s="69" t="str">
        <f>IF(Main[[#This Row],[Tech Start Date]]&lt;1/1/1990,"",IF(Main[[#This Row],[Class]]="C",WORKDAY(Main[[#This Row],[Tech Start Date]],28),IF(Main[[#This Row],[Class]]="B", WORKDAY(Main[[#This Row],[Tech Start Date]],19),IF(Main[[#This Row],[Class]]="A",WORKDAY(Main[[#This Row],[Tech Start Date]],9),""))))</f>
        <v/>
      </c>
      <c r="Q827" s="67"/>
      <c r="R827" s="67"/>
      <c r="S827" s="65" t="s">
        <v>17</v>
      </c>
      <c r="T827" s="70" t="s">
        <v>4</v>
      </c>
      <c r="U827" s="65" t="s">
        <v>14</v>
      </c>
      <c r="V827" s="65" t="s">
        <v>1929</v>
      </c>
      <c r="W827" s="65" t="s">
        <v>1916</v>
      </c>
      <c r="X827" s="65" t="s">
        <v>2907</v>
      </c>
      <c r="Y827" s="65" t="s">
        <v>3105</v>
      </c>
      <c r="Z827" s="65" t="s">
        <v>4</v>
      </c>
      <c r="AA827" s="65" t="s">
        <v>2907</v>
      </c>
    </row>
    <row r="828" spans="1:27" ht="17.45" hidden="1" customHeight="1">
      <c r="A828" s="100" t="str">
        <f>IF(priority(Main[[#This Row],[Comments]])&lt;&gt;0, priority(Main[[#This Row],[Comments]]),"")</f>
        <v/>
      </c>
      <c r="B828" s="77" t="s">
        <v>1681</v>
      </c>
      <c r="C828" s="65" t="s">
        <v>37</v>
      </c>
      <c r="D828" s="66" t="s">
        <v>2391</v>
      </c>
      <c r="E828" s="67">
        <v>40682.483831018515</v>
      </c>
      <c r="F828" s="67"/>
      <c r="G828" s="64" t="str">
        <f>IF(stdProdLT(Main[[#This Row],[Comments]])=0.1,"N/A",IF(stdProdLT(Main[[#This Row],[Comments]])=0,"",stdProdLT(Main[[#This Row],[Comments]])))</f>
        <v/>
      </c>
      <c r="H828" s="68" t="str">
        <f>IF(AND(Main[[#This Row],[In Stock Date]]&lt;&gt;"",Main[[#This Row],[Revised Due Date]]&lt;&gt;""),Main[[#This Row],[In Stock Date]]-Main[[#This Row],[Revised Due Date]],"")</f>
        <v/>
      </c>
      <c r="I828" s="65" t="s">
        <v>4</v>
      </c>
      <c r="J828" s="65" t="s">
        <v>4</v>
      </c>
      <c r="K828" s="65" t="s">
        <v>4</v>
      </c>
      <c r="L828" s="67"/>
      <c r="M828" s="69" t="str">
        <f>IF(Main[[#This Row],[Tech Start Date]]&lt;1/1/1990,"",IF(Main[[#This Row],[Class]]="C",WORKDAY(Main[[#This Row],[Tech Start Date]],9),IF(Main[[#This Row],[Class]]="B", WORKDAY(Main[[#This Row],[Tech Start Date]],6),IF(Main[[#This Row],[Class]]="A",WORKDAY(Main[[#This Row],[Tech Start Date]],2),""))))</f>
        <v/>
      </c>
      <c r="N828" s="69" t="str">
        <f>IF(Main[[#This Row],[Tech Start Date]]&lt;1/1/1990,"",IF(Main[[#This Row],[Class]]="C",WORKDAY(Main[[#This Row],[Tech Start Date]],19),IF(Main[[#This Row],[Class]]="B", WORKDAY(Main[[#This Row],[Tech Start Date]],12),IF(Main[[#This Row],[Class]]="A",WORKDAY(Main[[#This Row],[Tech Start Date]],4),""))))</f>
        <v/>
      </c>
      <c r="O828" s="69" t="str">
        <f>IF(Main[[#This Row],[Tech Start Date]]&lt;1/1/1990,"",IF(Main[[#This Row],[Class]]="C",WORKDAY(Main[[#This Row],[Tech Start Date]],23),IF(Main[[#This Row],[Class]]="B", WORKDAY(Main[[#This Row],[Tech Start Date]],15),IF(Main[[#This Row],[Class]]="A",WORKDAY(Main[[#This Row],[Tech Start Date]],5),""))))</f>
        <v/>
      </c>
      <c r="P828" s="69" t="str">
        <f>IF(Main[[#This Row],[Tech Start Date]]&lt;1/1/1990,"",IF(Main[[#This Row],[Class]]="C",WORKDAY(Main[[#This Row],[Tech Start Date]],28),IF(Main[[#This Row],[Class]]="B", WORKDAY(Main[[#This Row],[Tech Start Date]],19),IF(Main[[#This Row],[Class]]="A",WORKDAY(Main[[#This Row],[Tech Start Date]],9),""))))</f>
        <v/>
      </c>
      <c r="Q828" s="67">
        <v>40700</v>
      </c>
      <c r="R828" s="67"/>
      <c r="S828" s="65" t="s">
        <v>6</v>
      </c>
      <c r="T828" s="70" t="s">
        <v>4</v>
      </c>
      <c r="U828" s="65" t="s">
        <v>534</v>
      </c>
      <c r="V828" s="65" t="s">
        <v>1914</v>
      </c>
      <c r="W828" s="65" t="s">
        <v>1925</v>
      </c>
      <c r="X828" s="65" t="s">
        <v>970</v>
      </c>
      <c r="Y828" s="65" t="s">
        <v>3097</v>
      </c>
      <c r="Z828" s="65" t="s">
        <v>4</v>
      </c>
      <c r="AA828" s="65" t="s">
        <v>970</v>
      </c>
    </row>
    <row r="829" spans="1:27" ht="17.45" hidden="1" customHeight="1">
      <c r="A829" s="100" t="str">
        <f>IF(priority(Main[[#This Row],[Comments]])&lt;&gt;0, priority(Main[[#This Row],[Comments]]),"")</f>
        <v/>
      </c>
      <c r="B829" s="77" t="s">
        <v>1750</v>
      </c>
      <c r="C829" s="65" t="s">
        <v>692</v>
      </c>
      <c r="D829" s="66" t="s">
        <v>693</v>
      </c>
      <c r="E829" s="67"/>
      <c r="F829" s="67"/>
      <c r="G829" s="64" t="str">
        <f>IF(stdProdLT(Main[[#This Row],[Comments]])=0.1,"N/A",IF(stdProdLT(Main[[#This Row],[Comments]])=0,"",stdProdLT(Main[[#This Row],[Comments]])))</f>
        <v/>
      </c>
      <c r="H829" s="68" t="str">
        <f>IF(AND(Main[[#This Row],[In Stock Date]]&lt;&gt;"",Main[[#This Row],[Revised Due Date]]&lt;&gt;""),Main[[#This Row],[In Stock Date]]-Main[[#This Row],[Revised Due Date]],"")</f>
        <v/>
      </c>
      <c r="I829" s="65" t="s">
        <v>4</v>
      </c>
      <c r="J829" s="65" t="s">
        <v>4</v>
      </c>
      <c r="K829" s="65" t="s">
        <v>4</v>
      </c>
      <c r="L829" s="67"/>
      <c r="M829" s="69" t="str">
        <f>IF(Main[[#This Row],[Tech Start Date]]&lt;1/1/1990,"",IF(Main[[#This Row],[Class]]="C",WORKDAY(Main[[#This Row],[Tech Start Date]],9),IF(Main[[#This Row],[Class]]="B", WORKDAY(Main[[#This Row],[Tech Start Date]],6),IF(Main[[#This Row],[Class]]="A",WORKDAY(Main[[#This Row],[Tech Start Date]],2),""))))</f>
        <v/>
      </c>
      <c r="N829" s="69" t="str">
        <f>IF(Main[[#This Row],[Tech Start Date]]&lt;1/1/1990,"",IF(Main[[#This Row],[Class]]="C",WORKDAY(Main[[#This Row],[Tech Start Date]],19),IF(Main[[#This Row],[Class]]="B", WORKDAY(Main[[#This Row],[Tech Start Date]],12),IF(Main[[#This Row],[Class]]="A",WORKDAY(Main[[#This Row],[Tech Start Date]],4),""))))</f>
        <v/>
      </c>
      <c r="O829" s="69" t="str">
        <f>IF(Main[[#This Row],[Tech Start Date]]&lt;1/1/1990,"",IF(Main[[#This Row],[Class]]="C",WORKDAY(Main[[#This Row],[Tech Start Date]],23),IF(Main[[#This Row],[Class]]="B", WORKDAY(Main[[#This Row],[Tech Start Date]],15),IF(Main[[#This Row],[Class]]="A",WORKDAY(Main[[#This Row],[Tech Start Date]],5),""))))</f>
        <v/>
      </c>
      <c r="P829" s="69" t="str">
        <f>IF(Main[[#This Row],[Tech Start Date]]&lt;1/1/1990,"",IF(Main[[#This Row],[Class]]="C",WORKDAY(Main[[#This Row],[Tech Start Date]],28),IF(Main[[#This Row],[Class]]="B", WORKDAY(Main[[#This Row],[Tech Start Date]],19),IF(Main[[#This Row],[Class]]="A",WORKDAY(Main[[#This Row],[Tech Start Date]],9),""))))</f>
        <v/>
      </c>
      <c r="Q829" s="67">
        <v>40672</v>
      </c>
      <c r="R829" s="67"/>
      <c r="S829" s="65" t="s">
        <v>11</v>
      </c>
      <c r="T829" s="70" t="s">
        <v>4</v>
      </c>
      <c r="U829" s="65" t="s">
        <v>12</v>
      </c>
      <c r="V829" s="65" t="s">
        <v>1914</v>
      </c>
      <c r="W829" s="65" t="s">
        <v>1916</v>
      </c>
      <c r="X829" s="65" t="s">
        <v>2908</v>
      </c>
      <c r="Y829" s="65" t="s">
        <v>4</v>
      </c>
      <c r="Z829" s="65" t="s">
        <v>4</v>
      </c>
      <c r="AA829" s="65" t="s">
        <v>2908</v>
      </c>
    </row>
    <row r="830" spans="1:27" ht="17.45" hidden="1" customHeight="1">
      <c r="A830" s="100" t="str">
        <f>IF(priority(Main[[#This Row],[Comments]])&lt;&gt;0, priority(Main[[#This Row],[Comments]]),"")</f>
        <v/>
      </c>
      <c r="B830" s="77" t="s">
        <v>1751</v>
      </c>
      <c r="C830" s="65" t="s">
        <v>4</v>
      </c>
      <c r="D830" s="66" t="s">
        <v>799</v>
      </c>
      <c r="E830" s="67"/>
      <c r="F830" s="67"/>
      <c r="G830" s="64" t="str">
        <f>IF(stdProdLT(Main[[#This Row],[Comments]])=0.1,"N/A",IF(stdProdLT(Main[[#This Row],[Comments]])=0,"",stdProdLT(Main[[#This Row],[Comments]])))</f>
        <v/>
      </c>
      <c r="H830" s="68" t="str">
        <f>IF(AND(Main[[#This Row],[In Stock Date]]&lt;&gt;"",Main[[#This Row],[Revised Due Date]]&lt;&gt;""),Main[[#This Row],[In Stock Date]]-Main[[#This Row],[Revised Due Date]],"")</f>
        <v/>
      </c>
      <c r="I830" s="65" t="s">
        <v>4</v>
      </c>
      <c r="J830" s="65" t="s">
        <v>28</v>
      </c>
      <c r="K830" s="65" t="s">
        <v>1923</v>
      </c>
      <c r="L830" s="67"/>
      <c r="M830" s="69" t="str">
        <f>IF(Main[[#This Row],[Tech Start Date]]&lt;1/1/1990,"",IF(Main[[#This Row],[Class]]="C",WORKDAY(Main[[#This Row],[Tech Start Date]],9),IF(Main[[#This Row],[Class]]="B", WORKDAY(Main[[#This Row],[Tech Start Date]],6),IF(Main[[#This Row],[Class]]="A",WORKDAY(Main[[#This Row],[Tech Start Date]],2),""))))</f>
        <v/>
      </c>
      <c r="N830" s="69" t="str">
        <f>IF(Main[[#This Row],[Tech Start Date]]&lt;1/1/1990,"",IF(Main[[#This Row],[Class]]="C",WORKDAY(Main[[#This Row],[Tech Start Date]],19),IF(Main[[#This Row],[Class]]="B", WORKDAY(Main[[#This Row],[Tech Start Date]],12),IF(Main[[#This Row],[Class]]="A",WORKDAY(Main[[#This Row],[Tech Start Date]],4),""))))</f>
        <v/>
      </c>
      <c r="O830" s="69" t="str">
        <f>IF(Main[[#This Row],[Tech Start Date]]&lt;1/1/1990,"",IF(Main[[#This Row],[Class]]="C",WORKDAY(Main[[#This Row],[Tech Start Date]],23),IF(Main[[#This Row],[Class]]="B", WORKDAY(Main[[#This Row],[Tech Start Date]],15),IF(Main[[#This Row],[Class]]="A",WORKDAY(Main[[#This Row],[Tech Start Date]],5),""))))</f>
        <v/>
      </c>
      <c r="P830" s="69" t="str">
        <f>IF(Main[[#This Row],[Tech Start Date]]&lt;1/1/1990,"",IF(Main[[#This Row],[Class]]="C",WORKDAY(Main[[#This Row],[Tech Start Date]],28),IF(Main[[#This Row],[Class]]="B", WORKDAY(Main[[#This Row],[Tech Start Date]],19),IF(Main[[#This Row],[Class]]="A",WORKDAY(Main[[#This Row],[Tech Start Date]],9),""))))</f>
        <v/>
      </c>
      <c r="Q830" s="67">
        <v>40672</v>
      </c>
      <c r="R830" s="67"/>
      <c r="S830" s="65" t="s">
        <v>6</v>
      </c>
      <c r="T830" s="70" t="s">
        <v>4</v>
      </c>
      <c r="U830" s="65" t="s">
        <v>14</v>
      </c>
      <c r="V830" s="65" t="s">
        <v>1917</v>
      </c>
      <c r="W830" s="65" t="s">
        <v>1916</v>
      </c>
      <c r="X830" s="65" t="s">
        <v>2822</v>
      </c>
      <c r="Y830" s="65" t="s">
        <v>2938</v>
      </c>
      <c r="Z830" s="65" t="s">
        <v>530</v>
      </c>
      <c r="AA830" s="65" t="s">
        <v>2822</v>
      </c>
    </row>
    <row r="831" spans="1:27" ht="17.45" hidden="1" customHeight="1">
      <c r="A831" s="100" t="str">
        <f>IF(priority(Main[[#This Row],[Comments]])&lt;&gt;0, priority(Main[[#This Row],[Comments]]),"")</f>
        <v/>
      </c>
      <c r="B831" s="77" t="s">
        <v>2706</v>
      </c>
      <c r="C831" s="65" t="s">
        <v>47</v>
      </c>
      <c r="D831" s="66" t="s">
        <v>3328</v>
      </c>
      <c r="E831" s="67">
        <v>40893.759675925925</v>
      </c>
      <c r="F831" s="67"/>
      <c r="G831" s="64" t="str">
        <f>IF(stdProdLT(Main[[#This Row],[Comments]])=0.1,"N/A",IF(stdProdLT(Main[[#This Row],[Comments]])=0,"",stdProdLT(Main[[#This Row],[Comments]])))</f>
        <v/>
      </c>
      <c r="H831" s="68" t="str">
        <f>IF(AND(Main[[#This Row],[In Stock Date]]&lt;&gt;"",Main[[#This Row],[Revised Due Date]]&lt;&gt;""),Main[[#This Row],[In Stock Date]]-Main[[#This Row],[Revised Due Date]],"")</f>
        <v/>
      </c>
      <c r="I831" s="65" t="s">
        <v>4</v>
      </c>
      <c r="J831" s="65" t="s">
        <v>4</v>
      </c>
      <c r="K831" s="65" t="s">
        <v>4</v>
      </c>
      <c r="L831" s="67"/>
      <c r="M831" s="69" t="str">
        <f>IF(Main[[#This Row],[Tech Start Date]]&lt;1/1/1990,"",IF(Main[[#This Row],[Class]]="C",WORKDAY(Main[[#This Row],[Tech Start Date]],9),IF(Main[[#This Row],[Class]]="B", WORKDAY(Main[[#This Row],[Tech Start Date]],6),IF(Main[[#This Row],[Class]]="A",WORKDAY(Main[[#This Row],[Tech Start Date]],2),""))))</f>
        <v/>
      </c>
      <c r="N831" s="69" t="str">
        <f>IF(Main[[#This Row],[Tech Start Date]]&lt;1/1/1990,"",IF(Main[[#This Row],[Class]]="C",WORKDAY(Main[[#This Row],[Tech Start Date]],19),IF(Main[[#This Row],[Class]]="B", WORKDAY(Main[[#This Row],[Tech Start Date]],12),IF(Main[[#This Row],[Class]]="A",WORKDAY(Main[[#This Row],[Tech Start Date]],4),""))))</f>
        <v/>
      </c>
      <c r="O831" s="69" t="str">
        <f>IF(Main[[#This Row],[Tech Start Date]]&lt;1/1/1990,"",IF(Main[[#This Row],[Class]]="C",WORKDAY(Main[[#This Row],[Tech Start Date]],23),IF(Main[[#This Row],[Class]]="B", WORKDAY(Main[[#This Row],[Tech Start Date]],15),IF(Main[[#This Row],[Class]]="A",WORKDAY(Main[[#This Row],[Tech Start Date]],5),""))))</f>
        <v/>
      </c>
      <c r="P831" s="69" t="str">
        <f>IF(Main[[#This Row],[Tech Start Date]]&lt;1/1/1990,"",IF(Main[[#This Row],[Class]]="C",WORKDAY(Main[[#This Row],[Tech Start Date]],28),IF(Main[[#This Row],[Class]]="B", WORKDAY(Main[[#This Row],[Tech Start Date]],19),IF(Main[[#This Row],[Class]]="A",WORKDAY(Main[[#This Row],[Tech Start Date]],9),""))))</f>
        <v/>
      </c>
      <c r="Q831" s="67">
        <v>40924</v>
      </c>
      <c r="R831" s="67"/>
      <c r="S831" s="65" t="s">
        <v>6</v>
      </c>
      <c r="T831" s="70" t="s">
        <v>4</v>
      </c>
      <c r="U831" s="65" t="s">
        <v>29</v>
      </c>
      <c r="V831" s="65" t="s">
        <v>2283</v>
      </c>
      <c r="W831" s="65" t="s">
        <v>4</v>
      </c>
      <c r="X831" s="65" t="s">
        <v>2865</v>
      </c>
      <c r="Y831" s="65" t="s">
        <v>3010</v>
      </c>
      <c r="Z831" s="65" t="s">
        <v>4</v>
      </c>
      <c r="AA831" s="65" t="s">
        <v>2865</v>
      </c>
    </row>
    <row r="832" spans="1:27" ht="17.45" hidden="1" customHeight="1">
      <c r="A832" s="100" t="str">
        <f>IF(priority(Main[[#This Row],[Comments]])&lt;&gt;0, priority(Main[[#This Row],[Comments]]),"")</f>
        <v/>
      </c>
      <c r="B832" s="77" t="s">
        <v>3329</v>
      </c>
      <c r="C832" s="65" t="s">
        <v>47</v>
      </c>
      <c r="D832" s="66" t="s">
        <v>3330</v>
      </c>
      <c r="E832" s="67">
        <v>40938.416261574072</v>
      </c>
      <c r="F832" s="67"/>
      <c r="G832" s="64" t="str">
        <f>IF(stdProdLT(Main[[#This Row],[Comments]])=0.1,"N/A",IF(stdProdLT(Main[[#This Row],[Comments]])=0,"",stdProdLT(Main[[#This Row],[Comments]])))</f>
        <v/>
      </c>
      <c r="H832" s="68" t="str">
        <f>IF(AND(Main[[#This Row],[In Stock Date]]&lt;&gt;"",Main[[#This Row],[Revised Due Date]]&lt;&gt;""),Main[[#This Row],[In Stock Date]]-Main[[#This Row],[Revised Due Date]],"")</f>
        <v/>
      </c>
      <c r="I832" s="65" t="s">
        <v>4</v>
      </c>
      <c r="J832" s="65" t="s">
        <v>4</v>
      </c>
      <c r="K832" s="65" t="s">
        <v>4</v>
      </c>
      <c r="L832" s="67"/>
      <c r="M832" s="69" t="str">
        <f>IF(Main[[#This Row],[Tech Start Date]]&lt;1/1/1990,"",IF(Main[[#This Row],[Class]]="C",WORKDAY(Main[[#This Row],[Tech Start Date]],9),IF(Main[[#This Row],[Class]]="B", WORKDAY(Main[[#This Row],[Tech Start Date]],6),IF(Main[[#This Row],[Class]]="A",WORKDAY(Main[[#This Row],[Tech Start Date]],2),""))))</f>
        <v/>
      </c>
      <c r="N832" s="69" t="str">
        <f>IF(Main[[#This Row],[Tech Start Date]]&lt;1/1/1990,"",IF(Main[[#This Row],[Class]]="C",WORKDAY(Main[[#This Row],[Tech Start Date]],19),IF(Main[[#This Row],[Class]]="B", WORKDAY(Main[[#This Row],[Tech Start Date]],12),IF(Main[[#This Row],[Class]]="A",WORKDAY(Main[[#This Row],[Tech Start Date]],4),""))))</f>
        <v/>
      </c>
      <c r="O832" s="69" t="str">
        <f>IF(Main[[#This Row],[Tech Start Date]]&lt;1/1/1990,"",IF(Main[[#This Row],[Class]]="C",WORKDAY(Main[[#This Row],[Tech Start Date]],23),IF(Main[[#This Row],[Class]]="B", WORKDAY(Main[[#This Row],[Tech Start Date]],15),IF(Main[[#This Row],[Class]]="A",WORKDAY(Main[[#This Row],[Tech Start Date]],5),""))))</f>
        <v/>
      </c>
      <c r="P832" s="69" t="str">
        <f>IF(Main[[#This Row],[Tech Start Date]]&lt;1/1/1990,"",IF(Main[[#This Row],[Class]]="C",WORKDAY(Main[[#This Row],[Tech Start Date]],28),IF(Main[[#This Row],[Class]]="B", WORKDAY(Main[[#This Row],[Tech Start Date]],19),IF(Main[[#This Row],[Class]]="A",WORKDAY(Main[[#This Row],[Tech Start Date]],9),""))))</f>
        <v/>
      </c>
      <c r="Q832" s="67">
        <v>40575</v>
      </c>
      <c r="R832" s="67"/>
      <c r="S832" s="65" t="s">
        <v>6</v>
      </c>
      <c r="T832" s="70" t="s">
        <v>4</v>
      </c>
      <c r="U832" s="65" t="s">
        <v>7</v>
      </c>
      <c r="V832" s="65" t="s">
        <v>2283</v>
      </c>
      <c r="W832" s="65" t="s">
        <v>4</v>
      </c>
      <c r="X832" s="65" t="s">
        <v>2865</v>
      </c>
      <c r="Y832" s="65" t="s">
        <v>3010</v>
      </c>
      <c r="Z832" s="65" t="s">
        <v>4</v>
      </c>
      <c r="AA832" s="65" t="s">
        <v>2865</v>
      </c>
    </row>
    <row r="833" spans="1:27" ht="17.45" hidden="1" customHeight="1">
      <c r="A833" s="100" t="str">
        <f>IF(priority(Main[[#This Row],[Comments]])&lt;&gt;0, priority(Main[[#This Row],[Comments]]),"")</f>
        <v/>
      </c>
      <c r="B833" s="77" t="s">
        <v>1752</v>
      </c>
      <c r="C833" s="65" t="s">
        <v>72</v>
      </c>
      <c r="D833" s="66" t="s">
        <v>800</v>
      </c>
      <c r="E833" s="67"/>
      <c r="F833" s="67"/>
      <c r="G833" s="64" t="str">
        <f>IF(stdProdLT(Main[[#This Row],[Comments]])=0.1,"N/A",IF(stdProdLT(Main[[#This Row],[Comments]])=0,"",stdProdLT(Main[[#This Row],[Comments]])))</f>
        <v/>
      </c>
      <c r="H833" s="68" t="str">
        <f>IF(AND(Main[[#This Row],[In Stock Date]]&lt;&gt;"",Main[[#This Row],[Revised Due Date]]&lt;&gt;""),Main[[#This Row],[In Stock Date]]-Main[[#This Row],[Revised Due Date]],"")</f>
        <v/>
      </c>
      <c r="I833" s="65" t="s">
        <v>4</v>
      </c>
      <c r="J833" s="65" t="s">
        <v>52</v>
      </c>
      <c r="K833" s="65" t="s">
        <v>4</v>
      </c>
      <c r="L833" s="67"/>
      <c r="M833" s="69" t="str">
        <f>IF(Main[[#This Row],[Tech Start Date]]&lt;1/1/1990,"",IF(Main[[#This Row],[Class]]="C",WORKDAY(Main[[#This Row],[Tech Start Date]],9),IF(Main[[#This Row],[Class]]="B", WORKDAY(Main[[#This Row],[Tech Start Date]],6),IF(Main[[#This Row],[Class]]="A",WORKDAY(Main[[#This Row],[Tech Start Date]],2),""))))</f>
        <v/>
      </c>
      <c r="N833" s="69" t="str">
        <f>IF(Main[[#This Row],[Tech Start Date]]&lt;1/1/1990,"",IF(Main[[#This Row],[Class]]="C",WORKDAY(Main[[#This Row],[Tech Start Date]],19),IF(Main[[#This Row],[Class]]="B", WORKDAY(Main[[#This Row],[Tech Start Date]],12),IF(Main[[#This Row],[Class]]="A",WORKDAY(Main[[#This Row],[Tech Start Date]],4),""))))</f>
        <v/>
      </c>
      <c r="O833" s="69" t="str">
        <f>IF(Main[[#This Row],[Tech Start Date]]&lt;1/1/1990,"",IF(Main[[#This Row],[Class]]="C",WORKDAY(Main[[#This Row],[Tech Start Date]],23),IF(Main[[#This Row],[Class]]="B", WORKDAY(Main[[#This Row],[Tech Start Date]],15),IF(Main[[#This Row],[Class]]="A",WORKDAY(Main[[#This Row],[Tech Start Date]],5),""))))</f>
        <v/>
      </c>
      <c r="P833" s="69" t="str">
        <f>IF(Main[[#This Row],[Tech Start Date]]&lt;1/1/1990,"",IF(Main[[#This Row],[Class]]="C",WORKDAY(Main[[#This Row],[Tech Start Date]],28),IF(Main[[#This Row],[Class]]="B", WORKDAY(Main[[#This Row],[Tech Start Date]],19),IF(Main[[#This Row],[Class]]="A",WORKDAY(Main[[#This Row],[Tech Start Date]],9),""))))</f>
        <v/>
      </c>
      <c r="Q833" s="67">
        <v>40482</v>
      </c>
      <c r="R833" s="67"/>
      <c r="S833" s="65" t="s">
        <v>11</v>
      </c>
      <c r="T833" s="70" t="s">
        <v>4</v>
      </c>
      <c r="U833" s="65" t="s">
        <v>14</v>
      </c>
      <c r="V833" s="65" t="s">
        <v>1917</v>
      </c>
      <c r="W833" s="65" t="s">
        <v>1922</v>
      </c>
      <c r="X833" s="65" t="s">
        <v>2901</v>
      </c>
      <c r="Y833" s="65" t="s">
        <v>2978</v>
      </c>
      <c r="Z833" s="65" t="s">
        <v>2051</v>
      </c>
      <c r="AA833" s="65" t="s">
        <v>2847</v>
      </c>
    </row>
    <row r="834" spans="1:27" ht="17.45" hidden="1" customHeight="1">
      <c r="A834" s="100" t="str">
        <f>IF(priority(Main[[#This Row],[Comments]])&lt;&gt;0, priority(Main[[#This Row],[Comments]]),"")</f>
        <v/>
      </c>
      <c r="B834" s="77" t="s">
        <v>1753</v>
      </c>
      <c r="C834" s="65" t="s">
        <v>4</v>
      </c>
      <c r="D834" s="66" t="s">
        <v>801</v>
      </c>
      <c r="E834" s="67"/>
      <c r="F834" s="67"/>
      <c r="G834" s="64" t="str">
        <f>IF(stdProdLT(Main[[#This Row],[Comments]])=0.1,"N/A",IF(stdProdLT(Main[[#This Row],[Comments]])=0,"",stdProdLT(Main[[#This Row],[Comments]])))</f>
        <v/>
      </c>
      <c r="H834" s="68" t="str">
        <f>IF(AND(Main[[#This Row],[In Stock Date]]&lt;&gt;"",Main[[#This Row],[Revised Due Date]]&lt;&gt;""),Main[[#This Row],[In Stock Date]]-Main[[#This Row],[Revised Due Date]],"")</f>
        <v/>
      </c>
      <c r="I834" s="65" t="s">
        <v>399</v>
      </c>
      <c r="J834" s="65" t="s">
        <v>4</v>
      </c>
      <c r="K834" s="65" t="s">
        <v>4</v>
      </c>
      <c r="L834" s="67"/>
      <c r="M834" s="69" t="str">
        <f>IF(Main[[#This Row],[Tech Start Date]]&lt;1/1/1990,"",IF(Main[[#This Row],[Class]]="C",WORKDAY(Main[[#This Row],[Tech Start Date]],9),IF(Main[[#This Row],[Class]]="B", WORKDAY(Main[[#This Row],[Tech Start Date]],6),IF(Main[[#This Row],[Class]]="A",WORKDAY(Main[[#This Row],[Tech Start Date]],2),""))))</f>
        <v/>
      </c>
      <c r="N834" s="69" t="str">
        <f>IF(Main[[#This Row],[Tech Start Date]]&lt;1/1/1990,"",IF(Main[[#This Row],[Class]]="C",WORKDAY(Main[[#This Row],[Tech Start Date]],19),IF(Main[[#This Row],[Class]]="B", WORKDAY(Main[[#This Row],[Tech Start Date]],12),IF(Main[[#This Row],[Class]]="A",WORKDAY(Main[[#This Row],[Tech Start Date]],4),""))))</f>
        <v/>
      </c>
      <c r="O834" s="69" t="str">
        <f>IF(Main[[#This Row],[Tech Start Date]]&lt;1/1/1990,"",IF(Main[[#This Row],[Class]]="C",WORKDAY(Main[[#This Row],[Tech Start Date]],23),IF(Main[[#This Row],[Class]]="B", WORKDAY(Main[[#This Row],[Tech Start Date]],15),IF(Main[[#This Row],[Class]]="A",WORKDAY(Main[[#This Row],[Tech Start Date]],5),""))))</f>
        <v/>
      </c>
      <c r="P834" s="69" t="str">
        <f>IF(Main[[#This Row],[Tech Start Date]]&lt;1/1/1990,"",IF(Main[[#This Row],[Class]]="C",WORKDAY(Main[[#This Row],[Tech Start Date]],28),IF(Main[[#This Row],[Class]]="B", WORKDAY(Main[[#This Row],[Tech Start Date]],19),IF(Main[[#This Row],[Class]]="A",WORKDAY(Main[[#This Row],[Tech Start Date]],9),""))))</f>
        <v/>
      </c>
      <c r="Q834" s="67">
        <v>40359</v>
      </c>
      <c r="R834" s="67"/>
      <c r="S834" s="65" t="s">
        <v>11</v>
      </c>
      <c r="T834" s="70" t="s">
        <v>4</v>
      </c>
      <c r="U834" s="65" t="s">
        <v>14</v>
      </c>
      <c r="V834" s="65" t="s">
        <v>1917</v>
      </c>
      <c r="W834" s="65" t="s">
        <v>1920</v>
      </c>
      <c r="X834" s="65" t="s">
        <v>2881</v>
      </c>
      <c r="Y834" s="65" t="s">
        <v>3030</v>
      </c>
      <c r="Z834" s="65" t="s">
        <v>306</v>
      </c>
      <c r="AA834" s="65" t="s">
        <v>2881</v>
      </c>
    </row>
    <row r="835" spans="1:27" ht="17.45" hidden="1" customHeight="1">
      <c r="A835" s="100" t="str">
        <f>IF(priority(Main[[#This Row],[Comments]])&lt;&gt;0, priority(Main[[#This Row],[Comments]]),"")</f>
        <v/>
      </c>
      <c r="B835" s="77" t="s">
        <v>1754</v>
      </c>
      <c r="C835" s="65" t="s">
        <v>42</v>
      </c>
      <c r="D835" s="66" t="s">
        <v>802</v>
      </c>
      <c r="E835" s="67">
        <v>39932.448611111111</v>
      </c>
      <c r="F835" s="67"/>
      <c r="G835" s="64" t="str">
        <f>IF(stdProdLT(Main[[#This Row],[Comments]])=0.1,"N/A",IF(stdProdLT(Main[[#This Row],[Comments]])=0,"",stdProdLT(Main[[#This Row],[Comments]])))</f>
        <v/>
      </c>
      <c r="H835" s="68" t="str">
        <f>IF(AND(Main[[#This Row],[In Stock Date]]&lt;&gt;"",Main[[#This Row],[Revised Due Date]]&lt;&gt;""),Main[[#This Row],[In Stock Date]]-Main[[#This Row],[Revised Due Date]],"")</f>
        <v/>
      </c>
      <c r="I835" s="65" t="s">
        <v>4</v>
      </c>
      <c r="J835" s="65" t="s">
        <v>4</v>
      </c>
      <c r="K835" s="65" t="s">
        <v>4</v>
      </c>
      <c r="L835" s="67"/>
      <c r="M835" s="69" t="str">
        <f>IF(Main[[#This Row],[Tech Start Date]]&lt;1/1/1990,"",IF(Main[[#This Row],[Class]]="C",WORKDAY(Main[[#This Row],[Tech Start Date]],9),IF(Main[[#This Row],[Class]]="B", WORKDAY(Main[[#This Row],[Tech Start Date]],6),IF(Main[[#This Row],[Class]]="A",WORKDAY(Main[[#This Row],[Tech Start Date]],2),""))))</f>
        <v/>
      </c>
      <c r="N835" s="69" t="str">
        <f>IF(Main[[#This Row],[Tech Start Date]]&lt;1/1/1990,"",IF(Main[[#This Row],[Class]]="C",WORKDAY(Main[[#This Row],[Tech Start Date]],19),IF(Main[[#This Row],[Class]]="B", WORKDAY(Main[[#This Row],[Tech Start Date]],12),IF(Main[[#This Row],[Class]]="A",WORKDAY(Main[[#This Row],[Tech Start Date]],4),""))))</f>
        <v/>
      </c>
      <c r="O835" s="69" t="str">
        <f>IF(Main[[#This Row],[Tech Start Date]]&lt;1/1/1990,"",IF(Main[[#This Row],[Class]]="C",WORKDAY(Main[[#This Row],[Tech Start Date]],23),IF(Main[[#This Row],[Class]]="B", WORKDAY(Main[[#This Row],[Tech Start Date]],15),IF(Main[[#This Row],[Class]]="A",WORKDAY(Main[[#This Row],[Tech Start Date]],5),""))))</f>
        <v/>
      </c>
      <c r="P835" s="69" t="str">
        <f>IF(Main[[#This Row],[Tech Start Date]]&lt;1/1/1990,"",IF(Main[[#This Row],[Class]]="C",WORKDAY(Main[[#This Row],[Tech Start Date]],28),IF(Main[[#This Row],[Class]]="B", WORKDAY(Main[[#This Row],[Tech Start Date]],19),IF(Main[[#This Row],[Class]]="A",WORKDAY(Main[[#This Row],[Tech Start Date]],9),""))))</f>
        <v/>
      </c>
      <c r="Q835" s="67"/>
      <c r="R835" s="67"/>
      <c r="S835" s="65" t="s">
        <v>17</v>
      </c>
      <c r="T835" s="70" t="s">
        <v>4</v>
      </c>
      <c r="U835" s="65" t="s">
        <v>7</v>
      </c>
      <c r="V835" s="65" t="s">
        <v>1917</v>
      </c>
      <c r="W835" s="65" t="s">
        <v>4</v>
      </c>
      <c r="X835" s="65" t="s">
        <v>399</v>
      </c>
      <c r="Y835" s="65" t="s">
        <v>4</v>
      </c>
      <c r="Z835" s="65" t="s">
        <v>4</v>
      </c>
      <c r="AA835" s="65" t="s">
        <v>4</v>
      </c>
    </row>
    <row r="836" spans="1:27" ht="17.45" hidden="1" customHeight="1">
      <c r="A836" s="100" t="str">
        <f>IF(priority(Main[[#This Row],[Comments]])&lt;&gt;0, priority(Main[[#This Row],[Comments]]),"")</f>
        <v/>
      </c>
      <c r="B836" s="77" t="s">
        <v>1713</v>
      </c>
      <c r="C836" s="65" t="s">
        <v>4</v>
      </c>
      <c r="D836" s="66" t="s">
        <v>764</v>
      </c>
      <c r="E836" s="67"/>
      <c r="F836" s="67"/>
      <c r="G836" s="64" t="str">
        <f>IF(stdProdLT(Main[[#This Row],[Comments]])=0.1,"N/A",IF(stdProdLT(Main[[#This Row],[Comments]])=0,"",stdProdLT(Main[[#This Row],[Comments]])))</f>
        <v/>
      </c>
      <c r="H836" s="68" t="str">
        <f>IF(AND(Main[[#This Row],[In Stock Date]]&lt;&gt;"",Main[[#This Row],[Revised Due Date]]&lt;&gt;""),Main[[#This Row],[In Stock Date]]-Main[[#This Row],[Revised Due Date]],"")</f>
        <v/>
      </c>
      <c r="I836" s="65" t="s">
        <v>399</v>
      </c>
      <c r="J836" s="65" t="s">
        <v>75</v>
      </c>
      <c r="K836" s="65" t="s">
        <v>4</v>
      </c>
      <c r="L836" s="67"/>
      <c r="M836" s="69" t="str">
        <f>IF(Main[[#This Row],[Tech Start Date]]&lt;1/1/1990,"",IF(Main[[#This Row],[Class]]="C",WORKDAY(Main[[#This Row],[Tech Start Date]],9),IF(Main[[#This Row],[Class]]="B", WORKDAY(Main[[#This Row],[Tech Start Date]],6),IF(Main[[#This Row],[Class]]="A",WORKDAY(Main[[#This Row],[Tech Start Date]],2),""))))</f>
        <v/>
      </c>
      <c r="N836" s="69" t="str">
        <f>IF(Main[[#This Row],[Tech Start Date]]&lt;1/1/1990,"",IF(Main[[#This Row],[Class]]="C",WORKDAY(Main[[#This Row],[Tech Start Date]],19),IF(Main[[#This Row],[Class]]="B", WORKDAY(Main[[#This Row],[Tech Start Date]],12),IF(Main[[#This Row],[Class]]="A",WORKDAY(Main[[#This Row],[Tech Start Date]],4),""))))</f>
        <v/>
      </c>
      <c r="O836" s="69" t="str">
        <f>IF(Main[[#This Row],[Tech Start Date]]&lt;1/1/1990,"",IF(Main[[#This Row],[Class]]="C",WORKDAY(Main[[#This Row],[Tech Start Date]],23),IF(Main[[#This Row],[Class]]="B", WORKDAY(Main[[#This Row],[Tech Start Date]],15),IF(Main[[#This Row],[Class]]="A",WORKDAY(Main[[#This Row],[Tech Start Date]],5),""))))</f>
        <v/>
      </c>
      <c r="P836" s="69" t="str">
        <f>IF(Main[[#This Row],[Tech Start Date]]&lt;1/1/1990,"",IF(Main[[#This Row],[Class]]="C",WORKDAY(Main[[#This Row],[Tech Start Date]],28),IF(Main[[#This Row],[Class]]="B", WORKDAY(Main[[#This Row],[Tech Start Date]],19),IF(Main[[#This Row],[Class]]="A",WORKDAY(Main[[#This Row],[Tech Start Date]],9),""))))</f>
        <v/>
      </c>
      <c r="Q836" s="67">
        <v>40401</v>
      </c>
      <c r="R836" s="67"/>
      <c r="S836" s="65" t="s">
        <v>6</v>
      </c>
      <c r="T836" s="70" t="s">
        <v>4</v>
      </c>
      <c r="U836" s="65" t="s">
        <v>14</v>
      </c>
      <c r="V836" s="65" t="s">
        <v>1917</v>
      </c>
      <c r="W836" s="65" t="s">
        <v>1918</v>
      </c>
      <c r="X836" s="65" t="s">
        <v>399</v>
      </c>
      <c r="Y836" s="65" t="s">
        <v>4</v>
      </c>
      <c r="Z836" s="65" t="s">
        <v>306</v>
      </c>
      <c r="AA836" s="65" t="s">
        <v>4</v>
      </c>
    </row>
    <row r="837" spans="1:27" ht="17.45" hidden="1" customHeight="1">
      <c r="A837" s="100" t="str">
        <f>IF(priority(Main[[#This Row],[Comments]])&lt;&gt;0, priority(Main[[#This Row],[Comments]]),"")</f>
        <v/>
      </c>
      <c r="B837" s="77" t="s">
        <v>1714</v>
      </c>
      <c r="C837" s="65" t="s">
        <v>4</v>
      </c>
      <c r="D837" s="66" t="s">
        <v>766</v>
      </c>
      <c r="E837" s="67">
        <v>40647.40420138889</v>
      </c>
      <c r="F837" s="67"/>
      <c r="G837" s="64" t="str">
        <f>IF(stdProdLT(Main[[#This Row],[Comments]])=0.1,"N/A",IF(stdProdLT(Main[[#This Row],[Comments]])=0,"",stdProdLT(Main[[#This Row],[Comments]])))</f>
        <v/>
      </c>
      <c r="H837" s="68" t="str">
        <f>IF(AND(Main[[#This Row],[In Stock Date]]&lt;&gt;"",Main[[#This Row],[Revised Due Date]]&lt;&gt;""),Main[[#This Row],[In Stock Date]]-Main[[#This Row],[Revised Due Date]],"")</f>
        <v/>
      </c>
      <c r="I837" s="65" t="s">
        <v>4</v>
      </c>
      <c r="J837" s="65" t="s">
        <v>4</v>
      </c>
      <c r="K837" s="65" t="s">
        <v>4</v>
      </c>
      <c r="L837" s="67"/>
      <c r="M837" s="69" t="str">
        <f>IF(Main[[#This Row],[Tech Start Date]]&lt;1/1/1990,"",IF(Main[[#This Row],[Class]]="C",WORKDAY(Main[[#This Row],[Tech Start Date]],9),IF(Main[[#This Row],[Class]]="B", WORKDAY(Main[[#This Row],[Tech Start Date]],6),IF(Main[[#This Row],[Class]]="A",WORKDAY(Main[[#This Row],[Tech Start Date]],2),""))))</f>
        <v/>
      </c>
      <c r="N837" s="69" t="str">
        <f>IF(Main[[#This Row],[Tech Start Date]]&lt;1/1/1990,"",IF(Main[[#This Row],[Class]]="C",WORKDAY(Main[[#This Row],[Tech Start Date]],19),IF(Main[[#This Row],[Class]]="B", WORKDAY(Main[[#This Row],[Tech Start Date]],12),IF(Main[[#This Row],[Class]]="A",WORKDAY(Main[[#This Row],[Tech Start Date]],4),""))))</f>
        <v/>
      </c>
      <c r="O837" s="69" t="str">
        <f>IF(Main[[#This Row],[Tech Start Date]]&lt;1/1/1990,"",IF(Main[[#This Row],[Class]]="C",WORKDAY(Main[[#This Row],[Tech Start Date]],23),IF(Main[[#This Row],[Class]]="B", WORKDAY(Main[[#This Row],[Tech Start Date]],15),IF(Main[[#This Row],[Class]]="A",WORKDAY(Main[[#This Row],[Tech Start Date]],5),""))))</f>
        <v/>
      </c>
      <c r="P837" s="69" t="str">
        <f>IF(Main[[#This Row],[Tech Start Date]]&lt;1/1/1990,"",IF(Main[[#This Row],[Class]]="C",WORKDAY(Main[[#This Row],[Tech Start Date]],28),IF(Main[[#This Row],[Class]]="B", WORKDAY(Main[[#This Row],[Tech Start Date]],19),IF(Main[[#This Row],[Class]]="A",WORKDAY(Main[[#This Row],[Tech Start Date]],9),""))))</f>
        <v/>
      </c>
      <c r="Q837" s="67">
        <v>40676</v>
      </c>
      <c r="R837" s="67"/>
      <c r="S837" s="65" t="s">
        <v>6</v>
      </c>
      <c r="T837" s="70" t="s">
        <v>4</v>
      </c>
      <c r="U837" s="65" t="s">
        <v>7</v>
      </c>
      <c r="V837" s="65" t="s">
        <v>1914</v>
      </c>
      <c r="W837" s="65" t="s">
        <v>4</v>
      </c>
      <c r="X837" s="65" t="s">
        <v>2822</v>
      </c>
      <c r="Y837" s="65" t="s">
        <v>2938</v>
      </c>
      <c r="Z837" s="65" t="s">
        <v>4</v>
      </c>
      <c r="AA837" s="65" t="s">
        <v>2822</v>
      </c>
    </row>
    <row r="838" spans="1:27" ht="17.45" hidden="1" customHeight="1">
      <c r="A838" s="100" t="str">
        <f>IF(priority(Main[[#This Row],[Comments]])&lt;&gt;0, priority(Main[[#This Row],[Comments]]),"")</f>
        <v/>
      </c>
      <c r="B838" s="77" t="s">
        <v>1825</v>
      </c>
      <c r="C838" s="65" t="s">
        <v>47</v>
      </c>
      <c r="D838" s="66" t="s">
        <v>876</v>
      </c>
      <c r="E838" s="67">
        <v>39937.613564814812</v>
      </c>
      <c r="F838" s="67"/>
      <c r="G838" s="64" t="str">
        <f>IF(stdProdLT(Main[[#This Row],[Comments]])=0.1,"N/A",IF(stdProdLT(Main[[#This Row],[Comments]])=0,"",stdProdLT(Main[[#This Row],[Comments]])))</f>
        <v/>
      </c>
      <c r="H838" s="68" t="str">
        <f>IF(AND(Main[[#This Row],[In Stock Date]]&lt;&gt;"",Main[[#This Row],[Revised Due Date]]&lt;&gt;""),Main[[#This Row],[In Stock Date]]-Main[[#This Row],[Revised Due Date]],"")</f>
        <v/>
      </c>
      <c r="I838" s="65" t="s">
        <v>877</v>
      </c>
      <c r="J838" s="65" t="s">
        <v>4</v>
      </c>
      <c r="K838" s="65" t="s">
        <v>1926</v>
      </c>
      <c r="L838" s="67"/>
      <c r="M838" s="69" t="str">
        <f>IF(Main[[#This Row],[Tech Start Date]]&lt;1/1/1990,"",IF(Main[[#This Row],[Class]]="C",WORKDAY(Main[[#This Row],[Tech Start Date]],9),IF(Main[[#This Row],[Class]]="B", WORKDAY(Main[[#This Row],[Tech Start Date]],6),IF(Main[[#This Row],[Class]]="A",WORKDAY(Main[[#This Row],[Tech Start Date]],2),""))))</f>
        <v/>
      </c>
      <c r="N838" s="69" t="str">
        <f>IF(Main[[#This Row],[Tech Start Date]]&lt;1/1/1990,"",IF(Main[[#This Row],[Class]]="C",WORKDAY(Main[[#This Row],[Tech Start Date]],19),IF(Main[[#This Row],[Class]]="B", WORKDAY(Main[[#This Row],[Tech Start Date]],12),IF(Main[[#This Row],[Class]]="A",WORKDAY(Main[[#This Row],[Tech Start Date]],4),""))))</f>
        <v/>
      </c>
      <c r="O838" s="69" t="str">
        <f>IF(Main[[#This Row],[Tech Start Date]]&lt;1/1/1990,"",IF(Main[[#This Row],[Class]]="C",WORKDAY(Main[[#This Row],[Tech Start Date]],23),IF(Main[[#This Row],[Class]]="B", WORKDAY(Main[[#This Row],[Tech Start Date]],15),IF(Main[[#This Row],[Class]]="A",WORKDAY(Main[[#This Row],[Tech Start Date]],5),""))))</f>
        <v/>
      </c>
      <c r="P838" s="69" t="str">
        <f>IF(Main[[#This Row],[Tech Start Date]]&lt;1/1/1990,"",IF(Main[[#This Row],[Class]]="C",WORKDAY(Main[[#This Row],[Tech Start Date]],28),IF(Main[[#This Row],[Class]]="B", WORKDAY(Main[[#This Row],[Tech Start Date]],19),IF(Main[[#This Row],[Class]]="A",WORKDAY(Main[[#This Row],[Tech Start Date]],9),""))))</f>
        <v/>
      </c>
      <c r="Q838" s="67">
        <v>40267</v>
      </c>
      <c r="R838" s="67">
        <v>40359</v>
      </c>
      <c r="S838" s="65" t="s">
        <v>17</v>
      </c>
      <c r="T838" s="70" t="s">
        <v>4</v>
      </c>
      <c r="U838" s="65" t="s">
        <v>29</v>
      </c>
      <c r="V838" s="65" t="s">
        <v>1914</v>
      </c>
      <c r="W838" s="65" t="s">
        <v>1918</v>
      </c>
      <c r="X838" s="65" t="s">
        <v>306</v>
      </c>
      <c r="Y838" s="65" t="s">
        <v>2941</v>
      </c>
      <c r="Z838" s="65" t="s">
        <v>4</v>
      </c>
      <c r="AA838" s="65" t="s">
        <v>3377</v>
      </c>
    </row>
    <row r="839" spans="1:27" ht="17.45" hidden="1" customHeight="1">
      <c r="A839" s="100" t="str">
        <f>IF(priority(Main[[#This Row],[Comments]])&lt;&gt;0, priority(Main[[#This Row],[Comments]]),"")</f>
        <v/>
      </c>
      <c r="B839" s="77" t="s">
        <v>1715</v>
      </c>
      <c r="C839" s="65" t="s">
        <v>4</v>
      </c>
      <c r="D839" s="66" t="s">
        <v>509</v>
      </c>
      <c r="E839" s="67"/>
      <c r="F839" s="67"/>
      <c r="G839" s="64" t="str">
        <f>IF(stdProdLT(Main[[#This Row],[Comments]])=0.1,"N/A",IF(stdProdLT(Main[[#This Row],[Comments]])=0,"",stdProdLT(Main[[#This Row],[Comments]])))</f>
        <v/>
      </c>
      <c r="H839" s="68" t="str">
        <f>IF(AND(Main[[#This Row],[In Stock Date]]&lt;&gt;"",Main[[#This Row],[Revised Due Date]]&lt;&gt;""),Main[[#This Row],[In Stock Date]]-Main[[#This Row],[Revised Due Date]],"")</f>
        <v/>
      </c>
      <c r="I839" s="65" t="s">
        <v>4</v>
      </c>
      <c r="J839" s="65" t="s">
        <v>4</v>
      </c>
      <c r="K839" s="65" t="s">
        <v>4</v>
      </c>
      <c r="L839" s="67"/>
      <c r="M839" s="69" t="str">
        <f>IF(Main[[#This Row],[Tech Start Date]]&lt;1/1/1990,"",IF(Main[[#This Row],[Class]]="C",WORKDAY(Main[[#This Row],[Tech Start Date]],9),IF(Main[[#This Row],[Class]]="B", WORKDAY(Main[[#This Row],[Tech Start Date]],6),IF(Main[[#This Row],[Class]]="A",WORKDAY(Main[[#This Row],[Tech Start Date]],2),""))))</f>
        <v/>
      </c>
      <c r="N839" s="69" t="str">
        <f>IF(Main[[#This Row],[Tech Start Date]]&lt;1/1/1990,"",IF(Main[[#This Row],[Class]]="C",WORKDAY(Main[[#This Row],[Tech Start Date]],19),IF(Main[[#This Row],[Class]]="B", WORKDAY(Main[[#This Row],[Tech Start Date]],12),IF(Main[[#This Row],[Class]]="A",WORKDAY(Main[[#This Row],[Tech Start Date]],4),""))))</f>
        <v/>
      </c>
      <c r="O839" s="69" t="str">
        <f>IF(Main[[#This Row],[Tech Start Date]]&lt;1/1/1990,"",IF(Main[[#This Row],[Class]]="C",WORKDAY(Main[[#This Row],[Tech Start Date]],23),IF(Main[[#This Row],[Class]]="B", WORKDAY(Main[[#This Row],[Tech Start Date]],15),IF(Main[[#This Row],[Class]]="A",WORKDAY(Main[[#This Row],[Tech Start Date]],5),""))))</f>
        <v/>
      </c>
      <c r="P839" s="69" t="str">
        <f>IF(Main[[#This Row],[Tech Start Date]]&lt;1/1/1990,"",IF(Main[[#This Row],[Class]]="C",WORKDAY(Main[[#This Row],[Tech Start Date]],28),IF(Main[[#This Row],[Class]]="B", WORKDAY(Main[[#This Row],[Tech Start Date]],19),IF(Main[[#This Row],[Class]]="A",WORKDAY(Main[[#This Row],[Tech Start Date]],9),""))))</f>
        <v/>
      </c>
      <c r="Q839" s="67"/>
      <c r="R839" s="67"/>
      <c r="S839" s="65" t="s">
        <v>4</v>
      </c>
      <c r="T839" s="70" t="s">
        <v>4</v>
      </c>
      <c r="U839" s="65" t="s">
        <v>14</v>
      </c>
      <c r="V839" s="65" t="s">
        <v>1917</v>
      </c>
      <c r="W839" s="65" t="s">
        <v>4</v>
      </c>
      <c r="X839" s="65" t="s">
        <v>2878</v>
      </c>
      <c r="Y839" s="65" t="s">
        <v>3026</v>
      </c>
      <c r="Z839" s="65" t="s">
        <v>4</v>
      </c>
      <c r="AA839" s="65" t="s">
        <v>2878</v>
      </c>
    </row>
    <row r="840" spans="1:27" ht="17.45" hidden="1" customHeight="1">
      <c r="A840" s="100" t="str">
        <f>IF(priority(Main[[#This Row],[Comments]])&lt;&gt;0, priority(Main[[#This Row],[Comments]]),"")</f>
        <v/>
      </c>
      <c r="B840" s="77" t="s">
        <v>1716</v>
      </c>
      <c r="C840" s="65" t="s">
        <v>277</v>
      </c>
      <c r="D840" s="66" t="s">
        <v>770</v>
      </c>
      <c r="E840" s="67"/>
      <c r="F840" s="67">
        <v>40602</v>
      </c>
      <c r="G840" s="64" t="str">
        <f>IF(stdProdLT(Main[[#This Row],[Comments]])=0.1,"N/A",IF(stdProdLT(Main[[#This Row],[Comments]])=0,"",stdProdLT(Main[[#This Row],[Comments]])))</f>
        <v/>
      </c>
      <c r="H840" s="68" t="str">
        <f>IF(AND(Main[[#This Row],[In Stock Date]]&lt;&gt;"",Main[[#This Row],[Revised Due Date]]&lt;&gt;""),Main[[#This Row],[In Stock Date]]-Main[[#This Row],[Revised Due Date]],"")</f>
        <v/>
      </c>
      <c r="I840" s="65" t="s">
        <v>4</v>
      </c>
      <c r="J840" s="65" t="s">
        <v>4</v>
      </c>
      <c r="K840" s="71" t="s">
        <v>4</v>
      </c>
      <c r="L840" s="67"/>
      <c r="M840" s="69" t="str">
        <f>IF(Main[[#This Row],[Tech Start Date]]&lt;1/1/1990,"",IF(Main[[#This Row],[Class]]="C",WORKDAY(Main[[#This Row],[Tech Start Date]],9),IF(Main[[#This Row],[Class]]="B", WORKDAY(Main[[#This Row],[Tech Start Date]],6),IF(Main[[#This Row],[Class]]="A",WORKDAY(Main[[#This Row],[Tech Start Date]],2),""))))</f>
        <v/>
      </c>
      <c r="N840" s="69" t="str">
        <f>IF(Main[[#This Row],[Tech Start Date]]&lt;1/1/1990,"",IF(Main[[#This Row],[Class]]="C",WORKDAY(Main[[#This Row],[Tech Start Date]],19),IF(Main[[#This Row],[Class]]="B", WORKDAY(Main[[#This Row],[Tech Start Date]],12),IF(Main[[#This Row],[Class]]="A",WORKDAY(Main[[#This Row],[Tech Start Date]],4),""))))</f>
        <v/>
      </c>
      <c r="O840" s="69" t="str">
        <f>IF(Main[[#This Row],[Tech Start Date]]&lt;1/1/1990,"",IF(Main[[#This Row],[Class]]="C",WORKDAY(Main[[#This Row],[Tech Start Date]],23),IF(Main[[#This Row],[Class]]="B", WORKDAY(Main[[#This Row],[Tech Start Date]],15),IF(Main[[#This Row],[Class]]="A",WORKDAY(Main[[#This Row],[Tech Start Date]],5),""))))</f>
        <v/>
      </c>
      <c r="P840" s="69" t="str">
        <f>IF(Main[[#This Row],[Tech Start Date]]&lt;1/1/1990,"",IF(Main[[#This Row],[Class]]="C",WORKDAY(Main[[#This Row],[Tech Start Date]],28),IF(Main[[#This Row],[Class]]="B", WORKDAY(Main[[#This Row],[Tech Start Date]],19),IF(Main[[#This Row],[Class]]="A",WORKDAY(Main[[#This Row],[Tech Start Date]],9),""))))</f>
        <v/>
      </c>
      <c r="Q840" s="67">
        <v>40602</v>
      </c>
      <c r="R840" s="67"/>
      <c r="S840" s="65" t="s">
        <v>11</v>
      </c>
      <c r="T840" s="70" t="s">
        <v>4</v>
      </c>
      <c r="U840" s="65" t="s">
        <v>12</v>
      </c>
      <c r="V840" s="65" t="s">
        <v>1915</v>
      </c>
      <c r="W840" s="65" t="s">
        <v>1919</v>
      </c>
      <c r="X840" s="65" t="s">
        <v>2860</v>
      </c>
      <c r="Y840" s="65" t="s">
        <v>4</v>
      </c>
      <c r="Z840" s="65" t="s">
        <v>4</v>
      </c>
      <c r="AA840" s="65" t="s">
        <v>2860</v>
      </c>
    </row>
    <row r="841" spans="1:27" ht="17.45" hidden="1" customHeight="1">
      <c r="A841" s="100" t="str">
        <f>IF(priority(Main[[#This Row],[Comments]])&lt;&gt;0, priority(Main[[#This Row],[Comments]]),"")</f>
        <v/>
      </c>
      <c r="B841" s="77" t="s">
        <v>1717</v>
      </c>
      <c r="C841" s="65" t="s">
        <v>277</v>
      </c>
      <c r="D841" s="66" t="s">
        <v>771</v>
      </c>
      <c r="E841" s="67"/>
      <c r="F841" s="67">
        <v>40602</v>
      </c>
      <c r="G841" s="64" t="str">
        <f>IF(stdProdLT(Main[[#This Row],[Comments]])=0.1,"N/A",IF(stdProdLT(Main[[#This Row],[Comments]])=0,"",stdProdLT(Main[[#This Row],[Comments]])))</f>
        <v/>
      </c>
      <c r="H841" s="68" t="str">
        <f>IF(AND(Main[[#This Row],[In Stock Date]]&lt;&gt;"",Main[[#This Row],[Revised Due Date]]&lt;&gt;""),Main[[#This Row],[In Stock Date]]-Main[[#This Row],[Revised Due Date]],"")</f>
        <v/>
      </c>
      <c r="I841" s="65" t="s">
        <v>4</v>
      </c>
      <c r="J841" s="65" t="s">
        <v>4</v>
      </c>
      <c r="K841" s="71" t="s">
        <v>4</v>
      </c>
      <c r="L841" s="67"/>
      <c r="M841" s="69" t="str">
        <f>IF(Main[[#This Row],[Tech Start Date]]&lt;1/1/1990,"",IF(Main[[#This Row],[Class]]="C",WORKDAY(Main[[#This Row],[Tech Start Date]],9),IF(Main[[#This Row],[Class]]="B", WORKDAY(Main[[#This Row],[Tech Start Date]],6),IF(Main[[#This Row],[Class]]="A",WORKDAY(Main[[#This Row],[Tech Start Date]],2),""))))</f>
        <v/>
      </c>
      <c r="N841" s="69" t="str">
        <f>IF(Main[[#This Row],[Tech Start Date]]&lt;1/1/1990,"",IF(Main[[#This Row],[Class]]="C",WORKDAY(Main[[#This Row],[Tech Start Date]],19),IF(Main[[#This Row],[Class]]="B", WORKDAY(Main[[#This Row],[Tech Start Date]],12),IF(Main[[#This Row],[Class]]="A",WORKDAY(Main[[#This Row],[Tech Start Date]],4),""))))</f>
        <v/>
      </c>
      <c r="O841" s="69" t="str">
        <f>IF(Main[[#This Row],[Tech Start Date]]&lt;1/1/1990,"",IF(Main[[#This Row],[Class]]="C",WORKDAY(Main[[#This Row],[Tech Start Date]],23),IF(Main[[#This Row],[Class]]="B", WORKDAY(Main[[#This Row],[Tech Start Date]],15),IF(Main[[#This Row],[Class]]="A",WORKDAY(Main[[#This Row],[Tech Start Date]],5),""))))</f>
        <v/>
      </c>
      <c r="P841" s="69" t="str">
        <f>IF(Main[[#This Row],[Tech Start Date]]&lt;1/1/1990,"",IF(Main[[#This Row],[Class]]="C",WORKDAY(Main[[#This Row],[Tech Start Date]],28),IF(Main[[#This Row],[Class]]="B", WORKDAY(Main[[#This Row],[Tech Start Date]],19),IF(Main[[#This Row],[Class]]="A",WORKDAY(Main[[#This Row],[Tech Start Date]],9),""))))</f>
        <v/>
      </c>
      <c r="Q841" s="67">
        <v>40602</v>
      </c>
      <c r="R841" s="67"/>
      <c r="S841" s="65" t="s">
        <v>11</v>
      </c>
      <c r="T841" s="70" t="s">
        <v>4</v>
      </c>
      <c r="U841" s="65" t="s">
        <v>12</v>
      </c>
      <c r="V841" s="65" t="s">
        <v>1917</v>
      </c>
      <c r="W841" s="65" t="s">
        <v>1919</v>
      </c>
      <c r="X841" s="65" t="s">
        <v>2860</v>
      </c>
      <c r="Y841" s="65" t="s">
        <v>4</v>
      </c>
      <c r="Z841" s="65" t="s">
        <v>4</v>
      </c>
      <c r="AA841" s="65" t="s">
        <v>2860</v>
      </c>
    </row>
    <row r="842" spans="1:27" ht="17.45" hidden="1" customHeight="1">
      <c r="A842" s="100" t="str">
        <f>IF(priority(Main[[#This Row],[Comments]])&lt;&gt;0, priority(Main[[#This Row],[Comments]]),"")</f>
        <v/>
      </c>
      <c r="B842" s="77" t="s">
        <v>3618</v>
      </c>
      <c r="C842" s="65" t="s">
        <v>95</v>
      </c>
      <c r="D842" s="66" t="s">
        <v>3619</v>
      </c>
      <c r="E842" s="67">
        <v>40959.540810185186</v>
      </c>
      <c r="F842" s="67"/>
      <c r="G842" s="64" t="str">
        <f>IF(stdProdLT(Main[[#This Row],[Comments]])=0.1,"N/A",IF(stdProdLT(Main[[#This Row],[Comments]])=0,"",stdProdLT(Main[[#This Row],[Comments]])))</f>
        <v/>
      </c>
      <c r="H842" s="68" t="str">
        <f>IF(AND(Main[[#This Row],[In Stock Date]]&lt;&gt;"",Main[[#This Row],[Revised Due Date]]&lt;&gt;""),Main[[#This Row],[In Stock Date]]-Main[[#This Row],[Revised Due Date]],"")</f>
        <v/>
      </c>
      <c r="I842" s="65" t="s">
        <v>4</v>
      </c>
      <c r="J842" s="65" t="s">
        <v>4</v>
      </c>
      <c r="K842" s="65" t="s">
        <v>4</v>
      </c>
      <c r="L842" s="67"/>
      <c r="M842" s="69" t="str">
        <f>IF(Main[[#This Row],[Tech Start Date]]&lt;1/1/1990,"",IF(Main[[#This Row],[Class]]="C",WORKDAY(Main[[#This Row],[Tech Start Date]],9),IF(Main[[#This Row],[Class]]="B", WORKDAY(Main[[#This Row],[Tech Start Date]],6),IF(Main[[#This Row],[Class]]="A",WORKDAY(Main[[#This Row],[Tech Start Date]],2),""))))</f>
        <v/>
      </c>
      <c r="N842" s="69" t="str">
        <f>IF(Main[[#This Row],[Tech Start Date]]&lt;1/1/1990,"",IF(Main[[#This Row],[Class]]="C",WORKDAY(Main[[#This Row],[Tech Start Date]],19),IF(Main[[#This Row],[Class]]="B", WORKDAY(Main[[#This Row],[Tech Start Date]],12),IF(Main[[#This Row],[Class]]="A",WORKDAY(Main[[#This Row],[Tech Start Date]],4),""))))</f>
        <v/>
      </c>
      <c r="O842" s="69" t="str">
        <f>IF(Main[[#This Row],[Tech Start Date]]&lt;1/1/1990,"",IF(Main[[#This Row],[Class]]="C",WORKDAY(Main[[#This Row],[Tech Start Date]],23),IF(Main[[#This Row],[Class]]="B", WORKDAY(Main[[#This Row],[Tech Start Date]],15),IF(Main[[#This Row],[Class]]="A",WORKDAY(Main[[#This Row],[Tech Start Date]],5),""))))</f>
        <v/>
      </c>
      <c r="P842" s="69" t="str">
        <f>IF(Main[[#This Row],[Tech Start Date]]&lt;1/1/1990,"",IF(Main[[#This Row],[Class]]="C",WORKDAY(Main[[#This Row],[Tech Start Date]],28),IF(Main[[#This Row],[Class]]="B", WORKDAY(Main[[#This Row],[Tech Start Date]],19),IF(Main[[#This Row],[Class]]="A",WORKDAY(Main[[#This Row],[Tech Start Date]],9),""))))</f>
        <v/>
      </c>
      <c r="Q842" s="67">
        <v>40999</v>
      </c>
      <c r="R842" s="67"/>
      <c r="S842" s="65" t="s">
        <v>17</v>
      </c>
      <c r="T842" s="70" t="s">
        <v>4</v>
      </c>
      <c r="U842" s="65" t="s">
        <v>7</v>
      </c>
      <c r="V842" s="65" t="s">
        <v>1914</v>
      </c>
      <c r="W842" s="65" t="s">
        <v>1916</v>
      </c>
      <c r="X842" s="65" t="s">
        <v>2852</v>
      </c>
      <c r="Y842" s="65" t="s">
        <v>2990</v>
      </c>
      <c r="Z842" s="65" t="s">
        <v>4</v>
      </c>
      <c r="AA842" s="65" t="s">
        <v>2852</v>
      </c>
    </row>
    <row r="843" spans="1:27" ht="17.45" hidden="1" customHeight="1">
      <c r="A843" s="100" t="str">
        <f>IF(priority(Main[[#This Row],[Comments]])&lt;&gt;0, priority(Main[[#This Row],[Comments]]),"")</f>
        <v/>
      </c>
      <c r="B843" s="77" t="s">
        <v>1861</v>
      </c>
      <c r="C843" s="65" t="s">
        <v>31</v>
      </c>
      <c r="D843" s="66" t="s">
        <v>919</v>
      </c>
      <c r="E843" s="67"/>
      <c r="F843" s="67">
        <v>40664</v>
      </c>
      <c r="G843" s="64" t="str">
        <f>IF(stdProdLT(Main[[#This Row],[Comments]])=0.1,"N/A",IF(stdProdLT(Main[[#This Row],[Comments]])=0,"",stdProdLT(Main[[#This Row],[Comments]])))</f>
        <v/>
      </c>
      <c r="H843" s="68">
        <f>IF(AND(Main[[#This Row],[In Stock Date]]&lt;&gt;"",Main[[#This Row],[Revised Due Date]]&lt;&gt;""),Main[[#This Row],[In Stock Date]]-Main[[#This Row],[Revised Due Date]],"")</f>
        <v>87</v>
      </c>
      <c r="I843" s="65" t="s">
        <v>102</v>
      </c>
      <c r="J843" s="65" t="s">
        <v>75</v>
      </c>
      <c r="K843" s="65" t="s">
        <v>1923</v>
      </c>
      <c r="L843" s="67"/>
      <c r="M843" s="69" t="str">
        <f>IF(Main[[#This Row],[Tech Start Date]]&lt;1/1/1990,"",IF(Main[[#This Row],[Class]]="C",WORKDAY(Main[[#This Row],[Tech Start Date]],9),IF(Main[[#This Row],[Class]]="B", WORKDAY(Main[[#This Row],[Tech Start Date]],6),IF(Main[[#This Row],[Class]]="A",WORKDAY(Main[[#This Row],[Tech Start Date]],2),""))))</f>
        <v/>
      </c>
      <c r="N843" s="69" t="str">
        <f>IF(Main[[#This Row],[Tech Start Date]]&lt;1/1/1990,"",IF(Main[[#This Row],[Class]]="C",WORKDAY(Main[[#This Row],[Tech Start Date]],19),IF(Main[[#This Row],[Class]]="B", WORKDAY(Main[[#This Row],[Tech Start Date]],12),IF(Main[[#This Row],[Class]]="A",WORKDAY(Main[[#This Row],[Tech Start Date]],4),""))))</f>
        <v/>
      </c>
      <c r="O843" s="69" t="str">
        <f>IF(Main[[#This Row],[Tech Start Date]]&lt;1/1/1990,"",IF(Main[[#This Row],[Class]]="C",WORKDAY(Main[[#This Row],[Tech Start Date]],23),IF(Main[[#This Row],[Class]]="B", WORKDAY(Main[[#This Row],[Tech Start Date]],15),IF(Main[[#This Row],[Class]]="A",WORKDAY(Main[[#This Row],[Tech Start Date]],5),""))))</f>
        <v/>
      </c>
      <c r="P843" s="69" t="str">
        <f>IF(Main[[#This Row],[Tech Start Date]]&lt;1/1/1990,"",IF(Main[[#This Row],[Class]]="C",WORKDAY(Main[[#This Row],[Tech Start Date]],28),IF(Main[[#This Row],[Class]]="B", WORKDAY(Main[[#This Row],[Tech Start Date]],19),IF(Main[[#This Row],[Class]]="A",WORKDAY(Main[[#This Row],[Tech Start Date]],9),""))))</f>
        <v/>
      </c>
      <c r="Q843" s="67">
        <v>40589</v>
      </c>
      <c r="R843" s="67">
        <v>40577</v>
      </c>
      <c r="S843" s="65" t="s">
        <v>11</v>
      </c>
      <c r="T843" s="70" t="s">
        <v>4</v>
      </c>
      <c r="U843" s="65" t="s">
        <v>14</v>
      </c>
      <c r="V843" s="65" t="s">
        <v>1917</v>
      </c>
      <c r="W843" s="65" t="s">
        <v>1920</v>
      </c>
      <c r="X843" s="65" t="s">
        <v>2825</v>
      </c>
      <c r="Y843" s="65" t="s">
        <v>2967</v>
      </c>
      <c r="Z843" s="65" t="s">
        <v>530</v>
      </c>
      <c r="AA843" s="65" t="s">
        <v>2825</v>
      </c>
    </row>
    <row r="844" spans="1:27" ht="17.45" hidden="1" customHeight="1">
      <c r="A844" s="100" t="str">
        <f>IF(priority(Main[[#This Row],[Comments]])&lt;&gt;0, priority(Main[[#This Row],[Comments]]),"")</f>
        <v/>
      </c>
      <c r="B844" s="77" t="s">
        <v>1721</v>
      </c>
      <c r="C844" s="65" t="s">
        <v>4</v>
      </c>
      <c r="D844" s="66" t="s">
        <v>776</v>
      </c>
      <c r="E844" s="67"/>
      <c r="F844" s="67">
        <v>40025</v>
      </c>
      <c r="G844" s="64" t="str">
        <f>IF(stdProdLT(Main[[#This Row],[Comments]])=0.1,"N/A",IF(stdProdLT(Main[[#This Row],[Comments]])=0,"",stdProdLT(Main[[#This Row],[Comments]])))</f>
        <v/>
      </c>
      <c r="H844" s="68" t="str">
        <f>IF(AND(Main[[#This Row],[In Stock Date]]&lt;&gt;"",Main[[#This Row],[Revised Due Date]]&lt;&gt;""),Main[[#This Row],[In Stock Date]]-Main[[#This Row],[Revised Due Date]],"")</f>
        <v/>
      </c>
      <c r="I844" s="65" t="s">
        <v>4</v>
      </c>
      <c r="J844" s="65" t="s">
        <v>4</v>
      </c>
      <c r="K844" s="65" t="s">
        <v>4</v>
      </c>
      <c r="L844" s="67"/>
      <c r="M844" s="69" t="str">
        <f>IF(Main[[#This Row],[Tech Start Date]]&lt;1/1/1990,"",IF(Main[[#This Row],[Class]]="C",WORKDAY(Main[[#This Row],[Tech Start Date]],9),IF(Main[[#This Row],[Class]]="B", WORKDAY(Main[[#This Row],[Tech Start Date]],6),IF(Main[[#This Row],[Class]]="A",WORKDAY(Main[[#This Row],[Tech Start Date]],2),""))))</f>
        <v/>
      </c>
      <c r="N844" s="69" t="str">
        <f>IF(Main[[#This Row],[Tech Start Date]]&lt;1/1/1990,"",IF(Main[[#This Row],[Class]]="C",WORKDAY(Main[[#This Row],[Tech Start Date]],19),IF(Main[[#This Row],[Class]]="B", WORKDAY(Main[[#This Row],[Tech Start Date]],12),IF(Main[[#This Row],[Class]]="A",WORKDAY(Main[[#This Row],[Tech Start Date]],4),""))))</f>
        <v/>
      </c>
      <c r="O844" s="69" t="str">
        <f>IF(Main[[#This Row],[Tech Start Date]]&lt;1/1/1990,"",IF(Main[[#This Row],[Class]]="C",WORKDAY(Main[[#This Row],[Tech Start Date]],23),IF(Main[[#This Row],[Class]]="B", WORKDAY(Main[[#This Row],[Tech Start Date]],15),IF(Main[[#This Row],[Class]]="A",WORKDAY(Main[[#This Row],[Tech Start Date]],5),""))))</f>
        <v/>
      </c>
      <c r="P844" s="69" t="str">
        <f>IF(Main[[#This Row],[Tech Start Date]]&lt;1/1/1990,"",IF(Main[[#This Row],[Class]]="C",WORKDAY(Main[[#This Row],[Tech Start Date]],28),IF(Main[[#This Row],[Class]]="B", WORKDAY(Main[[#This Row],[Tech Start Date]],19),IF(Main[[#This Row],[Class]]="A",WORKDAY(Main[[#This Row],[Tech Start Date]],9),""))))</f>
        <v/>
      </c>
      <c r="Q844" s="67">
        <v>39963</v>
      </c>
      <c r="R844" s="67"/>
      <c r="S844" s="65" t="s">
        <v>11</v>
      </c>
      <c r="T844" s="70" t="s">
        <v>4</v>
      </c>
      <c r="U844" s="65" t="s">
        <v>14</v>
      </c>
      <c r="V844" s="65" t="s">
        <v>1924</v>
      </c>
      <c r="W844" s="65" t="s">
        <v>1922</v>
      </c>
      <c r="X844" s="65" t="s">
        <v>2863</v>
      </c>
      <c r="Y844" s="65" t="s">
        <v>3069</v>
      </c>
      <c r="Z844" s="65" t="s">
        <v>4</v>
      </c>
      <c r="AA844" s="65" t="s">
        <v>2863</v>
      </c>
    </row>
    <row r="845" spans="1:27" ht="17.45" hidden="1" customHeight="1">
      <c r="A845" s="100" t="str">
        <f>IF(priority(Main[[#This Row],[Comments]])&lt;&gt;0, priority(Main[[#This Row],[Comments]]),"")</f>
        <v/>
      </c>
      <c r="B845" s="77" t="s">
        <v>1722</v>
      </c>
      <c r="C845" s="65" t="s">
        <v>4</v>
      </c>
      <c r="D845" s="66" t="s">
        <v>777</v>
      </c>
      <c r="E845" s="67">
        <v>40506.439513888887</v>
      </c>
      <c r="F845" s="67"/>
      <c r="G845" s="64" t="str">
        <f>IF(stdProdLT(Main[[#This Row],[Comments]])=0.1,"N/A",IF(stdProdLT(Main[[#This Row],[Comments]])=0,"",stdProdLT(Main[[#This Row],[Comments]])))</f>
        <v/>
      </c>
      <c r="H845" s="68" t="str">
        <f>IF(AND(Main[[#This Row],[In Stock Date]]&lt;&gt;"",Main[[#This Row],[Revised Due Date]]&lt;&gt;""),Main[[#This Row],[In Stock Date]]-Main[[#This Row],[Revised Due Date]],"")</f>
        <v/>
      </c>
      <c r="I845" s="65" t="s">
        <v>4</v>
      </c>
      <c r="J845" s="65" t="s">
        <v>28</v>
      </c>
      <c r="K845" s="65" t="s">
        <v>1921</v>
      </c>
      <c r="L845" s="67"/>
      <c r="M845" s="69" t="str">
        <f>IF(Main[[#This Row],[Tech Start Date]]&lt;1/1/1990,"",IF(Main[[#This Row],[Class]]="C",WORKDAY(Main[[#This Row],[Tech Start Date]],9),IF(Main[[#This Row],[Class]]="B", WORKDAY(Main[[#This Row],[Tech Start Date]],6),IF(Main[[#This Row],[Class]]="A",WORKDAY(Main[[#This Row],[Tech Start Date]],2),""))))</f>
        <v/>
      </c>
      <c r="N845" s="69" t="str">
        <f>IF(Main[[#This Row],[Tech Start Date]]&lt;1/1/1990,"",IF(Main[[#This Row],[Class]]="C",WORKDAY(Main[[#This Row],[Tech Start Date]],19),IF(Main[[#This Row],[Class]]="B", WORKDAY(Main[[#This Row],[Tech Start Date]],12),IF(Main[[#This Row],[Class]]="A",WORKDAY(Main[[#This Row],[Tech Start Date]],4),""))))</f>
        <v/>
      </c>
      <c r="O845" s="69" t="str">
        <f>IF(Main[[#This Row],[Tech Start Date]]&lt;1/1/1990,"",IF(Main[[#This Row],[Class]]="C",WORKDAY(Main[[#This Row],[Tech Start Date]],23),IF(Main[[#This Row],[Class]]="B", WORKDAY(Main[[#This Row],[Tech Start Date]],15),IF(Main[[#This Row],[Class]]="A",WORKDAY(Main[[#This Row],[Tech Start Date]],5),""))))</f>
        <v/>
      </c>
      <c r="P845" s="69" t="str">
        <f>IF(Main[[#This Row],[Tech Start Date]]&lt;1/1/1990,"",IF(Main[[#This Row],[Class]]="C",WORKDAY(Main[[#This Row],[Tech Start Date]],28),IF(Main[[#This Row],[Class]]="B", WORKDAY(Main[[#This Row],[Tech Start Date]],19),IF(Main[[#This Row],[Class]]="A",WORKDAY(Main[[#This Row],[Tech Start Date]],9),""))))</f>
        <v/>
      </c>
      <c r="Q845" s="67">
        <v>40555</v>
      </c>
      <c r="R845" s="67"/>
      <c r="S845" s="65" t="s">
        <v>6</v>
      </c>
      <c r="T845" s="70" t="s">
        <v>4</v>
      </c>
      <c r="U845" s="65" t="s">
        <v>7</v>
      </c>
      <c r="V845" s="65" t="s">
        <v>1914</v>
      </c>
      <c r="W845" s="65" t="s">
        <v>1918</v>
      </c>
      <c r="X845" s="65" t="s">
        <v>2821</v>
      </c>
      <c r="Y845" s="65" t="s">
        <v>2936</v>
      </c>
      <c r="Z845" s="65" t="s">
        <v>129</v>
      </c>
      <c r="AA845" s="65" t="s">
        <v>2821</v>
      </c>
    </row>
    <row r="846" spans="1:27" ht="17.45" hidden="1" customHeight="1">
      <c r="A846" s="100" t="str">
        <f>IF(priority(Main[[#This Row],[Comments]])&lt;&gt;0, priority(Main[[#This Row],[Comments]]),"")</f>
        <v/>
      </c>
      <c r="B846" s="77" t="s">
        <v>1708</v>
      </c>
      <c r="C846" s="65" t="s">
        <v>4</v>
      </c>
      <c r="D846" s="66" t="s">
        <v>710</v>
      </c>
      <c r="E846" s="67"/>
      <c r="F846" s="67"/>
      <c r="G846" s="64" t="str">
        <f>IF(stdProdLT(Main[[#This Row],[Comments]])=0.1,"N/A",IF(stdProdLT(Main[[#This Row],[Comments]])=0,"",stdProdLT(Main[[#This Row],[Comments]])))</f>
        <v/>
      </c>
      <c r="H846" s="68" t="str">
        <f>IF(AND(Main[[#This Row],[In Stock Date]]&lt;&gt;"",Main[[#This Row],[Revised Due Date]]&lt;&gt;""),Main[[#This Row],[In Stock Date]]-Main[[#This Row],[Revised Due Date]],"")</f>
        <v/>
      </c>
      <c r="I846" s="65" t="s">
        <v>4</v>
      </c>
      <c r="J846" s="65" t="s">
        <v>28</v>
      </c>
      <c r="K846" s="65" t="s">
        <v>1923</v>
      </c>
      <c r="L846" s="67"/>
      <c r="M846" s="69" t="str">
        <f>IF(Main[[#This Row],[Tech Start Date]]&lt;1/1/1990,"",IF(Main[[#This Row],[Class]]="C",WORKDAY(Main[[#This Row],[Tech Start Date]],9),IF(Main[[#This Row],[Class]]="B", WORKDAY(Main[[#This Row],[Tech Start Date]],6),IF(Main[[#This Row],[Class]]="A",WORKDAY(Main[[#This Row],[Tech Start Date]],2),""))))</f>
        <v/>
      </c>
      <c r="N846" s="69" t="str">
        <f>IF(Main[[#This Row],[Tech Start Date]]&lt;1/1/1990,"",IF(Main[[#This Row],[Class]]="C",WORKDAY(Main[[#This Row],[Tech Start Date]],19),IF(Main[[#This Row],[Class]]="B", WORKDAY(Main[[#This Row],[Tech Start Date]],12),IF(Main[[#This Row],[Class]]="A",WORKDAY(Main[[#This Row],[Tech Start Date]],4),""))))</f>
        <v/>
      </c>
      <c r="O846" s="69" t="str">
        <f>IF(Main[[#This Row],[Tech Start Date]]&lt;1/1/1990,"",IF(Main[[#This Row],[Class]]="C",WORKDAY(Main[[#This Row],[Tech Start Date]],23),IF(Main[[#This Row],[Class]]="B", WORKDAY(Main[[#This Row],[Tech Start Date]],15),IF(Main[[#This Row],[Class]]="A",WORKDAY(Main[[#This Row],[Tech Start Date]],5),""))))</f>
        <v/>
      </c>
      <c r="P846" s="69" t="str">
        <f>IF(Main[[#This Row],[Tech Start Date]]&lt;1/1/1990,"",IF(Main[[#This Row],[Class]]="C",WORKDAY(Main[[#This Row],[Tech Start Date]],28),IF(Main[[#This Row],[Class]]="B", WORKDAY(Main[[#This Row],[Tech Start Date]],19),IF(Main[[#This Row],[Class]]="A",WORKDAY(Main[[#This Row],[Tech Start Date]],9),""))))</f>
        <v/>
      </c>
      <c r="Q846" s="67">
        <v>40647</v>
      </c>
      <c r="R846" s="67"/>
      <c r="S846" s="65" t="s">
        <v>6</v>
      </c>
      <c r="T846" s="70" t="s">
        <v>4</v>
      </c>
      <c r="U846" s="65" t="s">
        <v>14</v>
      </c>
      <c r="V846" s="65" t="s">
        <v>1914</v>
      </c>
      <c r="W846" s="65" t="s">
        <v>1918</v>
      </c>
      <c r="X846" s="65" t="s">
        <v>2821</v>
      </c>
      <c r="Y846" s="65" t="s">
        <v>2936</v>
      </c>
      <c r="Z846" s="65" t="s">
        <v>129</v>
      </c>
      <c r="AA846" s="65" t="s">
        <v>2821</v>
      </c>
    </row>
    <row r="847" spans="1:27" ht="17.45" hidden="1" customHeight="1">
      <c r="A847" s="100" t="str">
        <f>IF(priority(Main[[#This Row],[Comments]])&lt;&gt;0, priority(Main[[#This Row],[Comments]]),"")</f>
        <v/>
      </c>
      <c r="B847" s="77" t="s">
        <v>2073</v>
      </c>
      <c r="C847" s="65" t="s">
        <v>4</v>
      </c>
      <c r="D847" s="66" t="s">
        <v>2388</v>
      </c>
      <c r="E847" s="67">
        <v>40760.555381944447</v>
      </c>
      <c r="F847" s="67"/>
      <c r="G847" s="64" t="str">
        <f>IF(stdProdLT(Main[[#This Row],[Comments]])=0.1,"N/A",IF(stdProdLT(Main[[#This Row],[Comments]])=0,"",stdProdLT(Main[[#This Row],[Comments]])))</f>
        <v/>
      </c>
      <c r="H847" s="68" t="str">
        <f>IF(AND(Main[[#This Row],[In Stock Date]]&lt;&gt;"",Main[[#This Row],[Revised Due Date]]&lt;&gt;""),Main[[#This Row],[In Stock Date]]-Main[[#This Row],[Revised Due Date]],"")</f>
        <v/>
      </c>
      <c r="I847" s="65" t="s">
        <v>4</v>
      </c>
      <c r="J847" s="65" t="s">
        <v>4</v>
      </c>
      <c r="K847" s="65" t="s">
        <v>4</v>
      </c>
      <c r="L847" s="67"/>
      <c r="M847" s="69" t="str">
        <f>IF(Main[[#This Row],[Tech Start Date]]&lt;1/1/1990,"",IF(Main[[#This Row],[Class]]="C",WORKDAY(Main[[#This Row],[Tech Start Date]],9),IF(Main[[#This Row],[Class]]="B", WORKDAY(Main[[#This Row],[Tech Start Date]],6),IF(Main[[#This Row],[Class]]="A",WORKDAY(Main[[#This Row],[Tech Start Date]],2),""))))</f>
        <v/>
      </c>
      <c r="N847" s="69" t="str">
        <f>IF(Main[[#This Row],[Tech Start Date]]&lt;1/1/1990,"",IF(Main[[#This Row],[Class]]="C",WORKDAY(Main[[#This Row],[Tech Start Date]],19),IF(Main[[#This Row],[Class]]="B", WORKDAY(Main[[#This Row],[Tech Start Date]],12),IF(Main[[#This Row],[Class]]="A",WORKDAY(Main[[#This Row],[Tech Start Date]],4),""))))</f>
        <v/>
      </c>
      <c r="O847" s="69" t="str">
        <f>IF(Main[[#This Row],[Tech Start Date]]&lt;1/1/1990,"",IF(Main[[#This Row],[Class]]="C",WORKDAY(Main[[#This Row],[Tech Start Date]],23),IF(Main[[#This Row],[Class]]="B", WORKDAY(Main[[#This Row],[Tech Start Date]],15),IF(Main[[#This Row],[Class]]="A",WORKDAY(Main[[#This Row],[Tech Start Date]],5),""))))</f>
        <v/>
      </c>
      <c r="P847" s="69" t="str">
        <f>IF(Main[[#This Row],[Tech Start Date]]&lt;1/1/1990,"",IF(Main[[#This Row],[Class]]="C",WORKDAY(Main[[#This Row],[Tech Start Date]],28),IF(Main[[#This Row],[Class]]="B", WORKDAY(Main[[#This Row],[Tech Start Date]],19),IF(Main[[#This Row],[Class]]="A",WORKDAY(Main[[#This Row],[Tech Start Date]],9),""))))</f>
        <v/>
      </c>
      <c r="Q847" s="67"/>
      <c r="R847" s="67"/>
      <c r="S847" s="65" t="s">
        <v>6</v>
      </c>
      <c r="T847" s="70" t="s">
        <v>4</v>
      </c>
      <c r="U847" s="65" t="s">
        <v>7</v>
      </c>
      <c r="V847" s="65" t="s">
        <v>1914</v>
      </c>
      <c r="W847" s="65" t="s">
        <v>1918</v>
      </c>
      <c r="X847" s="65" t="s">
        <v>306</v>
      </c>
      <c r="Y847" s="65" t="s">
        <v>4</v>
      </c>
      <c r="Z847" s="65" t="s">
        <v>4</v>
      </c>
      <c r="AA847" s="65" t="s">
        <v>4</v>
      </c>
    </row>
    <row r="848" spans="1:27" ht="17.45" hidden="1" customHeight="1">
      <c r="A848" s="100" t="str">
        <f>IF(priority(Main[[#This Row],[Comments]])&lt;&gt;0, priority(Main[[#This Row],[Comments]]),"")</f>
        <v/>
      </c>
      <c r="B848" s="77" t="s">
        <v>1633</v>
      </c>
      <c r="C848" s="65" t="s">
        <v>4</v>
      </c>
      <c r="D848" s="66" t="s">
        <v>2389</v>
      </c>
      <c r="E848" s="67">
        <v>40567.655532407407</v>
      </c>
      <c r="F848" s="67">
        <v>40602</v>
      </c>
      <c r="G848" s="64" t="str">
        <f>IF(stdProdLT(Main[[#This Row],[Comments]])=0.1,"N/A",IF(stdProdLT(Main[[#This Row],[Comments]])=0,"",stdProdLT(Main[[#This Row],[Comments]])))</f>
        <v/>
      </c>
      <c r="H848" s="68" t="str">
        <f>IF(AND(Main[[#This Row],[In Stock Date]]&lt;&gt;"",Main[[#This Row],[Revised Due Date]]&lt;&gt;""),Main[[#This Row],[In Stock Date]]-Main[[#This Row],[Revised Due Date]],"")</f>
        <v/>
      </c>
      <c r="I848" s="65" t="s">
        <v>912</v>
      </c>
      <c r="J848" s="65" t="s">
        <v>52</v>
      </c>
      <c r="K848" s="65" t="s">
        <v>1923</v>
      </c>
      <c r="L848" s="67"/>
      <c r="M848" s="69" t="str">
        <f>IF(Main[[#This Row],[Tech Start Date]]&lt;1/1/1990,"",IF(Main[[#This Row],[Class]]="C",WORKDAY(Main[[#This Row],[Tech Start Date]],9),IF(Main[[#This Row],[Class]]="B", WORKDAY(Main[[#This Row],[Tech Start Date]],6),IF(Main[[#This Row],[Class]]="A",WORKDAY(Main[[#This Row],[Tech Start Date]],2),""))))</f>
        <v/>
      </c>
      <c r="N848" s="69" t="str">
        <f>IF(Main[[#This Row],[Tech Start Date]]&lt;1/1/1990,"",IF(Main[[#This Row],[Class]]="C",WORKDAY(Main[[#This Row],[Tech Start Date]],19),IF(Main[[#This Row],[Class]]="B", WORKDAY(Main[[#This Row],[Tech Start Date]],12),IF(Main[[#This Row],[Class]]="A",WORKDAY(Main[[#This Row],[Tech Start Date]],4),""))))</f>
        <v/>
      </c>
      <c r="O848" s="69" t="str">
        <f>IF(Main[[#This Row],[Tech Start Date]]&lt;1/1/1990,"",IF(Main[[#This Row],[Class]]="C",WORKDAY(Main[[#This Row],[Tech Start Date]],23),IF(Main[[#This Row],[Class]]="B", WORKDAY(Main[[#This Row],[Tech Start Date]],15),IF(Main[[#This Row],[Class]]="A",WORKDAY(Main[[#This Row],[Tech Start Date]],5),""))))</f>
        <v/>
      </c>
      <c r="P848" s="69" t="str">
        <f>IF(Main[[#This Row],[Tech Start Date]]&lt;1/1/1990,"",IF(Main[[#This Row],[Class]]="C",WORKDAY(Main[[#This Row],[Tech Start Date]],28),IF(Main[[#This Row],[Class]]="B", WORKDAY(Main[[#This Row],[Tech Start Date]],19),IF(Main[[#This Row],[Class]]="A",WORKDAY(Main[[#This Row],[Tech Start Date]],9),""))))</f>
        <v/>
      </c>
      <c r="Q848" s="67">
        <v>40602</v>
      </c>
      <c r="R848" s="67"/>
      <c r="S848" s="65" t="s">
        <v>6</v>
      </c>
      <c r="T848" s="70" t="s">
        <v>4</v>
      </c>
      <c r="U848" s="65" t="s">
        <v>29</v>
      </c>
      <c r="V848" s="65" t="s">
        <v>1914</v>
      </c>
      <c r="W848" s="65" t="s">
        <v>1916</v>
      </c>
      <c r="X848" s="65" t="s">
        <v>2818</v>
      </c>
      <c r="Y848" s="65" t="s">
        <v>2929</v>
      </c>
      <c r="Z848" s="65" t="s">
        <v>129</v>
      </c>
      <c r="AA848" s="65" t="s">
        <v>2818</v>
      </c>
    </row>
    <row r="849" spans="1:27" ht="17.45" hidden="1" customHeight="1">
      <c r="A849" s="100" t="str">
        <f>IF(priority(Main[[#This Row],[Comments]])&lt;&gt;0, priority(Main[[#This Row],[Comments]]),"")</f>
        <v/>
      </c>
      <c r="B849" s="77" t="s">
        <v>1710</v>
      </c>
      <c r="C849" s="65" t="s">
        <v>4</v>
      </c>
      <c r="D849" s="66" t="s">
        <v>769</v>
      </c>
      <c r="E849" s="67"/>
      <c r="F849" s="67"/>
      <c r="G849" s="64" t="str">
        <f>IF(stdProdLT(Main[[#This Row],[Comments]])=0.1,"N/A",IF(stdProdLT(Main[[#This Row],[Comments]])=0,"",stdProdLT(Main[[#This Row],[Comments]])))</f>
        <v/>
      </c>
      <c r="H849" s="68" t="str">
        <f>IF(AND(Main[[#This Row],[In Stock Date]]&lt;&gt;"",Main[[#This Row],[Revised Due Date]]&lt;&gt;""),Main[[#This Row],[In Stock Date]]-Main[[#This Row],[Revised Due Date]],"")</f>
        <v/>
      </c>
      <c r="I849" s="65" t="s">
        <v>4</v>
      </c>
      <c r="J849" s="65" t="s">
        <v>4</v>
      </c>
      <c r="K849" s="71" t="s">
        <v>4</v>
      </c>
      <c r="L849" s="67"/>
      <c r="M849" s="69" t="str">
        <f>IF(Main[[#This Row],[Tech Start Date]]&lt;1/1/1990,"",IF(Main[[#This Row],[Class]]="C",WORKDAY(Main[[#This Row],[Tech Start Date]],9),IF(Main[[#This Row],[Class]]="B", WORKDAY(Main[[#This Row],[Tech Start Date]],6),IF(Main[[#This Row],[Class]]="A",WORKDAY(Main[[#This Row],[Tech Start Date]],2),""))))</f>
        <v/>
      </c>
      <c r="N849" s="69" t="str">
        <f>IF(Main[[#This Row],[Tech Start Date]]&lt;1/1/1990,"",IF(Main[[#This Row],[Class]]="C",WORKDAY(Main[[#This Row],[Tech Start Date]],19),IF(Main[[#This Row],[Class]]="B", WORKDAY(Main[[#This Row],[Tech Start Date]],12),IF(Main[[#This Row],[Class]]="A",WORKDAY(Main[[#This Row],[Tech Start Date]],4),""))))</f>
        <v/>
      </c>
      <c r="O849" s="69" t="str">
        <f>IF(Main[[#This Row],[Tech Start Date]]&lt;1/1/1990,"",IF(Main[[#This Row],[Class]]="C",WORKDAY(Main[[#This Row],[Tech Start Date]],23),IF(Main[[#This Row],[Class]]="B", WORKDAY(Main[[#This Row],[Tech Start Date]],15),IF(Main[[#This Row],[Class]]="A",WORKDAY(Main[[#This Row],[Tech Start Date]],5),""))))</f>
        <v/>
      </c>
      <c r="P849" s="69" t="str">
        <f>IF(Main[[#This Row],[Tech Start Date]]&lt;1/1/1990,"",IF(Main[[#This Row],[Class]]="C",WORKDAY(Main[[#This Row],[Tech Start Date]],28),IF(Main[[#This Row],[Class]]="B", WORKDAY(Main[[#This Row],[Tech Start Date]],19),IF(Main[[#This Row],[Class]]="A",WORKDAY(Main[[#This Row],[Tech Start Date]],9),""))))</f>
        <v/>
      </c>
      <c r="Q849" s="67"/>
      <c r="R849" s="67"/>
      <c r="S849" s="65" t="s">
        <v>6</v>
      </c>
      <c r="T849" s="70" t="s">
        <v>4</v>
      </c>
      <c r="U849" s="65" t="s">
        <v>12</v>
      </c>
      <c r="V849" s="65" t="s">
        <v>1914</v>
      </c>
      <c r="W849" s="65" t="s">
        <v>1918</v>
      </c>
      <c r="X849" s="65" t="s">
        <v>922</v>
      </c>
      <c r="Y849" s="65" t="s">
        <v>2982</v>
      </c>
      <c r="Z849" s="65" t="s">
        <v>4</v>
      </c>
      <c r="AA849" s="65" t="s">
        <v>922</v>
      </c>
    </row>
    <row r="850" spans="1:27" ht="17.45" hidden="1" customHeight="1">
      <c r="A850" s="100" t="str">
        <f>IF(priority(Main[[#This Row],[Comments]])&lt;&gt;0, priority(Main[[#This Row],[Comments]]),"")</f>
        <v/>
      </c>
      <c r="B850" s="77" t="s">
        <v>1205</v>
      </c>
      <c r="C850" s="65" t="s">
        <v>116</v>
      </c>
      <c r="D850" s="66" t="s">
        <v>263</v>
      </c>
      <c r="E850" s="67">
        <v>40681.362476851849</v>
      </c>
      <c r="F850" s="67">
        <v>40734</v>
      </c>
      <c r="G850" s="64" t="str">
        <f>IF(stdProdLT(Main[[#This Row],[Comments]])=0.1,"N/A",IF(stdProdLT(Main[[#This Row],[Comments]])=0,"",stdProdLT(Main[[#This Row],[Comments]])))</f>
        <v/>
      </c>
      <c r="H850" s="68" t="str">
        <f>IF(AND(Main[[#This Row],[In Stock Date]]&lt;&gt;"",Main[[#This Row],[Revised Due Date]]&lt;&gt;""),Main[[#This Row],[In Stock Date]]-Main[[#This Row],[Revised Due Date]],"")</f>
        <v/>
      </c>
      <c r="I850" s="65" t="s">
        <v>4</v>
      </c>
      <c r="J850" s="65" t="s">
        <v>4</v>
      </c>
      <c r="K850" s="65" t="s">
        <v>4</v>
      </c>
      <c r="L850" s="67"/>
      <c r="M850" s="69" t="str">
        <f>IF(Main[[#This Row],[Tech Start Date]]&lt;1/1/1990,"",IF(Main[[#This Row],[Class]]="C",WORKDAY(Main[[#This Row],[Tech Start Date]],9),IF(Main[[#This Row],[Class]]="B", WORKDAY(Main[[#This Row],[Tech Start Date]],6),IF(Main[[#This Row],[Class]]="A",WORKDAY(Main[[#This Row],[Tech Start Date]],2),""))))</f>
        <v/>
      </c>
      <c r="N850" s="69" t="str">
        <f>IF(Main[[#This Row],[Tech Start Date]]&lt;1/1/1990,"",IF(Main[[#This Row],[Class]]="C",WORKDAY(Main[[#This Row],[Tech Start Date]],19),IF(Main[[#This Row],[Class]]="B", WORKDAY(Main[[#This Row],[Tech Start Date]],12),IF(Main[[#This Row],[Class]]="A",WORKDAY(Main[[#This Row],[Tech Start Date]],4),""))))</f>
        <v/>
      </c>
      <c r="O850" s="69" t="str">
        <f>IF(Main[[#This Row],[Tech Start Date]]&lt;1/1/1990,"",IF(Main[[#This Row],[Class]]="C",WORKDAY(Main[[#This Row],[Tech Start Date]],23),IF(Main[[#This Row],[Class]]="B", WORKDAY(Main[[#This Row],[Tech Start Date]],15),IF(Main[[#This Row],[Class]]="A",WORKDAY(Main[[#This Row],[Tech Start Date]],5),""))))</f>
        <v/>
      </c>
      <c r="P850" s="69" t="str">
        <f>IF(Main[[#This Row],[Tech Start Date]]&lt;1/1/1990,"",IF(Main[[#This Row],[Class]]="C",WORKDAY(Main[[#This Row],[Tech Start Date]],28),IF(Main[[#This Row],[Class]]="B", WORKDAY(Main[[#This Row],[Tech Start Date]],19),IF(Main[[#This Row],[Class]]="A",WORKDAY(Main[[#This Row],[Tech Start Date]],9),""))))</f>
        <v/>
      </c>
      <c r="Q850" s="67">
        <v>40724</v>
      </c>
      <c r="R850" s="67"/>
      <c r="S850" s="65" t="s">
        <v>17</v>
      </c>
      <c r="T850" s="70" t="s">
        <v>4</v>
      </c>
      <c r="U850" s="65" t="s">
        <v>7</v>
      </c>
      <c r="V850" s="65" t="s">
        <v>1917</v>
      </c>
      <c r="W850" s="65" t="s">
        <v>1918</v>
      </c>
      <c r="X850" s="65" t="s">
        <v>50</v>
      </c>
      <c r="Y850" s="65" t="s">
        <v>2961</v>
      </c>
      <c r="Z850" s="65" t="s">
        <v>4</v>
      </c>
      <c r="AA850" s="65" t="s">
        <v>50</v>
      </c>
    </row>
    <row r="851" spans="1:27" ht="17.45" hidden="1" customHeight="1">
      <c r="A851" s="100" t="str">
        <f>IF(priority(Main[[#This Row],[Comments]])&lt;&gt;0, priority(Main[[#This Row],[Comments]]),"")</f>
        <v/>
      </c>
      <c r="B851" s="77" t="s">
        <v>2394</v>
      </c>
      <c r="C851" s="65" t="s">
        <v>4</v>
      </c>
      <c r="D851" s="66" t="s">
        <v>2395</v>
      </c>
      <c r="E851" s="67"/>
      <c r="F851" s="67"/>
      <c r="G851" s="64" t="str">
        <f>IF(stdProdLT(Main[[#This Row],[Comments]])=0.1,"N/A",IF(stdProdLT(Main[[#This Row],[Comments]])=0,"",stdProdLT(Main[[#This Row],[Comments]])))</f>
        <v/>
      </c>
      <c r="H851" s="68" t="str">
        <f>IF(AND(Main[[#This Row],[In Stock Date]]&lt;&gt;"",Main[[#This Row],[Revised Due Date]]&lt;&gt;""),Main[[#This Row],[In Stock Date]]-Main[[#This Row],[Revised Due Date]],"")</f>
        <v/>
      </c>
      <c r="I851" s="65" t="s">
        <v>4</v>
      </c>
      <c r="J851" s="65" t="s">
        <v>4</v>
      </c>
      <c r="K851" s="65" t="s">
        <v>4</v>
      </c>
      <c r="L851" s="67"/>
      <c r="M851" s="69" t="str">
        <f>IF(Main[[#This Row],[Tech Start Date]]&lt;1/1/1990,"",IF(Main[[#This Row],[Class]]="C",WORKDAY(Main[[#This Row],[Tech Start Date]],9),IF(Main[[#This Row],[Class]]="B", WORKDAY(Main[[#This Row],[Tech Start Date]],6),IF(Main[[#This Row],[Class]]="A",WORKDAY(Main[[#This Row],[Tech Start Date]],2),""))))</f>
        <v/>
      </c>
      <c r="N851" s="69" t="str">
        <f>IF(Main[[#This Row],[Tech Start Date]]&lt;1/1/1990,"",IF(Main[[#This Row],[Class]]="C",WORKDAY(Main[[#This Row],[Tech Start Date]],19),IF(Main[[#This Row],[Class]]="B", WORKDAY(Main[[#This Row],[Tech Start Date]],12),IF(Main[[#This Row],[Class]]="A",WORKDAY(Main[[#This Row],[Tech Start Date]],4),""))))</f>
        <v/>
      </c>
      <c r="O851" s="69" t="str">
        <f>IF(Main[[#This Row],[Tech Start Date]]&lt;1/1/1990,"",IF(Main[[#This Row],[Class]]="C",WORKDAY(Main[[#This Row],[Tech Start Date]],23),IF(Main[[#This Row],[Class]]="B", WORKDAY(Main[[#This Row],[Tech Start Date]],15),IF(Main[[#This Row],[Class]]="A",WORKDAY(Main[[#This Row],[Tech Start Date]],5),""))))</f>
        <v/>
      </c>
      <c r="P851" s="69" t="str">
        <f>IF(Main[[#This Row],[Tech Start Date]]&lt;1/1/1990,"",IF(Main[[#This Row],[Class]]="C",WORKDAY(Main[[#This Row],[Tech Start Date]],28),IF(Main[[#This Row],[Class]]="B", WORKDAY(Main[[#This Row],[Tech Start Date]],19),IF(Main[[#This Row],[Class]]="A",WORKDAY(Main[[#This Row],[Tech Start Date]],9),""))))</f>
        <v/>
      </c>
      <c r="Q851" s="67"/>
      <c r="R851" s="67"/>
      <c r="S851" s="65" t="s">
        <v>11</v>
      </c>
      <c r="T851" s="70" t="s">
        <v>4</v>
      </c>
      <c r="U851" s="65" t="s">
        <v>14</v>
      </c>
      <c r="V851" s="65" t="s">
        <v>1915</v>
      </c>
      <c r="W851" s="65" t="s">
        <v>4</v>
      </c>
      <c r="X851" s="65" t="s">
        <v>2249</v>
      </c>
      <c r="Y851" s="65" t="s">
        <v>4</v>
      </c>
      <c r="Z851" s="65" t="s">
        <v>4</v>
      </c>
      <c r="AA851" s="65" t="s">
        <v>4</v>
      </c>
    </row>
    <row r="852" spans="1:27" ht="17.45" hidden="1" customHeight="1">
      <c r="A852" s="100" t="str">
        <f>IF(priority(Main[[#This Row],[Comments]])&lt;&gt;0, priority(Main[[#This Row],[Comments]]),"")</f>
        <v/>
      </c>
      <c r="B852" s="77" t="s">
        <v>1827</v>
      </c>
      <c r="C852" s="65" t="s">
        <v>365</v>
      </c>
      <c r="D852" s="66" t="s">
        <v>2118</v>
      </c>
      <c r="E852" s="67">
        <v>40002.664317129631</v>
      </c>
      <c r="F852" s="67">
        <v>40074</v>
      </c>
      <c r="G852" s="64">
        <f>IF(stdProdLT(Main[[#This Row],[Comments]])=0.1,"N/A",IF(stdProdLT(Main[[#This Row],[Comments]])=0,"",stdProdLT(Main[[#This Row],[Comments]])))</f>
        <v>126</v>
      </c>
      <c r="H852" s="68">
        <f>IF(AND(Main[[#This Row],[In Stock Date]]&lt;&gt;"",Main[[#This Row],[Revised Due Date]]&lt;&gt;""),Main[[#This Row],[In Stock Date]]-Main[[#This Row],[Revised Due Date]],"")</f>
        <v>-399</v>
      </c>
      <c r="I852" s="65" t="s">
        <v>2053</v>
      </c>
      <c r="J852" s="65" t="s">
        <v>28</v>
      </c>
      <c r="K852" s="71" t="s">
        <v>1927</v>
      </c>
      <c r="L852" s="67"/>
      <c r="M852" s="69" t="str">
        <f>IF(Main[[#This Row],[Tech Start Date]]&lt;1/1/1990,"",IF(Main[[#This Row],[Class]]="C",WORKDAY(Main[[#This Row],[Tech Start Date]],9),IF(Main[[#This Row],[Class]]="B", WORKDAY(Main[[#This Row],[Tech Start Date]],6),IF(Main[[#This Row],[Class]]="A",WORKDAY(Main[[#This Row],[Tech Start Date]],2),""))))</f>
        <v/>
      </c>
      <c r="N852" s="69" t="str">
        <f>IF(Main[[#This Row],[Tech Start Date]]&lt;1/1/1990,"",IF(Main[[#This Row],[Class]]="C",WORKDAY(Main[[#This Row],[Tech Start Date]],19),IF(Main[[#This Row],[Class]]="B", WORKDAY(Main[[#This Row],[Tech Start Date]],12),IF(Main[[#This Row],[Class]]="A",WORKDAY(Main[[#This Row],[Tech Start Date]],4),""))))</f>
        <v/>
      </c>
      <c r="O852" s="69" t="str">
        <f>IF(Main[[#This Row],[Tech Start Date]]&lt;1/1/1990,"",IF(Main[[#This Row],[Class]]="C",WORKDAY(Main[[#This Row],[Tech Start Date]],23),IF(Main[[#This Row],[Class]]="B", WORKDAY(Main[[#This Row],[Tech Start Date]],15),IF(Main[[#This Row],[Class]]="A",WORKDAY(Main[[#This Row],[Tech Start Date]],5),""))))</f>
        <v/>
      </c>
      <c r="P852" s="69" t="str">
        <f>IF(Main[[#This Row],[Tech Start Date]]&lt;1/1/1990,"",IF(Main[[#This Row],[Class]]="C",WORKDAY(Main[[#This Row],[Tech Start Date]],28),IF(Main[[#This Row],[Class]]="B", WORKDAY(Main[[#This Row],[Tech Start Date]],19),IF(Main[[#This Row],[Class]]="A",WORKDAY(Main[[#This Row],[Tech Start Date]],9),""))))</f>
        <v/>
      </c>
      <c r="Q852" s="67">
        <v>40057</v>
      </c>
      <c r="R852" s="67">
        <v>40473</v>
      </c>
      <c r="S852" s="65" t="s">
        <v>6</v>
      </c>
      <c r="T852" s="70" t="s">
        <v>2119</v>
      </c>
      <c r="U852" s="65" t="s">
        <v>29</v>
      </c>
      <c r="V852" s="65" t="s">
        <v>1915</v>
      </c>
      <c r="W852" s="65" t="s">
        <v>1918</v>
      </c>
      <c r="X852" s="65" t="s">
        <v>2868</v>
      </c>
      <c r="Y852" s="65" t="s">
        <v>3107</v>
      </c>
      <c r="Z852" s="65" t="s">
        <v>2053</v>
      </c>
      <c r="AA852" s="65" t="s">
        <v>3440</v>
      </c>
    </row>
    <row r="853" spans="1:27" ht="17.45" hidden="1" customHeight="1">
      <c r="A853" s="100" t="str">
        <f>IF(priority(Main[[#This Row],[Comments]])&lt;&gt;0, priority(Main[[#This Row],[Comments]]),"")</f>
        <v/>
      </c>
      <c r="B853" s="77" t="s">
        <v>3238</v>
      </c>
      <c r="C853" s="65" t="s">
        <v>4</v>
      </c>
      <c r="D853" s="66" t="s">
        <v>3239</v>
      </c>
      <c r="E853" s="67">
        <v>40927.617210648146</v>
      </c>
      <c r="F853" s="67"/>
      <c r="G853" s="64" t="str">
        <f>IF(stdProdLT(Main[[#This Row],[Comments]])=0.1,"N/A",IF(stdProdLT(Main[[#This Row],[Comments]])=0,"",stdProdLT(Main[[#This Row],[Comments]])))</f>
        <v/>
      </c>
      <c r="H853" s="68" t="str">
        <f>IF(AND(Main[[#This Row],[In Stock Date]]&lt;&gt;"",Main[[#This Row],[Revised Due Date]]&lt;&gt;""),Main[[#This Row],[In Stock Date]]-Main[[#This Row],[Revised Due Date]],"")</f>
        <v/>
      </c>
      <c r="I853" s="65" t="s">
        <v>4</v>
      </c>
      <c r="J853" s="65" t="s">
        <v>4</v>
      </c>
      <c r="K853" s="65" t="s">
        <v>4</v>
      </c>
      <c r="L853" s="67"/>
      <c r="M853" s="69" t="str">
        <f>IF(Main[[#This Row],[Tech Start Date]]&lt;1/1/1990,"",IF(Main[[#This Row],[Class]]="C",WORKDAY(Main[[#This Row],[Tech Start Date]],9),IF(Main[[#This Row],[Class]]="B", WORKDAY(Main[[#This Row],[Tech Start Date]],6),IF(Main[[#This Row],[Class]]="A",WORKDAY(Main[[#This Row],[Tech Start Date]],2),""))))</f>
        <v/>
      </c>
      <c r="N853" s="69" t="str">
        <f>IF(Main[[#This Row],[Tech Start Date]]&lt;1/1/1990,"",IF(Main[[#This Row],[Class]]="C",WORKDAY(Main[[#This Row],[Tech Start Date]],19),IF(Main[[#This Row],[Class]]="B", WORKDAY(Main[[#This Row],[Tech Start Date]],12),IF(Main[[#This Row],[Class]]="A",WORKDAY(Main[[#This Row],[Tech Start Date]],4),""))))</f>
        <v/>
      </c>
      <c r="O853" s="69" t="str">
        <f>IF(Main[[#This Row],[Tech Start Date]]&lt;1/1/1990,"",IF(Main[[#This Row],[Class]]="C",WORKDAY(Main[[#This Row],[Tech Start Date]],23),IF(Main[[#This Row],[Class]]="B", WORKDAY(Main[[#This Row],[Tech Start Date]],15),IF(Main[[#This Row],[Class]]="A",WORKDAY(Main[[#This Row],[Tech Start Date]],5),""))))</f>
        <v/>
      </c>
      <c r="P853" s="69" t="str">
        <f>IF(Main[[#This Row],[Tech Start Date]]&lt;1/1/1990,"",IF(Main[[#This Row],[Class]]="C",WORKDAY(Main[[#This Row],[Tech Start Date]],28),IF(Main[[#This Row],[Class]]="B", WORKDAY(Main[[#This Row],[Tech Start Date]],19),IF(Main[[#This Row],[Class]]="A",WORKDAY(Main[[#This Row],[Tech Start Date]],9),""))))</f>
        <v/>
      </c>
      <c r="Q853" s="67"/>
      <c r="R853" s="67"/>
      <c r="S853" s="65" t="s">
        <v>6</v>
      </c>
      <c r="T853" s="70" t="s">
        <v>4</v>
      </c>
      <c r="U853" s="65" t="s">
        <v>29</v>
      </c>
      <c r="V853" s="65" t="s">
        <v>1915</v>
      </c>
      <c r="W853" s="65" t="s">
        <v>1918</v>
      </c>
      <c r="X853" s="65" t="s">
        <v>102</v>
      </c>
      <c r="Y853" s="65" t="s">
        <v>3240</v>
      </c>
      <c r="Z853" s="65" t="s">
        <v>4</v>
      </c>
      <c r="AA853" s="65" t="s">
        <v>2053</v>
      </c>
    </row>
    <row r="854" spans="1:27" ht="17.45" hidden="1" customHeight="1">
      <c r="A854" s="100" t="str">
        <f>IF(priority(Main[[#This Row],[Comments]])&lt;&gt;0, priority(Main[[#This Row],[Comments]]),"")</f>
        <v/>
      </c>
      <c r="B854" s="77" t="s">
        <v>1759</v>
      </c>
      <c r="C854" s="65" t="s">
        <v>72</v>
      </c>
      <c r="D854" s="66" t="s">
        <v>806</v>
      </c>
      <c r="E854" s="67"/>
      <c r="F854" s="67">
        <v>40756</v>
      </c>
      <c r="G854" s="64" t="str">
        <f>IF(stdProdLT(Main[[#This Row],[Comments]])=0.1,"N/A",IF(stdProdLT(Main[[#This Row],[Comments]])=0,"",stdProdLT(Main[[#This Row],[Comments]])))</f>
        <v/>
      </c>
      <c r="H854" s="68" t="str">
        <f>IF(AND(Main[[#This Row],[In Stock Date]]&lt;&gt;"",Main[[#This Row],[Revised Due Date]]&lt;&gt;""),Main[[#This Row],[In Stock Date]]-Main[[#This Row],[Revised Due Date]],"")</f>
        <v/>
      </c>
      <c r="I854" s="65" t="s">
        <v>4</v>
      </c>
      <c r="J854" s="65" t="s">
        <v>28</v>
      </c>
      <c r="K854" s="65" t="s">
        <v>4</v>
      </c>
      <c r="L854" s="67"/>
      <c r="M854" s="69" t="str">
        <f>IF(Main[[#This Row],[Tech Start Date]]&lt;1/1/1990,"",IF(Main[[#This Row],[Class]]="C",WORKDAY(Main[[#This Row],[Tech Start Date]],9),IF(Main[[#This Row],[Class]]="B", WORKDAY(Main[[#This Row],[Tech Start Date]],6),IF(Main[[#This Row],[Class]]="A",WORKDAY(Main[[#This Row],[Tech Start Date]],2),""))))</f>
        <v/>
      </c>
      <c r="N854" s="69" t="str">
        <f>IF(Main[[#This Row],[Tech Start Date]]&lt;1/1/1990,"",IF(Main[[#This Row],[Class]]="C",WORKDAY(Main[[#This Row],[Tech Start Date]],19),IF(Main[[#This Row],[Class]]="B", WORKDAY(Main[[#This Row],[Tech Start Date]],12),IF(Main[[#This Row],[Class]]="A",WORKDAY(Main[[#This Row],[Tech Start Date]],4),""))))</f>
        <v/>
      </c>
      <c r="O854" s="69" t="str">
        <f>IF(Main[[#This Row],[Tech Start Date]]&lt;1/1/1990,"",IF(Main[[#This Row],[Class]]="C",WORKDAY(Main[[#This Row],[Tech Start Date]],23),IF(Main[[#This Row],[Class]]="B", WORKDAY(Main[[#This Row],[Tech Start Date]],15),IF(Main[[#This Row],[Class]]="A",WORKDAY(Main[[#This Row],[Tech Start Date]],5),""))))</f>
        <v/>
      </c>
      <c r="P854" s="69" t="str">
        <f>IF(Main[[#This Row],[Tech Start Date]]&lt;1/1/1990,"",IF(Main[[#This Row],[Class]]="C",WORKDAY(Main[[#This Row],[Tech Start Date]],28),IF(Main[[#This Row],[Class]]="B", WORKDAY(Main[[#This Row],[Tech Start Date]],19),IF(Main[[#This Row],[Class]]="A",WORKDAY(Main[[#This Row],[Tech Start Date]],9),""))))</f>
        <v/>
      </c>
      <c r="Q854" s="67"/>
      <c r="R854" s="67"/>
      <c r="S854" s="65" t="s">
        <v>11</v>
      </c>
      <c r="T854" s="70" t="s">
        <v>4</v>
      </c>
      <c r="U854" s="65" t="s">
        <v>14</v>
      </c>
      <c r="V854" s="65" t="s">
        <v>1917</v>
      </c>
      <c r="W854" s="65" t="s">
        <v>1919</v>
      </c>
      <c r="X854" s="65" t="s">
        <v>50</v>
      </c>
      <c r="Y854" s="65" t="s">
        <v>2978</v>
      </c>
      <c r="Z854" s="65" t="s">
        <v>30</v>
      </c>
      <c r="AA854" s="65" t="s">
        <v>2847</v>
      </c>
    </row>
    <row r="855" spans="1:27" ht="17.45" hidden="1" customHeight="1">
      <c r="A855" s="100" t="str">
        <f>IF(priority(Main[[#This Row],[Comments]])&lt;&gt;0, priority(Main[[#This Row],[Comments]]),"")</f>
        <v/>
      </c>
      <c r="B855" s="77" t="s">
        <v>1760</v>
      </c>
      <c r="C855" s="65" t="s">
        <v>47</v>
      </c>
      <c r="D855" s="66" t="s">
        <v>807</v>
      </c>
      <c r="E855" s="67"/>
      <c r="F855" s="67"/>
      <c r="G855" s="64" t="str">
        <f>IF(stdProdLT(Main[[#This Row],[Comments]])=0.1,"N/A",IF(stdProdLT(Main[[#This Row],[Comments]])=0,"",stdProdLT(Main[[#This Row],[Comments]])))</f>
        <v/>
      </c>
      <c r="H855" s="68" t="str">
        <f>IF(AND(Main[[#This Row],[In Stock Date]]&lt;&gt;"",Main[[#This Row],[Revised Due Date]]&lt;&gt;""),Main[[#This Row],[In Stock Date]]-Main[[#This Row],[Revised Due Date]],"")</f>
        <v/>
      </c>
      <c r="I855" s="65" t="s">
        <v>4</v>
      </c>
      <c r="J855" s="65" t="s">
        <v>4</v>
      </c>
      <c r="K855" s="71" t="s">
        <v>4</v>
      </c>
      <c r="L855" s="67"/>
      <c r="M855" s="69" t="str">
        <f>IF(Main[[#This Row],[Tech Start Date]]&lt;1/1/1990,"",IF(Main[[#This Row],[Class]]="C",WORKDAY(Main[[#This Row],[Tech Start Date]],9),IF(Main[[#This Row],[Class]]="B", WORKDAY(Main[[#This Row],[Tech Start Date]],6),IF(Main[[#This Row],[Class]]="A",WORKDAY(Main[[#This Row],[Tech Start Date]],2),""))))</f>
        <v/>
      </c>
      <c r="N855" s="69" t="str">
        <f>IF(Main[[#This Row],[Tech Start Date]]&lt;1/1/1990,"",IF(Main[[#This Row],[Class]]="C",WORKDAY(Main[[#This Row],[Tech Start Date]],19),IF(Main[[#This Row],[Class]]="B", WORKDAY(Main[[#This Row],[Tech Start Date]],12),IF(Main[[#This Row],[Class]]="A",WORKDAY(Main[[#This Row],[Tech Start Date]],4),""))))</f>
        <v/>
      </c>
      <c r="O855" s="69" t="str">
        <f>IF(Main[[#This Row],[Tech Start Date]]&lt;1/1/1990,"",IF(Main[[#This Row],[Class]]="C",WORKDAY(Main[[#This Row],[Tech Start Date]],23),IF(Main[[#This Row],[Class]]="B", WORKDAY(Main[[#This Row],[Tech Start Date]],15),IF(Main[[#This Row],[Class]]="A",WORKDAY(Main[[#This Row],[Tech Start Date]],5),""))))</f>
        <v/>
      </c>
      <c r="P855" s="69" t="str">
        <f>IF(Main[[#This Row],[Tech Start Date]]&lt;1/1/1990,"",IF(Main[[#This Row],[Class]]="C",WORKDAY(Main[[#This Row],[Tech Start Date]],28),IF(Main[[#This Row],[Class]]="B", WORKDAY(Main[[#This Row],[Tech Start Date]],19),IF(Main[[#This Row],[Class]]="A",WORKDAY(Main[[#This Row],[Tech Start Date]],9),""))))</f>
        <v/>
      </c>
      <c r="Q855" s="67"/>
      <c r="R855" s="67"/>
      <c r="S855" s="65" t="s">
        <v>17</v>
      </c>
      <c r="T855" s="70" t="s">
        <v>4</v>
      </c>
      <c r="U855" s="65" t="s">
        <v>14</v>
      </c>
      <c r="V855" s="65" t="s">
        <v>1915</v>
      </c>
      <c r="W855" s="65" t="s">
        <v>1922</v>
      </c>
      <c r="X855" s="65" t="s">
        <v>306</v>
      </c>
      <c r="Y855" s="65" t="s">
        <v>2941</v>
      </c>
      <c r="Z855" s="65" t="s">
        <v>4</v>
      </c>
      <c r="AA855" s="65" t="s">
        <v>3377</v>
      </c>
    </row>
    <row r="856" spans="1:27" ht="17.45" hidden="1" customHeight="1">
      <c r="A856" s="100" t="str">
        <f>IF(priority(Main[[#This Row],[Comments]])&lt;&gt;0, priority(Main[[#This Row],[Comments]]),"")</f>
        <v/>
      </c>
      <c r="B856" s="77" t="s">
        <v>1761</v>
      </c>
      <c r="C856" s="65" t="s">
        <v>4</v>
      </c>
      <c r="D856" s="66" t="s">
        <v>808</v>
      </c>
      <c r="E856" s="67">
        <v>40634.342361111114</v>
      </c>
      <c r="F856" s="67"/>
      <c r="G856" s="64" t="str">
        <f>IF(stdProdLT(Main[[#This Row],[Comments]])=0.1,"N/A",IF(stdProdLT(Main[[#This Row],[Comments]])=0,"",stdProdLT(Main[[#This Row],[Comments]])))</f>
        <v/>
      </c>
      <c r="H856" s="68" t="str">
        <f>IF(AND(Main[[#This Row],[In Stock Date]]&lt;&gt;"",Main[[#This Row],[Revised Due Date]]&lt;&gt;""),Main[[#This Row],[In Stock Date]]-Main[[#This Row],[Revised Due Date]],"")</f>
        <v/>
      </c>
      <c r="I856" s="65" t="s">
        <v>4</v>
      </c>
      <c r="J856" s="65" t="s">
        <v>4</v>
      </c>
      <c r="K856" s="65" t="s">
        <v>4</v>
      </c>
      <c r="L856" s="67"/>
      <c r="M856" s="69" t="str">
        <f>IF(Main[[#This Row],[Tech Start Date]]&lt;1/1/1990,"",IF(Main[[#This Row],[Class]]="C",WORKDAY(Main[[#This Row],[Tech Start Date]],9),IF(Main[[#This Row],[Class]]="B", WORKDAY(Main[[#This Row],[Tech Start Date]],6),IF(Main[[#This Row],[Class]]="A",WORKDAY(Main[[#This Row],[Tech Start Date]],2),""))))</f>
        <v/>
      </c>
      <c r="N856" s="69" t="str">
        <f>IF(Main[[#This Row],[Tech Start Date]]&lt;1/1/1990,"",IF(Main[[#This Row],[Class]]="C",WORKDAY(Main[[#This Row],[Tech Start Date]],19),IF(Main[[#This Row],[Class]]="B", WORKDAY(Main[[#This Row],[Tech Start Date]],12),IF(Main[[#This Row],[Class]]="A",WORKDAY(Main[[#This Row],[Tech Start Date]],4),""))))</f>
        <v/>
      </c>
      <c r="O856" s="69" t="str">
        <f>IF(Main[[#This Row],[Tech Start Date]]&lt;1/1/1990,"",IF(Main[[#This Row],[Class]]="C",WORKDAY(Main[[#This Row],[Tech Start Date]],23),IF(Main[[#This Row],[Class]]="B", WORKDAY(Main[[#This Row],[Tech Start Date]],15),IF(Main[[#This Row],[Class]]="A",WORKDAY(Main[[#This Row],[Tech Start Date]],5),""))))</f>
        <v/>
      </c>
      <c r="P856" s="69" t="str">
        <f>IF(Main[[#This Row],[Tech Start Date]]&lt;1/1/1990,"",IF(Main[[#This Row],[Class]]="C",WORKDAY(Main[[#This Row],[Tech Start Date]],28),IF(Main[[#This Row],[Class]]="B", WORKDAY(Main[[#This Row],[Tech Start Date]],19),IF(Main[[#This Row],[Class]]="A",WORKDAY(Main[[#This Row],[Tech Start Date]],9),""))))</f>
        <v/>
      </c>
      <c r="Q856" s="67">
        <v>40676</v>
      </c>
      <c r="R856" s="67"/>
      <c r="S856" s="65" t="s">
        <v>6</v>
      </c>
      <c r="T856" s="70" t="s">
        <v>4</v>
      </c>
      <c r="U856" s="65" t="s">
        <v>7</v>
      </c>
      <c r="V856" s="65" t="s">
        <v>1915</v>
      </c>
      <c r="W856" s="65" t="s">
        <v>4</v>
      </c>
      <c r="X856" s="65" t="s">
        <v>2818</v>
      </c>
      <c r="Y856" s="65" t="s">
        <v>2929</v>
      </c>
      <c r="Z856" s="65" t="s">
        <v>4</v>
      </c>
      <c r="AA856" s="65" t="s">
        <v>2818</v>
      </c>
    </row>
    <row r="857" spans="1:27" ht="17.45" hidden="1" customHeight="1">
      <c r="A857" s="100" t="str">
        <f>IF(priority(Main[[#This Row],[Comments]])&lt;&gt;0, priority(Main[[#This Row],[Comments]]),"")</f>
        <v/>
      </c>
      <c r="B857" s="77" t="s">
        <v>1762</v>
      </c>
      <c r="C857" s="65" t="s">
        <v>31</v>
      </c>
      <c r="D857" s="66" t="s">
        <v>809</v>
      </c>
      <c r="E857" s="67"/>
      <c r="F857" s="67"/>
      <c r="G857" s="64" t="str">
        <f>IF(stdProdLT(Main[[#This Row],[Comments]])=0.1,"N/A",IF(stdProdLT(Main[[#This Row],[Comments]])=0,"",stdProdLT(Main[[#This Row],[Comments]])))</f>
        <v/>
      </c>
      <c r="H857" s="68" t="str">
        <f>IF(AND(Main[[#This Row],[In Stock Date]]&lt;&gt;"",Main[[#This Row],[Revised Due Date]]&lt;&gt;""),Main[[#This Row],[In Stock Date]]-Main[[#This Row],[Revised Due Date]],"")</f>
        <v/>
      </c>
      <c r="I857" s="65" t="s">
        <v>4</v>
      </c>
      <c r="J857" s="65" t="s">
        <v>4</v>
      </c>
      <c r="K857" s="65" t="s">
        <v>4</v>
      </c>
      <c r="L857" s="67"/>
      <c r="M857" s="69" t="str">
        <f>IF(Main[[#This Row],[Tech Start Date]]&lt;1/1/1990,"",IF(Main[[#This Row],[Class]]="C",WORKDAY(Main[[#This Row],[Tech Start Date]],9),IF(Main[[#This Row],[Class]]="B", WORKDAY(Main[[#This Row],[Tech Start Date]],6),IF(Main[[#This Row],[Class]]="A",WORKDAY(Main[[#This Row],[Tech Start Date]],2),""))))</f>
        <v/>
      </c>
      <c r="N857" s="69" t="str">
        <f>IF(Main[[#This Row],[Tech Start Date]]&lt;1/1/1990,"",IF(Main[[#This Row],[Class]]="C",WORKDAY(Main[[#This Row],[Tech Start Date]],19),IF(Main[[#This Row],[Class]]="B", WORKDAY(Main[[#This Row],[Tech Start Date]],12),IF(Main[[#This Row],[Class]]="A",WORKDAY(Main[[#This Row],[Tech Start Date]],4),""))))</f>
        <v/>
      </c>
      <c r="O857" s="69" t="str">
        <f>IF(Main[[#This Row],[Tech Start Date]]&lt;1/1/1990,"",IF(Main[[#This Row],[Class]]="C",WORKDAY(Main[[#This Row],[Tech Start Date]],23),IF(Main[[#This Row],[Class]]="B", WORKDAY(Main[[#This Row],[Tech Start Date]],15),IF(Main[[#This Row],[Class]]="A",WORKDAY(Main[[#This Row],[Tech Start Date]],5),""))))</f>
        <v/>
      </c>
      <c r="P857" s="69" t="str">
        <f>IF(Main[[#This Row],[Tech Start Date]]&lt;1/1/1990,"",IF(Main[[#This Row],[Class]]="C",WORKDAY(Main[[#This Row],[Tech Start Date]],28),IF(Main[[#This Row],[Class]]="B", WORKDAY(Main[[#This Row],[Tech Start Date]],19),IF(Main[[#This Row],[Class]]="A",WORKDAY(Main[[#This Row],[Tech Start Date]],9),""))))</f>
        <v/>
      </c>
      <c r="Q857" s="67">
        <v>40318</v>
      </c>
      <c r="R857" s="67"/>
      <c r="S857" s="65" t="s">
        <v>11</v>
      </c>
      <c r="T857" s="70" t="s">
        <v>4</v>
      </c>
      <c r="U857" s="65" t="s">
        <v>14</v>
      </c>
      <c r="V857" s="65" t="s">
        <v>1917</v>
      </c>
      <c r="W857" s="65" t="s">
        <v>1916</v>
      </c>
      <c r="X857" s="65" t="s">
        <v>2830</v>
      </c>
      <c r="Y857" s="65" t="s">
        <v>4</v>
      </c>
      <c r="Z857" s="65" t="s">
        <v>4</v>
      </c>
      <c r="AA857" s="65" t="s">
        <v>2830</v>
      </c>
    </row>
    <row r="858" spans="1:27" ht="17.45" hidden="1" customHeight="1">
      <c r="A858" s="100" t="str">
        <f>IF(priority(Main[[#This Row],[Comments]])&lt;&gt;0, priority(Main[[#This Row],[Comments]]),"")</f>
        <v/>
      </c>
      <c r="B858" s="77" t="s">
        <v>1763</v>
      </c>
      <c r="C858" s="65" t="s">
        <v>4</v>
      </c>
      <c r="D858" s="66" t="s">
        <v>120</v>
      </c>
      <c r="E858" s="67"/>
      <c r="F858" s="67"/>
      <c r="G858" s="64" t="str">
        <f>IF(stdProdLT(Main[[#This Row],[Comments]])=0.1,"N/A",IF(stdProdLT(Main[[#This Row],[Comments]])=0,"",stdProdLT(Main[[#This Row],[Comments]])))</f>
        <v/>
      </c>
      <c r="H858" s="68" t="str">
        <f>IF(AND(Main[[#This Row],[In Stock Date]]&lt;&gt;"",Main[[#This Row],[Revised Due Date]]&lt;&gt;""),Main[[#This Row],[In Stock Date]]-Main[[#This Row],[Revised Due Date]],"")</f>
        <v/>
      </c>
      <c r="I858" s="65" t="s">
        <v>4</v>
      </c>
      <c r="J858" s="65" t="s">
        <v>4</v>
      </c>
      <c r="K858" s="65" t="s">
        <v>4</v>
      </c>
      <c r="L858" s="67"/>
      <c r="M858" s="69" t="str">
        <f>IF(Main[[#This Row],[Tech Start Date]]&lt;1/1/1990,"",IF(Main[[#This Row],[Class]]="C",WORKDAY(Main[[#This Row],[Tech Start Date]],9),IF(Main[[#This Row],[Class]]="B", WORKDAY(Main[[#This Row],[Tech Start Date]],6),IF(Main[[#This Row],[Class]]="A",WORKDAY(Main[[#This Row],[Tech Start Date]],2),""))))</f>
        <v/>
      </c>
      <c r="N858" s="69" t="str">
        <f>IF(Main[[#This Row],[Tech Start Date]]&lt;1/1/1990,"",IF(Main[[#This Row],[Class]]="C",WORKDAY(Main[[#This Row],[Tech Start Date]],19),IF(Main[[#This Row],[Class]]="B", WORKDAY(Main[[#This Row],[Tech Start Date]],12),IF(Main[[#This Row],[Class]]="A",WORKDAY(Main[[#This Row],[Tech Start Date]],4),""))))</f>
        <v/>
      </c>
      <c r="O858" s="69" t="str">
        <f>IF(Main[[#This Row],[Tech Start Date]]&lt;1/1/1990,"",IF(Main[[#This Row],[Class]]="C",WORKDAY(Main[[#This Row],[Tech Start Date]],23),IF(Main[[#This Row],[Class]]="B", WORKDAY(Main[[#This Row],[Tech Start Date]],15),IF(Main[[#This Row],[Class]]="A",WORKDAY(Main[[#This Row],[Tech Start Date]],5),""))))</f>
        <v/>
      </c>
      <c r="P858" s="69" t="str">
        <f>IF(Main[[#This Row],[Tech Start Date]]&lt;1/1/1990,"",IF(Main[[#This Row],[Class]]="C",WORKDAY(Main[[#This Row],[Tech Start Date]],28),IF(Main[[#This Row],[Class]]="B", WORKDAY(Main[[#This Row],[Tech Start Date]],19),IF(Main[[#This Row],[Class]]="A",WORKDAY(Main[[#This Row],[Tech Start Date]],9),""))))</f>
        <v/>
      </c>
      <c r="Q858" s="67"/>
      <c r="R858" s="67"/>
      <c r="S858" s="65" t="s">
        <v>11</v>
      </c>
      <c r="T858" s="70" t="s">
        <v>4</v>
      </c>
      <c r="U858" s="65" t="s">
        <v>14</v>
      </c>
      <c r="V858" s="65" t="s">
        <v>1917</v>
      </c>
      <c r="W858" s="65" t="s">
        <v>1928</v>
      </c>
      <c r="X858" s="65" t="s">
        <v>2842</v>
      </c>
      <c r="Y858" s="65" t="s">
        <v>2974</v>
      </c>
      <c r="Z858" s="65" t="s">
        <v>4</v>
      </c>
      <c r="AA858" s="65" t="s">
        <v>2842</v>
      </c>
    </row>
    <row r="859" spans="1:27" ht="17.45" hidden="1" customHeight="1">
      <c r="A859" s="100" t="str">
        <f>IF(priority(Main[[#This Row],[Comments]])&lt;&gt;0, priority(Main[[#This Row],[Comments]]),"")</f>
        <v/>
      </c>
      <c r="B859" s="77" t="s">
        <v>1764</v>
      </c>
      <c r="C859" s="65" t="s">
        <v>4</v>
      </c>
      <c r="D859" s="66" t="s">
        <v>810</v>
      </c>
      <c r="E859" s="67">
        <v>40687.166759259257</v>
      </c>
      <c r="F859" s="67"/>
      <c r="G859" s="64" t="str">
        <f>IF(stdProdLT(Main[[#This Row],[Comments]])=0.1,"N/A",IF(stdProdLT(Main[[#This Row],[Comments]])=0,"",stdProdLT(Main[[#This Row],[Comments]])))</f>
        <v/>
      </c>
      <c r="H859" s="68" t="str">
        <f>IF(AND(Main[[#This Row],[In Stock Date]]&lt;&gt;"",Main[[#This Row],[Revised Due Date]]&lt;&gt;""),Main[[#This Row],[In Stock Date]]-Main[[#This Row],[Revised Due Date]],"")</f>
        <v/>
      </c>
      <c r="I859" s="65" t="s">
        <v>4</v>
      </c>
      <c r="J859" s="65" t="s">
        <v>4</v>
      </c>
      <c r="K859" s="65" t="s">
        <v>4</v>
      </c>
      <c r="L859" s="67"/>
      <c r="M859" s="69" t="str">
        <f>IF(Main[[#This Row],[Tech Start Date]]&lt;1/1/1990,"",IF(Main[[#This Row],[Class]]="C",WORKDAY(Main[[#This Row],[Tech Start Date]],9),IF(Main[[#This Row],[Class]]="B", WORKDAY(Main[[#This Row],[Tech Start Date]],6),IF(Main[[#This Row],[Class]]="A",WORKDAY(Main[[#This Row],[Tech Start Date]],2),""))))</f>
        <v/>
      </c>
      <c r="N859" s="69" t="str">
        <f>IF(Main[[#This Row],[Tech Start Date]]&lt;1/1/1990,"",IF(Main[[#This Row],[Class]]="C",WORKDAY(Main[[#This Row],[Tech Start Date]],19),IF(Main[[#This Row],[Class]]="B", WORKDAY(Main[[#This Row],[Tech Start Date]],12),IF(Main[[#This Row],[Class]]="A",WORKDAY(Main[[#This Row],[Tech Start Date]],4),""))))</f>
        <v/>
      </c>
      <c r="O859" s="69" t="str">
        <f>IF(Main[[#This Row],[Tech Start Date]]&lt;1/1/1990,"",IF(Main[[#This Row],[Class]]="C",WORKDAY(Main[[#This Row],[Tech Start Date]],23),IF(Main[[#This Row],[Class]]="B", WORKDAY(Main[[#This Row],[Tech Start Date]],15),IF(Main[[#This Row],[Class]]="A",WORKDAY(Main[[#This Row],[Tech Start Date]],5),""))))</f>
        <v/>
      </c>
      <c r="P859" s="69" t="str">
        <f>IF(Main[[#This Row],[Tech Start Date]]&lt;1/1/1990,"",IF(Main[[#This Row],[Class]]="C",WORKDAY(Main[[#This Row],[Tech Start Date]],28),IF(Main[[#This Row],[Class]]="B", WORKDAY(Main[[#This Row],[Tech Start Date]],19),IF(Main[[#This Row],[Class]]="A",WORKDAY(Main[[#This Row],[Tech Start Date]],9),""))))</f>
        <v/>
      </c>
      <c r="Q859" s="67">
        <v>40724</v>
      </c>
      <c r="R859" s="67"/>
      <c r="S859" s="65" t="s">
        <v>6</v>
      </c>
      <c r="T859" s="70" t="s">
        <v>4</v>
      </c>
      <c r="U859" s="65" t="s">
        <v>7</v>
      </c>
      <c r="V859" s="65" t="s">
        <v>1914</v>
      </c>
      <c r="W859" s="65" t="s">
        <v>4</v>
      </c>
      <c r="X859" s="65" t="s">
        <v>2822</v>
      </c>
      <c r="Y859" s="65" t="s">
        <v>2938</v>
      </c>
      <c r="Z859" s="65" t="s">
        <v>4</v>
      </c>
      <c r="AA859" s="65" t="s">
        <v>2822</v>
      </c>
    </row>
    <row r="860" spans="1:27" ht="17.45" hidden="1" customHeight="1">
      <c r="A860" s="100" t="str">
        <f>IF(priority(Main[[#This Row],[Comments]])&lt;&gt;0, priority(Main[[#This Row],[Comments]]),"")</f>
        <v/>
      </c>
      <c r="B860" s="77" t="s">
        <v>1766</v>
      </c>
      <c r="C860" s="65" t="s">
        <v>4</v>
      </c>
      <c r="D860" s="66" t="s">
        <v>811</v>
      </c>
      <c r="E860" s="67"/>
      <c r="F860" s="67">
        <v>40598</v>
      </c>
      <c r="G860" s="64" t="str">
        <f>IF(stdProdLT(Main[[#This Row],[Comments]])=0.1,"N/A",IF(stdProdLT(Main[[#This Row],[Comments]])=0,"",stdProdLT(Main[[#This Row],[Comments]])))</f>
        <v/>
      </c>
      <c r="H860" s="68" t="str">
        <f>IF(AND(Main[[#This Row],[In Stock Date]]&lt;&gt;"",Main[[#This Row],[Revised Due Date]]&lt;&gt;""),Main[[#This Row],[In Stock Date]]-Main[[#This Row],[Revised Due Date]],"")</f>
        <v/>
      </c>
      <c r="I860" s="65" t="s">
        <v>4</v>
      </c>
      <c r="J860" s="65" t="s">
        <v>4</v>
      </c>
      <c r="K860" s="65" t="s">
        <v>4</v>
      </c>
      <c r="L860" s="67"/>
      <c r="M860" s="69" t="str">
        <f>IF(Main[[#This Row],[Tech Start Date]]&lt;1/1/1990,"",IF(Main[[#This Row],[Class]]="C",WORKDAY(Main[[#This Row],[Tech Start Date]],9),IF(Main[[#This Row],[Class]]="B", WORKDAY(Main[[#This Row],[Tech Start Date]],6),IF(Main[[#This Row],[Class]]="A",WORKDAY(Main[[#This Row],[Tech Start Date]],2),""))))</f>
        <v/>
      </c>
      <c r="N860" s="69" t="str">
        <f>IF(Main[[#This Row],[Tech Start Date]]&lt;1/1/1990,"",IF(Main[[#This Row],[Class]]="C",WORKDAY(Main[[#This Row],[Tech Start Date]],19),IF(Main[[#This Row],[Class]]="B", WORKDAY(Main[[#This Row],[Tech Start Date]],12),IF(Main[[#This Row],[Class]]="A",WORKDAY(Main[[#This Row],[Tech Start Date]],4),""))))</f>
        <v/>
      </c>
      <c r="O860" s="69" t="str">
        <f>IF(Main[[#This Row],[Tech Start Date]]&lt;1/1/1990,"",IF(Main[[#This Row],[Class]]="C",WORKDAY(Main[[#This Row],[Tech Start Date]],23),IF(Main[[#This Row],[Class]]="B", WORKDAY(Main[[#This Row],[Tech Start Date]],15),IF(Main[[#This Row],[Class]]="A",WORKDAY(Main[[#This Row],[Tech Start Date]],5),""))))</f>
        <v/>
      </c>
      <c r="P860" s="69" t="str">
        <f>IF(Main[[#This Row],[Tech Start Date]]&lt;1/1/1990,"",IF(Main[[#This Row],[Class]]="C",WORKDAY(Main[[#This Row],[Tech Start Date]],28),IF(Main[[#This Row],[Class]]="B", WORKDAY(Main[[#This Row],[Tech Start Date]],19),IF(Main[[#This Row],[Class]]="A",WORKDAY(Main[[#This Row],[Tech Start Date]],9),""))))</f>
        <v/>
      </c>
      <c r="Q860" s="67">
        <v>40598</v>
      </c>
      <c r="R860" s="67"/>
      <c r="S860" s="65" t="s">
        <v>11</v>
      </c>
      <c r="T860" s="70" t="s">
        <v>4</v>
      </c>
      <c r="U860" s="65" t="s">
        <v>14</v>
      </c>
      <c r="V860" s="65" t="s">
        <v>1924</v>
      </c>
      <c r="W860" s="65" t="s">
        <v>1920</v>
      </c>
      <c r="X860" s="65" t="s">
        <v>2848</v>
      </c>
      <c r="Y860" s="65" t="s">
        <v>2979</v>
      </c>
      <c r="Z860" s="65" t="s">
        <v>4</v>
      </c>
      <c r="AA860" s="65" t="s">
        <v>2848</v>
      </c>
    </row>
    <row r="861" spans="1:27" ht="17.45" hidden="1" customHeight="1">
      <c r="A861" s="100" t="str">
        <f>IF(priority(Main[[#This Row],[Comments]])&lt;&gt;0, priority(Main[[#This Row],[Comments]]),"")</f>
        <v/>
      </c>
      <c r="B861" s="77" t="s">
        <v>3620</v>
      </c>
      <c r="C861" s="65" t="s">
        <v>2354</v>
      </c>
      <c r="D861" s="66" t="s">
        <v>3621</v>
      </c>
      <c r="E861" s="67">
        <v>40966.113043981481</v>
      </c>
      <c r="F861" s="67">
        <v>41014</v>
      </c>
      <c r="G861" s="64" t="str">
        <f>IF(stdProdLT(Main[[#This Row],[Comments]])=0.1,"N/A",IF(stdProdLT(Main[[#This Row],[Comments]])=0,"",stdProdLT(Main[[#This Row],[Comments]])))</f>
        <v/>
      </c>
      <c r="H861" s="68" t="str">
        <f>IF(AND(Main[[#This Row],[In Stock Date]]&lt;&gt;"",Main[[#This Row],[Revised Due Date]]&lt;&gt;""),Main[[#This Row],[In Stock Date]]-Main[[#This Row],[Revised Due Date]],"")</f>
        <v/>
      </c>
      <c r="I861" s="65" t="s">
        <v>4</v>
      </c>
      <c r="J861" s="65" t="s">
        <v>4</v>
      </c>
      <c r="K861" s="65" t="s">
        <v>4</v>
      </c>
      <c r="L861" s="67"/>
      <c r="M861" s="69" t="str">
        <f>IF(Main[[#This Row],[Tech Start Date]]&lt;1/1/1990,"",IF(Main[[#This Row],[Class]]="C",WORKDAY(Main[[#This Row],[Tech Start Date]],9),IF(Main[[#This Row],[Class]]="B", WORKDAY(Main[[#This Row],[Tech Start Date]],6),IF(Main[[#This Row],[Class]]="A",WORKDAY(Main[[#This Row],[Tech Start Date]],2),""))))</f>
        <v/>
      </c>
      <c r="N861" s="69" t="str">
        <f>IF(Main[[#This Row],[Tech Start Date]]&lt;1/1/1990,"",IF(Main[[#This Row],[Class]]="C",WORKDAY(Main[[#This Row],[Tech Start Date]],19),IF(Main[[#This Row],[Class]]="B", WORKDAY(Main[[#This Row],[Tech Start Date]],12),IF(Main[[#This Row],[Class]]="A",WORKDAY(Main[[#This Row],[Tech Start Date]],4),""))))</f>
        <v/>
      </c>
      <c r="O861" s="69" t="str">
        <f>IF(Main[[#This Row],[Tech Start Date]]&lt;1/1/1990,"",IF(Main[[#This Row],[Class]]="C",WORKDAY(Main[[#This Row],[Tech Start Date]],23),IF(Main[[#This Row],[Class]]="B", WORKDAY(Main[[#This Row],[Tech Start Date]],15),IF(Main[[#This Row],[Class]]="A",WORKDAY(Main[[#This Row],[Tech Start Date]],5),""))))</f>
        <v/>
      </c>
      <c r="P861" s="69" t="str">
        <f>IF(Main[[#This Row],[Tech Start Date]]&lt;1/1/1990,"",IF(Main[[#This Row],[Class]]="C",WORKDAY(Main[[#This Row],[Tech Start Date]],28),IF(Main[[#This Row],[Class]]="B", WORKDAY(Main[[#This Row],[Tech Start Date]],19),IF(Main[[#This Row],[Class]]="A",WORKDAY(Main[[#This Row],[Tech Start Date]],9),""))))</f>
        <v/>
      </c>
      <c r="Q861" s="67">
        <v>40916</v>
      </c>
      <c r="R861" s="67"/>
      <c r="S861" s="65" t="s">
        <v>11</v>
      </c>
      <c r="T861" s="70" t="s">
        <v>4</v>
      </c>
      <c r="U861" s="65" t="s">
        <v>694</v>
      </c>
      <c r="V861" s="65" t="s">
        <v>1924</v>
      </c>
      <c r="W861" s="65" t="s">
        <v>1922</v>
      </c>
      <c r="X861" s="65" t="s">
        <v>2843</v>
      </c>
      <c r="Y861" s="65" t="s">
        <v>4</v>
      </c>
      <c r="Z861" s="65" t="s">
        <v>4</v>
      </c>
      <c r="AA861" s="65" t="s">
        <v>2843</v>
      </c>
    </row>
    <row r="862" spans="1:27" ht="17.45" hidden="1" customHeight="1">
      <c r="A862" s="100" t="str">
        <f>IF(priority(Main[[#This Row],[Comments]])&lt;&gt;0, priority(Main[[#This Row],[Comments]]),"")</f>
        <v/>
      </c>
      <c r="B862" s="77" t="s">
        <v>1772</v>
      </c>
      <c r="C862" s="65" t="s">
        <v>4</v>
      </c>
      <c r="D862" s="66" t="s">
        <v>2120</v>
      </c>
      <c r="E862" s="67"/>
      <c r="F862" s="67"/>
      <c r="G862" s="64" t="str">
        <f>IF(stdProdLT(Main[[#This Row],[Comments]])=0.1,"N/A",IF(stdProdLT(Main[[#This Row],[Comments]])=0,"",stdProdLT(Main[[#This Row],[Comments]])))</f>
        <v/>
      </c>
      <c r="H862" s="68" t="str">
        <f>IF(AND(Main[[#This Row],[In Stock Date]]&lt;&gt;"",Main[[#This Row],[Revised Due Date]]&lt;&gt;""),Main[[#This Row],[In Stock Date]]-Main[[#This Row],[Revised Due Date]],"")</f>
        <v/>
      </c>
      <c r="I862" s="65" t="s">
        <v>429</v>
      </c>
      <c r="J862" s="65" t="s">
        <v>70</v>
      </c>
      <c r="K862" s="71" t="s">
        <v>1923</v>
      </c>
      <c r="L862" s="67"/>
      <c r="M862" s="69" t="str">
        <f>IF(Main[[#This Row],[Tech Start Date]]&lt;1/1/1990,"",IF(Main[[#This Row],[Class]]="C",WORKDAY(Main[[#This Row],[Tech Start Date]],9),IF(Main[[#This Row],[Class]]="B", WORKDAY(Main[[#This Row],[Tech Start Date]],6),IF(Main[[#This Row],[Class]]="A",WORKDAY(Main[[#This Row],[Tech Start Date]],2),""))))</f>
        <v/>
      </c>
      <c r="N862" s="69" t="str">
        <f>IF(Main[[#This Row],[Tech Start Date]]&lt;1/1/1990,"",IF(Main[[#This Row],[Class]]="C",WORKDAY(Main[[#This Row],[Tech Start Date]],19),IF(Main[[#This Row],[Class]]="B", WORKDAY(Main[[#This Row],[Tech Start Date]],12),IF(Main[[#This Row],[Class]]="A",WORKDAY(Main[[#This Row],[Tech Start Date]],4),""))))</f>
        <v/>
      </c>
      <c r="O862" s="69" t="str">
        <f>IF(Main[[#This Row],[Tech Start Date]]&lt;1/1/1990,"",IF(Main[[#This Row],[Class]]="C",WORKDAY(Main[[#This Row],[Tech Start Date]],23),IF(Main[[#This Row],[Class]]="B", WORKDAY(Main[[#This Row],[Tech Start Date]],15),IF(Main[[#This Row],[Class]]="A",WORKDAY(Main[[#This Row],[Tech Start Date]],5),""))))</f>
        <v/>
      </c>
      <c r="P862" s="69" t="str">
        <f>IF(Main[[#This Row],[Tech Start Date]]&lt;1/1/1990,"",IF(Main[[#This Row],[Class]]="C",WORKDAY(Main[[#This Row],[Tech Start Date]],28),IF(Main[[#This Row],[Class]]="B", WORKDAY(Main[[#This Row],[Tech Start Date]],19),IF(Main[[#This Row],[Class]]="A",WORKDAY(Main[[#This Row],[Tech Start Date]],9),""))))</f>
        <v/>
      </c>
      <c r="Q862" s="67">
        <v>40714</v>
      </c>
      <c r="R862" s="67"/>
      <c r="S862" s="65" t="s">
        <v>6</v>
      </c>
      <c r="T862" s="70" t="s">
        <v>4</v>
      </c>
      <c r="U862" s="65" t="s">
        <v>14</v>
      </c>
      <c r="V862" s="65" t="s">
        <v>1917</v>
      </c>
      <c r="W862" s="65" t="s">
        <v>1918</v>
      </c>
      <c r="X862" s="65" t="s">
        <v>2903</v>
      </c>
      <c r="Y862" s="65" t="s">
        <v>3083</v>
      </c>
      <c r="Z862" s="65" t="s">
        <v>30</v>
      </c>
      <c r="AA862" s="65" t="s">
        <v>2903</v>
      </c>
    </row>
    <row r="863" spans="1:27" ht="17.45" hidden="1" customHeight="1">
      <c r="A863" s="100" t="str">
        <f>IF(priority(Main[[#This Row],[Comments]])&lt;&gt;0, priority(Main[[#This Row],[Comments]]),"")</f>
        <v/>
      </c>
      <c r="B863" s="77" t="s">
        <v>1773</v>
      </c>
      <c r="C863" s="65" t="s">
        <v>4</v>
      </c>
      <c r="D863" s="66" t="s">
        <v>817</v>
      </c>
      <c r="E863" s="67"/>
      <c r="F863" s="67"/>
      <c r="G863" s="64" t="str">
        <f>IF(stdProdLT(Main[[#This Row],[Comments]])=0.1,"N/A",IF(stdProdLT(Main[[#This Row],[Comments]])=0,"",stdProdLT(Main[[#This Row],[Comments]])))</f>
        <v/>
      </c>
      <c r="H863" s="68" t="str">
        <f>IF(AND(Main[[#This Row],[In Stock Date]]&lt;&gt;"",Main[[#This Row],[Revised Due Date]]&lt;&gt;""),Main[[#This Row],[In Stock Date]]-Main[[#This Row],[Revised Due Date]],"")</f>
        <v/>
      </c>
      <c r="I863" s="65" t="s">
        <v>4</v>
      </c>
      <c r="J863" s="65" t="s">
        <v>4</v>
      </c>
      <c r="K863" s="71" t="s">
        <v>4</v>
      </c>
      <c r="L863" s="67"/>
      <c r="M863" s="69" t="str">
        <f>IF(Main[[#This Row],[Tech Start Date]]&lt;1/1/1990,"",IF(Main[[#This Row],[Class]]="C",WORKDAY(Main[[#This Row],[Tech Start Date]],9),IF(Main[[#This Row],[Class]]="B", WORKDAY(Main[[#This Row],[Tech Start Date]],6),IF(Main[[#This Row],[Class]]="A",WORKDAY(Main[[#This Row],[Tech Start Date]],2),""))))</f>
        <v/>
      </c>
      <c r="N863" s="69" t="str">
        <f>IF(Main[[#This Row],[Tech Start Date]]&lt;1/1/1990,"",IF(Main[[#This Row],[Class]]="C",WORKDAY(Main[[#This Row],[Tech Start Date]],19),IF(Main[[#This Row],[Class]]="B", WORKDAY(Main[[#This Row],[Tech Start Date]],12),IF(Main[[#This Row],[Class]]="A",WORKDAY(Main[[#This Row],[Tech Start Date]],4),""))))</f>
        <v/>
      </c>
      <c r="O863" s="69" t="str">
        <f>IF(Main[[#This Row],[Tech Start Date]]&lt;1/1/1990,"",IF(Main[[#This Row],[Class]]="C",WORKDAY(Main[[#This Row],[Tech Start Date]],23),IF(Main[[#This Row],[Class]]="B", WORKDAY(Main[[#This Row],[Tech Start Date]],15),IF(Main[[#This Row],[Class]]="A",WORKDAY(Main[[#This Row],[Tech Start Date]],5),""))))</f>
        <v/>
      </c>
      <c r="P863" s="69" t="str">
        <f>IF(Main[[#This Row],[Tech Start Date]]&lt;1/1/1990,"",IF(Main[[#This Row],[Class]]="C",WORKDAY(Main[[#This Row],[Tech Start Date]],28),IF(Main[[#This Row],[Class]]="B", WORKDAY(Main[[#This Row],[Tech Start Date]],19),IF(Main[[#This Row],[Class]]="A",WORKDAY(Main[[#This Row],[Tech Start Date]],9),""))))</f>
        <v/>
      </c>
      <c r="Q863" s="67"/>
      <c r="R863" s="67"/>
      <c r="S863" s="65" t="s">
        <v>6</v>
      </c>
      <c r="T863" s="70" t="s">
        <v>4</v>
      </c>
      <c r="U863" s="65" t="s">
        <v>14</v>
      </c>
      <c r="V863" s="65" t="s">
        <v>1914</v>
      </c>
      <c r="W863" s="65" t="s">
        <v>1918</v>
      </c>
      <c r="X863" s="65" t="s">
        <v>912</v>
      </c>
      <c r="Y863" s="65" t="s">
        <v>3057</v>
      </c>
      <c r="Z863" s="65" t="s">
        <v>4</v>
      </c>
      <c r="AA863" s="65" t="s">
        <v>912</v>
      </c>
    </row>
    <row r="864" spans="1:27" ht="17.45" hidden="1" customHeight="1">
      <c r="A864" s="100" t="str">
        <f>IF(priority(Main[[#This Row],[Comments]])&lt;&gt;0, priority(Main[[#This Row],[Comments]]),"")</f>
        <v/>
      </c>
      <c r="B864" s="77" t="s">
        <v>1611</v>
      </c>
      <c r="C864" s="65" t="s">
        <v>4</v>
      </c>
      <c r="D864" s="66" t="s">
        <v>684</v>
      </c>
      <c r="E864" s="67">
        <v>40031.45721064815</v>
      </c>
      <c r="F864" s="67"/>
      <c r="G864" s="64" t="str">
        <f>IF(stdProdLT(Main[[#This Row],[Comments]])=0.1,"N/A",IF(stdProdLT(Main[[#This Row],[Comments]])=0,"",stdProdLT(Main[[#This Row],[Comments]])))</f>
        <v/>
      </c>
      <c r="H864" s="68" t="str">
        <f>IF(AND(Main[[#This Row],[In Stock Date]]&lt;&gt;"",Main[[#This Row],[Revised Due Date]]&lt;&gt;""),Main[[#This Row],[In Stock Date]]-Main[[#This Row],[Revised Due Date]],"")</f>
        <v/>
      </c>
      <c r="I864" s="65" t="s">
        <v>2044</v>
      </c>
      <c r="J864" s="65" t="s">
        <v>21</v>
      </c>
      <c r="K864" s="65" t="s">
        <v>1923</v>
      </c>
      <c r="L864" s="67"/>
      <c r="M864" s="69" t="str">
        <f>IF(Main[[#This Row],[Tech Start Date]]&lt;1/1/1990,"",IF(Main[[#This Row],[Class]]="C",WORKDAY(Main[[#This Row],[Tech Start Date]],9),IF(Main[[#This Row],[Class]]="B", WORKDAY(Main[[#This Row],[Tech Start Date]],6),IF(Main[[#This Row],[Class]]="A",WORKDAY(Main[[#This Row],[Tech Start Date]],2),""))))</f>
        <v/>
      </c>
      <c r="N864" s="69" t="str">
        <f>IF(Main[[#This Row],[Tech Start Date]]&lt;1/1/1990,"",IF(Main[[#This Row],[Class]]="C",WORKDAY(Main[[#This Row],[Tech Start Date]],19),IF(Main[[#This Row],[Class]]="B", WORKDAY(Main[[#This Row],[Tech Start Date]],12),IF(Main[[#This Row],[Class]]="A",WORKDAY(Main[[#This Row],[Tech Start Date]],4),""))))</f>
        <v/>
      </c>
      <c r="O864" s="69" t="str">
        <f>IF(Main[[#This Row],[Tech Start Date]]&lt;1/1/1990,"",IF(Main[[#This Row],[Class]]="C",WORKDAY(Main[[#This Row],[Tech Start Date]],23),IF(Main[[#This Row],[Class]]="B", WORKDAY(Main[[#This Row],[Tech Start Date]],15),IF(Main[[#This Row],[Class]]="A",WORKDAY(Main[[#This Row],[Tech Start Date]],5),""))))</f>
        <v/>
      </c>
      <c r="P864" s="69" t="str">
        <f>IF(Main[[#This Row],[Tech Start Date]]&lt;1/1/1990,"",IF(Main[[#This Row],[Class]]="C",WORKDAY(Main[[#This Row],[Tech Start Date]],28),IF(Main[[#This Row],[Class]]="B", WORKDAY(Main[[#This Row],[Tech Start Date]],19),IF(Main[[#This Row],[Class]]="A",WORKDAY(Main[[#This Row],[Tech Start Date]],9),""))))</f>
        <v/>
      </c>
      <c r="Q864" s="67"/>
      <c r="R864" s="67"/>
      <c r="S864" s="65" t="s">
        <v>6</v>
      </c>
      <c r="T864" s="70" t="s">
        <v>4</v>
      </c>
      <c r="U864" s="65" t="s">
        <v>29</v>
      </c>
      <c r="V864" s="65" t="s">
        <v>1917</v>
      </c>
      <c r="W864" s="65" t="s">
        <v>1918</v>
      </c>
      <c r="X864" s="65" t="s">
        <v>2887</v>
      </c>
      <c r="Y864" s="65" t="s">
        <v>3043</v>
      </c>
      <c r="Z864" s="65" t="s">
        <v>30</v>
      </c>
      <c r="AA864" s="65" t="s">
        <v>2887</v>
      </c>
    </row>
    <row r="865" spans="1:27" ht="17.45" hidden="1" customHeight="1">
      <c r="A865" s="100">
        <f>IF(priority(Main[[#This Row],[Comments]])&lt;&gt;0, priority(Main[[#This Row],[Comments]]),"")</f>
        <v>33</v>
      </c>
      <c r="B865" s="77" t="s">
        <v>1221</v>
      </c>
      <c r="C865" s="65" t="s">
        <v>116</v>
      </c>
      <c r="D865" s="66" t="s">
        <v>324</v>
      </c>
      <c r="E865" s="67"/>
      <c r="F865" s="67"/>
      <c r="G865" s="64" t="str">
        <f>IF(stdProdLT(Main[[#This Row],[Comments]])=0.1,"N/A",IF(stdProdLT(Main[[#This Row],[Comments]])=0,"",stdProdLT(Main[[#This Row],[Comments]])))</f>
        <v/>
      </c>
      <c r="H865" s="68" t="str">
        <f>IF(AND(Main[[#This Row],[In Stock Date]]&lt;&gt;"",Main[[#This Row],[Revised Due Date]]&lt;&gt;""),Main[[#This Row],[In Stock Date]]-Main[[#This Row],[Revised Due Date]],"")</f>
        <v/>
      </c>
      <c r="I865" s="65" t="s">
        <v>4</v>
      </c>
      <c r="J865" s="65" t="s">
        <v>4</v>
      </c>
      <c r="K865" s="65" t="s">
        <v>4</v>
      </c>
      <c r="L865" s="67"/>
      <c r="M865" s="69" t="str">
        <f>IF(Main[[#This Row],[Tech Start Date]]&lt;1/1/1990,"",IF(Main[[#This Row],[Class]]="C",WORKDAY(Main[[#This Row],[Tech Start Date]],9),IF(Main[[#This Row],[Class]]="B", WORKDAY(Main[[#This Row],[Tech Start Date]],6),IF(Main[[#This Row],[Class]]="A",WORKDAY(Main[[#This Row],[Tech Start Date]],2),""))))</f>
        <v/>
      </c>
      <c r="N865" s="69" t="str">
        <f>IF(Main[[#This Row],[Tech Start Date]]&lt;1/1/1990,"",IF(Main[[#This Row],[Class]]="C",WORKDAY(Main[[#This Row],[Tech Start Date]],19),IF(Main[[#This Row],[Class]]="B", WORKDAY(Main[[#This Row],[Tech Start Date]],12),IF(Main[[#This Row],[Class]]="A",WORKDAY(Main[[#This Row],[Tech Start Date]],4),""))))</f>
        <v/>
      </c>
      <c r="O865" s="69" t="str">
        <f>IF(Main[[#This Row],[Tech Start Date]]&lt;1/1/1990,"",IF(Main[[#This Row],[Class]]="C",WORKDAY(Main[[#This Row],[Tech Start Date]],23),IF(Main[[#This Row],[Class]]="B", WORKDAY(Main[[#This Row],[Tech Start Date]],15),IF(Main[[#This Row],[Class]]="A",WORKDAY(Main[[#This Row],[Tech Start Date]],5),""))))</f>
        <v/>
      </c>
      <c r="P865" s="69" t="str">
        <f>IF(Main[[#This Row],[Tech Start Date]]&lt;1/1/1990,"",IF(Main[[#This Row],[Class]]="C",WORKDAY(Main[[#This Row],[Tech Start Date]],28),IF(Main[[#This Row],[Class]]="B", WORKDAY(Main[[#This Row],[Tech Start Date]],19),IF(Main[[#This Row],[Class]]="A",WORKDAY(Main[[#This Row],[Tech Start Date]],9),""))))</f>
        <v/>
      </c>
      <c r="Q865" s="67"/>
      <c r="R865" s="67"/>
      <c r="S865" s="65" t="s">
        <v>11</v>
      </c>
      <c r="T865" s="70" t="s">
        <v>325</v>
      </c>
      <c r="U865" s="65" t="s">
        <v>14</v>
      </c>
      <c r="V865" s="65" t="s">
        <v>1914</v>
      </c>
      <c r="W865" s="65" t="s">
        <v>1919</v>
      </c>
      <c r="X865" s="65" t="s">
        <v>2839</v>
      </c>
      <c r="Y865" s="65" t="s">
        <v>2970</v>
      </c>
      <c r="Z865" s="65" t="s">
        <v>4</v>
      </c>
      <c r="AA865" s="65" t="s">
        <v>2839</v>
      </c>
    </row>
    <row r="866" spans="1:27" ht="17.45" hidden="1" customHeight="1">
      <c r="A866" s="100" t="str">
        <f>IF(priority(Main[[#This Row],[Comments]])&lt;&gt;0, priority(Main[[#This Row],[Comments]]),"")</f>
        <v/>
      </c>
      <c r="B866" s="77" t="s">
        <v>1774</v>
      </c>
      <c r="C866" s="65" t="s">
        <v>818</v>
      </c>
      <c r="D866" s="66" t="s">
        <v>819</v>
      </c>
      <c r="E866" s="67"/>
      <c r="F866" s="67">
        <v>40421</v>
      </c>
      <c r="G866" s="64" t="str">
        <f>IF(stdProdLT(Main[[#This Row],[Comments]])=0.1,"N/A",IF(stdProdLT(Main[[#This Row],[Comments]])=0,"",stdProdLT(Main[[#This Row],[Comments]])))</f>
        <v/>
      </c>
      <c r="H866" s="68" t="str">
        <f>IF(AND(Main[[#This Row],[In Stock Date]]&lt;&gt;"",Main[[#This Row],[Revised Due Date]]&lt;&gt;""),Main[[#This Row],[In Stock Date]]-Main[[#This Row],[Revised Due Date]],"")</f>
        <v/>
      </c>
      <c r="I866" s="65" t="s">
        <v>4</v>
      </c>
      <c r="J866" s="65" t="s">
        <v>4</v>
      </c>
      <c r="K866" s="65" t="s">
        <v>4</v>
      </c>
      <c r="L866" s="67"/>
      <c r="M866" s="69" t="str">
        <f>IF(Main[[#This Row],[Tech Start Date]]&lt;1/1/1990,"",IF(Main[[#This Row],[Class]]="C",WORKDAY(Main[[#This Row],[Tech Start Date]],9),IF(Main[[#This Row],[Class]]="B", WORKDAY(Main[[#This Row],[Tech Start Date]],6),IF(Main[[#This Row],[Class]]="A",WORKDAY(Main[[#This Row],[Tech Start Date]],2),""))))</f>
        <v/>
      </c>
      <c r="N866" s="69" t="str">
        <f>IF(Main[[#This Row],[Tech Start Date]]&lt;1/1/1990,"",IF(Main[[#This Row],[Class]]="C",WORKDAY(Main[[#This Row],[Tech Start Date]],19),IF(Main[[#This Row],[Class]]="B", WORKDAY(Main[[#This Row],[Tech Start Date]],12),IF(Main[[#This Row],[Class]]="A",WORKDAY(Main[[#This Row],[Tech Start Date]],4),""))))</f>
        <v/>
      </c>
      <c r="O866" s="69" t="str">
        <f>IF(Main[[#This Row],[Tech Start Date]]&lt;1/1/1990,"",IF(Main[[#This Row],[Class]]="C",WORKDAY(Main[[#This Row],[Tech Start Date]],23),IF(Main[[#This Row],[Class]]="B", WORKDAY(Main[[#This Row],[Tech Start Date]],15),IF(Main[[#This Row],[Class]]="A",WORKDAY(Main[[#This Row],[Tech Start Date]],5),""))))</f>
        <v/>
      </c>
      <c r="P866" s="69" t="str">
        <f>IF(Main[[#This Row],[Tech Start Date]]&lt;1/1/1990,"",IF(Main[[#This Row],[Class]]="C",WORKDAY(Main[[#This Row],[Tech Start Date]],28),IF(Main[[#This Row],[Class]]="B", WORKDAY(Main[[#This Row],[Tech Start Date]],19),IF(Main[[#This Row],[Class]]="A",WORKDAY(Main[[#This Row],[Tech Start Date]],9),""))))</f>
        <v/>
      </c>
      <c r="Q866" s="67"/>
      <c r="R866" s="67"/>
      <c r="S866" s="65" t="s">
        <v>11</v>
      </c>
      <c r="T866" s="70" t="s">
        <v>4</v>
      </c>
      <c r="U866" s="65" t="s">
        <v>12</v>
      </c>
      <c r="V866" s="65" t="s">
        <v>1924</v>
      </c>
      <c r="W866" s="65" t="s">
        <v>1920</v>
      </c>
      <c r="X866" s="65" t="s">
        <v>2872</v>
      </c>
      <c r="Y866" s="65" t="s">
        <v>2996</v>
      </c>
      <c r="Z866" s="65" t="s">
        <v>4</v>
      </c>
      <c r="AA866" s="65" t="s">
        <v>2872</v>
      </c>
    </row>
    <row r="867" spans="1:27" ht="17.45" hidden="1" customHeight="1">
      <c r="A867" s="100" t="str">
        <f>IF(priority(Main[[#This Row],[Comments]])&lt;&gt;0, priority(Main[[#This Row],[Comments]]),"")</f>
        <v/>
      </c>
      <c r="B867" s="77" t="s">
        <v>1775</v>
      </c>
      <c r="C867" s="65" t="s">
        <v>4</v>
      </c>
      <c r="D867" s="66" t="s">
        <v>820</v>
      </c>
      <c r="E867" s="67"/>
      <c r="F867" s="67"/>
      <c r="G867" s="64" t="str">
        <f>IF(stdProdLT(Main[[#This Row],[Comments]])=0.1,"N/A",IF(stdProdLT(Main[[#This Row],[Comments]])=0,"",stdProdLT(Main[[#This Row],[Comments]])))</f>
        <v/>
      </c>
      <c r="H867" s="68" t="str">
        <f>IF(AND(Main[[#This Row],[In Stock Date]]&lt;&gt;"",Main[[#This Row],[Revised Due Date]]&lt;&gt;""),Main[[#This Row],[In Stock Date]]-Main[[#This Row],[Revised Due Date]],"")</f>
        <v/>
      </c>
      <c r="I867" s="65" t="s">
        <v>417</v>
      </c>
      <c r="J867" s="65" t="s">
        <v>75</v>
      </c>
      <c r="K867" s="65" t="s">
        <v>1921</v>
      </c>
      <c r="L867" s="67"/>
      <c r="M867" s="69" t="str">
        <f>IF(Main[[#This Row],[Tech Start Date]]&lt;1/1/1990,"",IF(Main[[#This Row],[Class]]="C",WORKDAY(Main[[#This Row],[Tech Start Date]],9),IF(Main[[#This Row],[Class]]="B", WORKDAY(Main[[#This Row],[Tech Start Date]],6),IF(Main[[#This Row],[Class]]="A",WORKDAY(Main[[#This Row],[Tech Start Date]],2),""))))</f>
        <v/>
      </c>
      <c r="N867" s="69" t="str">
        <f>IF(Main[[#This Row],[Tech Start Date]]&lt;1/1/1990,"",IF(Main[[#This Row],[Class]]="C",WORKDAY(Main[[#This Row],[Tech Start Date]],19),IF(Main[[#This Row],[Class]]="B", WORKDAY(Main[[#This Row],[Tech Start Date]],12),IF(Main[[#This Row],[Class]]="A",WORKDAY(Main[[#This Row],[Tech Start Date]],4),""))))</f>
        <v/>
      </c>
      <c r="O867" s="69" t="str">
        <f>IF(Main[[#This Row],[Tech Start Date]]&lt;1/1/1990,"",IF(Main[[#This Row],[Class]]="C",WORKDAY(Main[[#This Row],[Tech Start Date]],23),IF(Main[[#This Row],[Class]]="B", WORKDAY(Main[[#This Row],[Tech Start Date]],15),IF(Main[[#This Row],[Class]]="A",WORKDAY(Main[[#This Row],[Tech Start Date]],5),""))))</f>
        <v/>
      </c>
      <c r="P867" s="69" t="str">
        <f>IF(Main[[#This Row],[Tech Start Date]]&lt;1/1/1990,"",IF(Main[[#This Row],[Class]]="C",WORKDAY(Main[[#This Row],[Tech Start Date]],28),IF(Main[[#This Row],[Class]]="B", WORKDAY(Main[[#This Row],[Tech Start Date]],19),IF(Main[[#This Row],[Class]]="A",WORKDAY(Main[[#This Row],[Tech Start Date]],9),""))))</f>
        <v/>
      </c>
      <c r="Q867" s="67">
        <v>40529</v>
      </c>
      <c r="R867" s="67"/>
      <c r="S867" s="65" t="s">
        <v>6</v>
      </c>
      <c r="T867" s="70" t="s">
        <v>4</v>
      </c>
      <c r="U867" s="65" t="s">
        <v>14</v>
      </c>
      <c r="V867" s="65" t="s">
        <v>1917</v>
      </c>
      <c r="W867" s="65" t="s">
        <v>1925</v>
      </c>
      <c r="X867" s="65" t="s">
        <v>883</v>
      </c>
      <c r="Y867" s="65" t="s">
        <v>2963</v>
      </c>
      <c r="Z867" s="65" t="s">
        <v>306</v>
      </c>
      <c r="AA867" s="65" t="s">
        <v>883</v>
      </c>
    </row>
    <row r="868" spans="1:27" ht="17.45" hidden="1" customHeight="1">
      <c r="A868" s="100" t="str">
        <f>IF(priority(Main[[#This Row],[Comments]])&lt;&gt;0, priority(Main[[#This Row],[Comments]]),"")</f>
        <v/>
      </c>
      <c r="B868" s="77" t="s">
        <v>1776</v>
      </c>
      <c r="C868" s="65" t="s">
        <v>4</v>
      </c>
      <c r="D868" s="66" t="s">
        <v>821</v>
      </c>
      <c r="E868" s="67"/>
      <c r="F868" s="67">
        <v>40602</v>
      </c>
      <c r="G868" s="64" t="str">
        <f>IF(stdProdLT(Main[[#This Row],[Comments]])=0.1,"N/A",IF(stdProdLT(Main[[#This Row],[Comments]])=0,"",stdProdLT(Main[[#This Row],[Comments]])))</f>
        <v/>
      </c>
      <c r="H868" s="68" t="str">
        <f>IF(AND(Main[[#This Row],[In Stock Date]]&lt;&gt;"",Main[[#This Row],[Revised Due Date]]&lt;&gt;""),Main[[#This Row],[In Stock Date]]-Main[[#This Row],[Revised Due Date]],"")</f>
        <v/>
      </c>
      <c r="I868" s="65" t="s">
        <v>4</v>
      </c>
      <c r="J868" s="65" t="s">
        <v>28</v>
      </c>
      <c r="K868" s="65" t="s">
        <v>4</v>
      </c>
      <c r="L868" s="67"/>
      <c r="M868" s="69" t="str">
        <f>IF(Main[[#This Row],[Tech Start Date]]&lt;1/1/1990,"",IF(Main[[#This Row],[Class]]="C",WORKDAY(Main[[#This Row],[Tech Start Date]],9),IF(Main[[#This Row],[Class]]="B", WORKDAY(Main[[#This Row],[Tech Start Date]],6),IF(Main[[#This Row],[Class]]="A",WORKDAY(Main[[#This Row],[Tech Start Date]],2),""))))</f>
        <v/>
      </c>
      <c r="N868" s="69" t="str">
        <f>IF(Main[[#This Row],[Tech Start Date]]&lt;1/1/1990,"",IF(Main[[#This Row],[Class]]="C",WORKDAY(Main[[#This Row],[Tech Start Date]],19),IF(Main[[#This Row],[Class]]="B", WORKDAY(Main[[#This Row],[Tech Start Date]],12),IF(Main[[#This Row],[Class]]="A",WORKDAY(Main[[#This Row],[Tech Start Date]],4),""))))</f>
        <v/>
      </c>
      <c r="O868" s="69" t="str">
        <f>IF(Main[[#This Row],[Tech Start Date]]&lt;1/1/1990,"",IF(Main[[#This Row],[Class]]="C",WORKDAY(Main[[#This Row],[Tech Start Date]],23),IF(Main[[#This Row],[Class]]="B", WORKDAY(Main[[#This Row],[Tech Start Date]],15),IF(Main[[#This Row],[Class]]="A",WORKDAY(Main[[#This Row],[Tech Start Date]],5),""))))</f>
        <v/>
      </c>
      <c r="P868" s="69" t="str">
        <f>IF(Main[[#This Row],[Tech Start Date]]&lt;1/1/1990,"",IF(Main[[#This Row],[Class]]="C",WORKDAY(Main[[#This Row],[Tech Start Date]],28),IF(Main[[#This Row],[Class]]="B", WORKDAY(Main[[#This Row],[Tech Start Date]],19),IF(Main[[#This Row],[Class]]="A",WORKDAY(Main[[#This Row],[Tech Start Date]],9),""))))</f>
        <v/>
      </c>
      <c r="Q868" s="67">
        <v>40612</v>
      </c>
      <c r="R868" s="67"/>
      <c r="S868" s="65" t="s">
        <v>6</v>
      </c>
      <c r="T868" s="70" t="s">
        <v>4</v>
      </c>
      <c r="U868" s="65" t="s">
        <v>14</v>
      </c>
      <c r="V868" s="65" t="s">
        <v>1924</v>
      </c>
      <c r="W868" s="65" t="s">
        <v>1918</v>
      </c>
      <c r="X868" s="65" t="s">
        <v>50</v>
      </c>
      <c r="Y868" s="65" t="s">
        <v>3108</v>
      </c>
      <c r="Z868" s="65" t="s">
        <v>30</v>
      </c>
      <c r="AA868" s="65" t="s">
        <v>3375</v>
      </c>
    </row>
    <row r="869" spans="1:27" ht="17.45" hidden="1" customHeight="1">
      <c r="A869" s="100" t="str">
        <f>IF(priority(Main[[#This Row],[Comments]])&lt;&gt;0, priority(Main[[#This Row],[Comments]]),"")</f>
        <v/>
      </c>
      <c r="B869" s="77" t="s">
        <v>2442</v>
      </c>
      <c r="C869" s="65" t="s">
        <v>4</v>
      </c>
      <c r="D869" s="66" t="s">
        <v>3218</v>
      </c>
      <c r="E869" s="67">
        <v>40820.793587962966</v>
      </c>
      <c r="F869" s="67"/>
      <c r="G869" s="64" t="str">
        <f>IF(stdProdLT(Main[[#This Row],[Comments]])=0.1,"N/A",IF(stdProdLT(Main[[#This Row],[Comments]])=0,"",stdProdLT(Main[[#This Row],[Comments]])))</f>
        <v/>
      </c>
      <c r="H869" s="68" t="str">
        <f>IF(AND(Main[[#This Row],[In Stock Date]]&lt;&gt;"",Main[[#This Row],[Revised Due Date]]&lt;&gt;""),Main[[#This Row],[In Stock Date]]-Main[[#This Row],[Revised Due Date]],"")</f>
        <v/>
      </c>
      <c r="I869" s="65" t="s">
        <v>2051</v>
      </c>
      <c r="J869" s="65" t="s">
        <v>28</v>
      </c>
      <c r="K869" s="65" t="s">
        <v>1923</v>
      </c>
      <c r="L869" s="67"/>
      <c r="M869" s="69" t="str">
        <f>IF(Main[[#This Row],[Tech Start Date]]&lt;1/1/1990,"",IF(Main[[#This Row],[Class]]="C",WORKDAY(Main[[#This Row],[Tech Start Date]],9),IF(Main[[#This Row],[Class]]="B", WORKDAY(Main[[#This Row],[Tech Start Date]],6),IF(Main[[#This Row],[Class]]="A",WORKDAY(Main[[#This Row],[Tech Start Date]],2),""))))</f>
        <v/>
      </c>
      <c r="N869" s="69" t="str">
        <f>IF(Main[[#This Row],[Tech Start Date]]&lt;1/1/1990,"",IF(Main[[#This Row],[Class]]="C",WORKDAY(Main[[#This Row],[Tech Start Date]],19),IF(Main[[#This Row],[Class]]="B", WORKDAY(Main[[#This Row],[Tech Start Date]],12),IF(Main[[#This Row],[Class]]="A",WORKDAY(Main[[#This Row],[Tech Start Date]],4),""))))</f>
        <v/>
      </c>
      <c r="O869" s="69" t="str">
        <f>IF(Main[[#This Row],[Tech Start Date]]&lt;1/1/1990,"",IF(Main[[#This Row],[Class]]="C",WORKDAY(Main[[#This Row],[Tech Start Date]],23),IF(Main[[#This Row],[Class]]="B", WORKDAY(Main[[#This Row],[Tech Start Date]],15),IF(Main[[#This Row],[Class]]="A",WORKDAY(Main[[#This Row],[Tech Start Date]],5),""))))</f>
        <v/>
      </c>
      <c r="P869" s="69" t="str">
        <f>IF(Main[[#This Row],[Tech Start Date]]&lt;1/1/1990,"",IF(Main[[#This Row],[Class]]="C",WORKDAY(Main[[#This Row],[Tech Start Date]],28),IF(Main[[#This Row],[Class]]="B", WORKDAY(Main[[#This Row],[Tech Start Date]],19),IF(Main[[#This Row],[Class]]="A",WORKDAY(Main[[#This Row],[Tech Start Date]],9),""))))</f>
        <v/>
      </c>
      <c r="Q869" s="67">
        <v>40847</v>
      </c>
      <c r="R869" s="67"/>
      <c r="S869" s="65" t="s">
        <v>6</v>
      </c>
      <c r="T869" s="70" t="s">
        <v>4</v>
      </c>
      <c r="U869" s="65" t="s">
        <v>29</v>
      </c>
      <c r="V869" s="65" t="s">
        <v>1917</v>
      </c>
      <c r="W869" s="65" t="s">
        <v>1918</v>
      </c>
      <c r="X869" s="65" t="s">
        <v>30</v>
      </c>
      <c r="Y869" s="65" t="s">
        <v>3132</v>
      </c>
      <c r="Z869" s="65" t="s">
        <v>30</v>
      </c>
      <c r="AA869" s="65" t="s">
        <v>3441</v>
      </c>
    </row>
    <row r="870" spans="1:27" ht="17.45" hidden="1" customHeight="1">
      <c r="A870" s="100" t="str">
        <f>IF(priority(Main[[#This Row],[Comments]])&lt;&gt;0, priority(Main[[#This Row],[Comments]]),"")</f>
        <v/>
      </c>
      <c r="B870" s="77" t="s">
        <v>1801</v>
      </c>
      <c r="C870" s="65" t="s">
        <v>351</v>
      </c>
      <c r="D870" s="66" t="s">
        <v>822</v>
      </c>
      <c r="E870" s="67"/>
      <c r="F870" s="67">
        <v>40360</v>
      </c>
      <c r="G870" s="64" t="str">
        <f>IF(stdProdLT(Main[[#This Row],[Comments]])=0.1,"N/A",IF(stdProdLT(Main[[#This Row],[Comments]])=0,"",stdProdLT(Main[[#This Row],[Comments]])))</f>
        <v/>
      </c>
      <c r="H870" s="68" t="str">
        <f>IF(AND(Main[[#This Row],[In Stock Date]]&lt;&gt;"",Main[[#This Row],[Revised Due Date]]&lt;&gt;""),Main[[#This Row],[In Stock Date]]-Main[[#This Row],[Revised Due Date]],"")</f>
        <v/>
      </c>
      <c r="I870" s="65" t="s">
        <v>4</v>
      </c>
      <c r="J870" s="65" t="s">
        <v>4</v>
      </c>
      <c r="K870" s="65" t="s">
        <v>4</v>
      </c>
      <c r="L870" s="67"/>
      <c r="M870" s="69" t="str">
        <f>IF(Main[[#This Row],[Tech Start Date]]&lt;1/1/1990,"",IF(Main[[#This Row],[Class]]="C",WORKDAY(Main[[#This Row],[Tech Start Date]],9),IF(Main[[#This Row],[Class]]="B", WORKDAY(Main[[#This Row],[Tech Start Date]],6),IF(Main[[#This Row],[Class]]="A",WORKDAY(Main[[#This Row],[Tech Start Date]],2),""))))</f>
        <v/>
      </c>
      <c r="N870" s="69" t="str">
        <f>IF(Main[[#This Row],[Tech Start Date]]&lt;1/1/1990,"",IF(Main[[#This Row],[Class]]="C",WORKDAY(Main[[#This Row],[Tech Start Date]],19),IF(Main[[#This Row],[Class]]="B", WORKDAY(Main[[#This Row],[Tech Start Date]],12),IF(Main[[#This Row],[Class]]="A",WORKDAY(Main[[#This Row],[Tech Start Date]],4),""))))</f>
        <v/>
      </c>
      <c r="O870" s="69" t="str">
        <f>IF(Main[[#This Row],[Tech Start Date]]&lt;1/1/1990,"",IF(Main[[#This Row],[Class]]="C",WORKDAY(Main[[#This Row],[Tech Start Date]],23),IF(Main[[#This Row],[Class]]="B", WORKDAY(Main[[#This Row],[Tech Start Date]],15),IF(Main[[#This Row],[Class]]="A",WORKDAY(Main[[#This Row],[Tech Start Date]],5),""))))</f>
        <v/>
      </c>
      <c r="P870" s="69" t="str">
        <f>IF(Main[[#This Row],[Tech Start Date]]&lt;1/1/1990,"",IF(Main[[#This Row],[Class]]="C",WORKDAY(Main[[#This Row],[Tech Start Date]],28),IF(Main[[#This Row],[Class]]="B", WORKDAY(Main[[#This Row],[Tech Start Date]],19),IF(Main[[#This Row],[Class]]="A",WORKDAY(Main[[#This Row],[Tech Start Date]],9),""))))</f>
        <v/>
      </c>
      <c r="Q870" s="67">
        <v>40329</v>
      </c>
      <c r="R870" s="67"/>
      <c r="S870" s="65" t="s">
        <v>11</v>
      </c>
      <c r="T870" s="70" t="s">
        <v>4</v>
      </c>
      <c r="U870" s="65" t="s">
        <v>12</v>
      </c>
      <c r="V870" s="65" t="s">
        <v>1924</v>
      </c>
      <c r="W870" s="65" t="s">
        <v>1920</v>
      </c>
      <c r="X870" s="65" t="s">
        <v>2872</v>
      </c>
      <c r="Y870" s="65" t="s">
        <v>2996</v>
      </c>
      <c r="Z870" s="65" t="s">
        <v>4</v>
      </c>
      <c r="AA870" s="65" t="s">
        <v>2872</v>
      </c>
    </row>
    <row r="871" spans="1:27" ht="17.45" hidden="1" customHeight="1">
      <c r="A871" s="100" t="str">
        <f>IF(priority(Main[[#This Row],[Comments]])&lt;&gt;0, priority(Main[[#This Row],[Comments]]),"")</f>
        <v/>
      </c>
      <c r="B871" s="77" t="s">
        <v>1778</v>
      </c>
      <c r="C871" s="65" t="s">
        <v>4</v>
      </c>
      <c r="D871" s="66" t="s">
        <v>846</v>
      </c>
      <c r="E871" s="67"/>
      <c r="F871" s="67"/>
      <c r="G871" s="64" t="str">
        <f>IF(stdProdLT(Main[[#This Row],[Comments]])=0.1,"N/A",IF(stdProdLT(Main[[#This Row],[Comments]])=0,"",stdProdLT(Main[[#This Row],[Comments]])))</f>
        <v/>
      </c>
      <c r="H871" s="68" t="str">
        <f>IF(AND(Main[[#This Row],[In Stock Date]]&lt;&gt;"",Main[[#This Row],[Revised Due Date]]&lt;&gt;""),Main[[#This Row],[In Stock Date]]-Main[[#This Row],[Revised Due Date]],"")</f>
        <v/>
      </c>
      <c r="I871" s="65" t="s">
        <v>4</v>
      </c>
      <c r="J871" s="65" t="s">
        <v>4</v>
      </c>
      <c r="K871" s="65" t="s">
        <v>4</v>
      </c>
      <c r="L871" s="67"/>
      <c r="M871" s="69" t="str">
        <f>IF(Main[[#This Row],[Tech Start Date]]&lt;1/1/1990,"",IF(Main[[#This Row],[Class]]="C",WORKDAY(Main[[#This Row],[Tech Start Date]],9),IF(Main[[#This Row],[Class]]="B", WORKDAY(Main[[#This Row],[Tech Start Date]],6),IF(Main[[#This Row],[Class]]="A",WORKDAY(Main[[#This Row],[Tech Start Date]],2),""))))</f>
        <v/>
      </c>
      <c r="N871" s="69" t="str">
        <f>IF(Main[[#This Row],[Tech Start Date]]&lt;1/1/1990,"",IF(Main[[#This Row],[Class]]="C",WORKDAY(Main[[#This Row],[Tech Start Date]],19),IF(Main[[#This Row],[Class]]="B", WORKDAY(Main[[#This Row],[Tech Start Date]],12),IF(Main[[#This Row],[Class]]="A",WORKDAY(Main[[#This Row],[Tech Start Date]],4),""))))</f>
        <v/>
      </c>
      <c r="O871" s="69" t="str">
        <f>IF(Main[[#This Row],[Tech Start Date]]&lt;1/1/1990,"",IF(Main[[#This Row],[Class]]="C",WORKDAY(Main[[#This Row],[Tech Start Date]],23),IF(Main[[#This Row],[Class]]="B", WORKDAY(Main[[#This Row],[Tech Start Date]],15),IF(Main[[#This Row],[Class]]="A",WORKDAY(Main[[#This Row],[Tech Start Date]],5),""))))</f>
        <v/>
      </c>
      <c r="P871" s="69" t="str">
        <f>IF(Main[[#This Row],[Tech Start Date]]&lt;1/1/1990,"",IF(Main[[#This Row],[Class]]="C",WORKDAY(Main[[#This Row],[Tech Start Date]],28),IF(Main[[#This Row],[Class]]="B", WORKDAY(Main[[#This Row],[Tech Start Date]],19),IF(Main[[#This Row],[Class]]="A",WORKDAY(Main[[#This Row],[Tech Start Date]],9),""))))</f>
        <v/>
      </c>
      <c r="Q871" s="67"/>
      <c r="R871" s="67"/>
      <c r="S871" s="65" t="s">
        <v>49</v>
      </c>
      <c r="T871" s="70" t="s">
        <v>4</v>
      </c>
      <c r="U871" s="65" t="s">
        <v>14</v>
      </c>
      <c r="V871" s="65" t="s">
        <v>1917</v>
      </c>
      <c r="W871" s="65" t="s">
        <v>1918</v>
      </c>
      <c r="X871" s="65" t="s">
        <v>306</v>
      </c>
      <c r="Y871" s="65" t="s">
        <v>4</v>
      </c>
      <c r="Z871" s="65" t="s">
        <v>4</v>
      </c>
      <c r="AA871" s="65" t="s">
        <v>4</v>
      </c>
    </row>
    <row r="872" spans="1:27" ht="17.45" hidden="1" customHeight="1">
      <c r="A872" s="100" t="str">
        <f>IF(priority(Main[[#This Row],[Comments]])&lt;&gt;0, priority(Main[[#This Row],[Comments]]),"")</f>
        <v/>
      </c>
      <c r="B872" s="77" t="s">
        <v>1779</v>
      </c>
      <c r="C872" s="65" t="s">
        <v>4</v>
      </c>
      <c r="D872" s="66" t="s">
        <v>847</v>
      </c>
      <c r="E872" s="67"/>
      <c r="F872" s="67"/>
      <c r="G872" s="64" t="str">
        <f>IF(stdProdLT(Main[[#This Row],[Comments]])=0.1,"N/A",IF(stdProdLT(Main[[#This Row],[Comments]])=0,"",stdProdLT(Main[[#This Row],[Comments]])))</f>
        <v/>
      </c>
      <c r="H872" s="68" t="str">
        <f>IF(AND(Main[[#This Row],[In Stock Date]]&lt;&gt;"",Main[[#This Row],[Revised Due Date]]&lt;&gt;""),Main[[#This Row],[In Stock Date]]-Main[[#This Row],[Revised Due Date]],"")</f>
        <v/>
      </c>
      <c r="I872" s="65" t="s">
        <v>4</v>
      </c>
      <c r="J872" s="65" t="s">
        <v>4</v>
      </c>
      <c r="K872" s="65" t="s">
        <v>4</v>
      </c>
      <c r="L872" s="67"/>
      <c r="M872" s="69" t="str">
        <f>IF(Main[[#This Row],[Tech Start Date]]&lt;1/1/1990,"",IF(Main[[#This Row],[Class]]="C",WORKDAY(Main[[#This Row],[Tech Start Date]],9),IF(Main[[#This Row],[Class]]="B", WORKDAY(Main[[#This Row],[Tech Start Date]],6),IF(Main[[#This Row],[Class]]="A",WORKDAY(Main[[#This Row],[Tech Start Date]],2),""))))</f>
        <v/>
      </c>
      <c r="N872" s="69" t="str">
        <f>IF(Main[[#This Row],[Tech Start Date]]&lt;1/1/1990,"",IF(Main[[#This Row],[Class]]="C",WORKDAY(Main[[#This Row],[Tech Start Date]],19),IF(Main[[#This Row],[Class]]="B", WORKDAY(Main[[#This Row],[Tech Start Date]],12),IF(Main[[#This Row],[Class]]="A",WORKDAY(Main[[#This Row],[Tech Start Date]],4),""))))</f>
        <v/>
      </c>
      <c r="O872" s="69" t="str">
        <f>IF(Main[[#This Row],[Tech Start Date]]&lt;1/1/1990,"",IF(Main[[#This Row],[Class]]="C",WORKDAY(Main[[#This Row],[Tech Start Date]],23),IF(Main[[#This Row],[Class]]="B", WORKDAY(Main[[#This Row],[Tech Start Date]],15),IF(Main[[#This Row],[Class]]="A",WORKDAY(Main[[#This Row],[Tech Start Date]],5),""))))</f>
        <v/>
      </c>
      <c r="P872" s="69" t="str">
        <f>IF(Main[[#This Row],[Tech Start Date]]&lt;1/1/1990,"",IF(Main[[#This Row],[Class]]="C",WORKDAY(Main[[#This Row],[Tech Start Date]],28),IF(Main[[#This Row],[Class]]="B", WORKDAY(Main[[#This Row],[Tech Start Date]],19),IF(Main[[#This Row],[Class]]="A",WORKDAY(Main[[#This Row],[Tech Start Date]],9),""))))</f>
        <v/>
      </c>
      <c r="Q872" s="67"/>
      <c r="R872" s="67"/>
      <c r="S872" s="65" t="s">
        <v>23</v>
      </c>
      <c r="T872" s="70" t="s">
        <v>4</v>
      </c>
      <c r="U872" s="65" t="s">
        <v>14</v>
      </c>
      <c r="V872" s="65" t="s">
        <v>1917</v>
      </c>
      <c r="W872" s="65" t="s">
        <v>1918</v>
      </c>
      <c r="X872" s="65" t="s">
        <v>399</v>
      </c>
      <c r="Y872" s="65" t="s">
        <v>4</v>
      </c>
      <c r="Z872" s="65" t="s">
        <v>765</v>
      </c>
      <c r="AA872" s="65" t="s">
        <v>3391</v>
      </c>
    </row>
    <row r="873" spans="1:27" ht="17.45" hidden="1" customHeight="1">
      <c r="A873" s="100" t="str">
        <f>IF(priority(Main[[#This Row],[Comments]])&lt;&gt;0, priority(Main[[#This Row],[Comments]]),"")</f>
        <v/>
      </c>
      <c r="B873" s="77" t="s">
        <v>1786</v>
      </c>
      <c r="C873" s="65" t="s">
        <v>830</v>
      </c>
      <c r="D873" s="66" t="s">
        <v>831</v>
      </c>
      <c r="E873" s="67"/>
      <c r="F873" s="67"/>
      <c r="G873" s="64" t="str">
        <f>IF(stdProdLT(Main[[#This Row],[Comments]])=0.1,"N/A",IF(stdProdLT(Main[[#This Row],[Comments]])=0,"",stdProdLT(Main[[#This Row],[Comments]])))</f>
        <v/>
      </c>
      <c r="H873" s="68" t="str">
        <f>IF(AND(Main[[#This Row],[In Stock Date]]&lt;&gt;"",Main[[#This Row],[Revised Due Date]]&lt;&gt;""),Main[[#This Row],[In Stock Date]]-Main[[#This Row],[Revised Due Date]],"")</f>
        <v/>
      </c>
      <c r="I873" s="65" t="s">
        <v>4</v>
      </c>
      <c r="J873" s="65" t="s">
        <v>4</v>
      </c>
      <c r="K873" s="65" t="s">
        <v>4</v>
      </c>
      <c r="L873" s="67"/>
      <c r="M873" s="69" t="str">
        <f>IF(Main[[#This Row],[Tech Start Date]]&lt;1/1/1990,"",IF(Main[[#This Row],[Class]]="C",WORKDAY(Main[[#This Row],[Tech Start Date]],9),IF(Main[[#This Row],[Class]]="B", WORKDAY(Main[[#This Row],[Tech Start Date]],6),IF(Main[[#This Row],[Class]]="A",WORKDAY(Main[[#This Row],[Tech Start Date]],2),""))))</f>
        <v/>
      </c>
      <c r="N873" s="69" t="str">
        <f>IF(Main[[#This Row],[Tech Start Date]]&lt;1/1/1990,"",IF(Main[[#This Row],[Class]]="C",WORKDAY(Main[[#This Row],[Tech Start Date]],19),IF(Main[[#This Row],[Class]]="B", WORKDAY(Main[[#This Row],[Tech Start Date]],12),IF(Main[[#This Row],[Class]]="A",WORKDAY(Main[[#This Row],[Tech Start Date]],4),""))))</f>
        <v/>
      </c>
      <c r="O873" s="69" t="str">
        <f>IF(Main[[#This Row],[Tech Start Date]]&lt;1/1/1990,"",IF(Main[[#This Row],[Class]]="C",WORKDAY(Main[[#This Row],[Tech Start Date]],23),IF(Main[[#This Row],[Class]]="B", WORKDAY(Main[[#This Row],[Tech Start Date]],15),IF(Main[[#This Row],[Class]]="A",WORKDAY(Main[[#This Row],[Tech Start Date]],5),""))))</f>
        <v/>
      </c>
      <c r="P873" s="69" t="str">
        <f>IF(Main[[#This Row],[Tech Start Date]]&lt;1/1/1990,"",IF(Main[[#This Row],[Class]]="C",WORKDAY(Main[[#This Row],[Tech Start Date]],28),IF(Main[[#This Row],[Class]]="B", WORKDAY(Main[[#This Row],[Tech Start Date]],19),IF(Main[[#This Row],[Class]]="A",WORKDAY(Main[[#This Row],[Tech Start Date]],9),""))))</f>
        <v/>
      </c>
      <c r="Q873" s="67"/>
      <c r="R873" s="67"/>
      <c r="S873" s="65" t="s">
        <v>11</v>
      </c>
      <c r="T873" s="70" t="s">
        <v>4</v>
      </c>
      <c r="U873" s="65" t="s">
        <v>14</v>
      </c>
      <c r="V873" s="65" t="s">
        <v>1915</v>
      </c>
      <c r="W873" s="65" t="s">
        <v>1922</v>
      </c>
      <c r="X873" s="65" t="s">
        <v>2847</v>
      </c>
      <c r="Y873" s="65" t="s">
        <v>2978</v>
      </c>
      <c r="Z873" s="65" t="s">
        <v>4</v>
      </c>
      <c r="AA873" s="65" t="s">
        <v>2847</v>
      </c>
    </row>
    <row r="874" spans="1:27" ht="17.45" hidden="1" customHeight="1">
      <c r="A874" s="100" t="str">
        <f>IF(priority(Main[[#This Row],[Comments]])&lt;&gt;0, priority(Main[[#This Row],[Comments]]),"")</f>
        <v/>
      </c>
      <c r="B874" s="77" t="s">
        <v>1787</v>
      </c>
      <c r="C874" s="65" t="s">
        <v>93</v>
      </c>
      <c r="D874" s="66" t="s">
        <v>832</v>
      </c>
      <c r="E874" s="67"/>
      <c r="F874" s="67">
        <v>40299</v>
      </c>
      <c r="G874" s="64" t="str">
        <f>IF(stdProdLT(Main[[#This Row],[Comments]])=0.1,"N/A",IF(stdProdLT(Main[[#This Row],[Comments]])=0,"",stdProdLT(Main[[#This Row],[Comments]])))</f>
        <v/>
      </c>
      <c r="H874" s="68" t="str">
        <f>IF(AND(Main[[#This Row],[In Stock Date]]&lt;&gt;"",Main[[#This Row],[Revised Due Date]]&lt;&gt;""),Main[[#This Row],[In Stock Date]]-Main[[#This Row],[Revised Due Date]],"")</f>
        <v/>
      </c>
      <c r="I874" s="65" t="s">
        <v>4</v>
      </c>
      <c r="J874" s="65" t="s">
        <v>4</v>
      </c>
      <c r="K874" s="71" t="s">
        <v>4</v>
      </c>
      <c r="L874" s="67"/>
      <c r="M874" s="69" t="str">
        <f>IF(Main[[#This Row],[Tech Start Date]]&lt;1/1/1990,"",IF(Main[[#This Row],[Class]]="C",WORKDAY(Main[[#This Row],[Tech Start Date]],9),IF(Main[[#This Row],[Class]]="B", WORKDAY(Main[[#This Row],[Tech Start Date]],6),IF(Main[[#This Row],[Class]]="A",WORKDAY(Main[[#This Row],[Tech Start Date]],2),""))))</f>
        <v/>
      </c>
      <c r="N874" s="69" t="str">
        <f>IF(Main[[#This Row],[Tech Start Date]]&lt;1/1/1990,"",IF(Main[[#This Row],[Class]]="C",WORKDAY(Main[[#This Row],[Tech Start Date]],19),IF(Main[[#This Row],[Class]]="B", WORKDAY(Main[[#This Row],[Tech Start Date]],12),IF(Main[[#This Row],[Class]]="A",WORKDAY(Main[[#This Row],[Tech Start Date]],4),""))))</f>
        <v/>
      </c>
      <c r="O874" s="69" t="str">
        <f>IF(Main[[#This Row],[Tech Start Date]]&lt;1/1/1990,"",IF(Main[[#This Row],[Class]]="C",WORKDAY(Main[[#This Row],[Tech Start Date]],23),IF(Main[[#This Row],[Class]]="B", WORKDAY(Main[[#This Row],[Tech Start Date]],15),IF(Main[[#This Row],[Class]]="A",WORKDAY(Main[[#This Row],[Tech Start Date]],5),""))))</f>
        <v/>
      </c>
      <c r="P874" s="69" t="str">
        <f>IF(Main[[#This Row],[Tech Start Date]]&lt;1/1/1990,"",IF(Main[[#This Row],[Class]]="C",WORKDAY(Main[[#This Row],[Tech Start Date]],28),IF(Main[[#This Row],[Class]]="B", WORKDAY(Main[[#This Row],[Tech Start Date]],19),IF(Main[[#This Row],[Class]]="A",WORKDAY(Main[[#This Row],[Tech Start Date]],9),""))))</f>
        <v/>
      </c>
      <c r="Q874" s="67">
        <v>40171</v>
      </c>
      <c r="R874" s="67"/>
      <c r="S874" s="65" t="s">
        <v>11</v>
      </c>
      <c r="T874" s="70" t="s">
        <v>4</v>
      </c>
      <c r="U874" s="65" t="s">
        <v>14</v>
      </c>
      <c r="V874" s="65" t="s">
        <v>1917</v>
      </c>
      <c r="W874" s="65" t="s">
        <v>1920</v>
      </c>
      <c r="X874" s="65" t="s">
        <v>530</v>
      </c>
      <c r="Y874" s="65" t="s">
        <v>3053</v>
      </c>
      <c r="Z874" s="65" t="s">
        <v>4</v>
      </c>
      <c r="AA874" s="65" t="s">
        <v>3417</v>
      </c>
    </row>
    <row r="875" spans="1:27" ht="17.45" hidden="1" customHeight="1">
      <c r="A875" s="100" t="str">
        <f>IF(priority(Main[[#This Row],[Comments]])&lt;&gt;0, priority(Main[[#This Row],[Comments]]),"")</f>
        <v/>
      </c>
      <c r="B875" s="77" t="s">
        <v>1788</v>
      </c>
      <c r="C875" s="65" t="s">
        <v>4</v>
      </c>
      <c r="D875" s="66" t="s">
        <v>833</v>
      </c>
      <c r="E875" s="67">
        <v>40682.311319444445</v>
      </c>
      <c r="F875" s="67"/>
      <c r="G875" s="64" t="str">
        <f>IF(stdProdLT(Main[[#This Row],[Comments]])=0.1,"N/A",IF(stdProdLT(Main[[#This Row],[Comments]])=0,"",stdProdLT(Main[[#This Row],[Comments]])))</f>
        <v/>
      </c>
      <c r="H875" s="68" t="str">
        <f>IF(AND(Main[[#This Row],[In Stock Date]]&lt;&gt;"",Main[[#This Row],[Revised Due Date]]&lt;&gt;""),Main[[#This Row],[In Stock Date]]-Main[[#This Row],[Revised Due Date]],"")</f>
        <v/>
      </c>
      <c r="I875" s="65" t="s">
        <v>4</v>
      </c>
      <c r="J875" s="65" t="s">
        <v>4</v>
      </c>
      <c r="K875" s="65" t="s">
        <v>4</v>
      </c>
      <c r="L875" s="67"/>
      <c r="M875" s="69" t="str">
        <f>IF(Main[[#This Row],[Tech Start Date]]&lt;1/1/1990,"",IF(Main[[#This Row],[Class]]="C",WORKDAY(Main[[#This Row],[Tech Start Date]],9),IF(Main[[#This Row],[Class]]="B", WORKDAY(Main[[#This Row],[Tech Start Date]],6),IF(Main[[#This Row],[Class]]="A",WORKDAY(Main[[#This Row],[Tech Start Date]],2),""))))</f>
        <v/>
      </c>
      <c r="N875" s="69" t="str">
        <f>IF(Main[[#This Row],[Tech Start Date]]&lt;1/1/1990,"",IF(Main[[#This Row],[Class]]="C",WORKDAY(Main[[#This Row],[Tech Start Date]],19),IF(Main[[#This Row],[Class]]="B", WORKDAY(Main[[#This Row],[Tech Start Date]],12),IF(Main[[#This Row],[Class]]="A",WORKDAY(Main[[#This Row],[Tech Start Date]],4),""))))</f>
        <v/>
      </c>
      <c r="O875" s="69" t="str">
        <f>IF(Main[[#This Row],[Tech Start Date]]&lt;1/1/1990,"",IF(Main[[#This Row],[Class]]="C",WORKDAY(Main[[#This Row],[Tech Start Date]],23),IF(Main[[#This Row],[Class]]="B", WORKDAY(Main[[#This Row],[Tech Start Date]],15),IF(Main[[#This Row],[Class]]="A",WORKDAY(Main[[#This Row],[Tech Start Date]],5),""))))</f>
        <v/>
      </c>
      <c r="P875" s="69" t="str">
        <f>IF(Main[[#This Row],[Tech Start Date]]&lt;1/1/1990,"",IF(Main[[#This Row],[Class]]="C",WORKDAY(Main[[#This Row],[Tech Start Date]],28),IF(Main[[#This Row],[Class]]="B", WORKDAY(Main[[#This Row],[Tech Start Date]],19),IF(Main[[#This Row],[Class]]="A",WORKDAY(Main[[#This Row],[Tech Start Date]],9),""))))</f>
        <v/>
      </c>
      <c r="Q875" s="67">
        <v>40724</v>
      </c>
      <c r="R875" s="67"/>
      <c r="S875" s="65" t="s">
        <v>6</v>
      </c>
      <c r="T875" s="70" t="s">
        <v>4</v>
      </c>
      <c r="U875" s="65" t="s">
        <v>7</v>
      </c>
      <c r="V875" s="65" t="s">
        <v>1914</v>
      </c>
      <c r="W875" s="65" t="s">
        <v>4</v>
      </c>
      <c r="X875" s="65" t="s">
        <v>2822</v>
      </c>
      <c r="Y875" s="65" t="s">
        <v>2938</v>
      </c>
      <c r="Z875" s="65" t="s">
        <v>4</v>
      </c>
      <c r="AA875" s="65" t="s">
        <v>2822</v>
      </c>
    </row>
    <row r="876" spans="1:27" ht="17.45" hidden="1" customHeight="1">
      <c r="A876" s="100" t="str">
        <f>IF(priority(Main[[#This Row],[Comments]])&lt;&gt;0, priority(Main[[#This Row],[Comments]]),"")</f>
        <v/>
      </c>
      <c r="B876" s="77" t="s">
        <v>1789</v>
      </c>
      <c r="C876" s="65" t="s">
        <v>4</v>
      </c>
      <c r="D876" s="66" t="s">
        <v>834</v>
      </c>
      <c r="E876" s="67"/>
      <c r="F876" s="67"/>
      <c r="G876" s="64" t="str">
        <f>IF(stdProdLT(Main[[#This Row],[Comments]])=0.1,"N/A",IF(stdProdLT(Main[[#This Row],[Comments]])=0,"",stdProdLT(Main[[#This Row],[Comments]])))</f>
        <v/>
      </c>
      <c r="H876" s="68" t="str">
        <f>IF(AND(Main[[#This Row],[In Stock Date]]&lt;&gt;"",Main[[#This Row],[Revised Due Date]]&lt;&gt;""),Main[[#This Row],[In Stock Date]]-Main[[#This Row],[Revised Due Date]],"")</f>
        <v/>
      </c>
      <c r="I876" s="65" t="s">
        <v>4</v>
      </c>
      <c r="J876" s="65" t="s">
        <v>4</v>
      </c>
      <c r="K876" s="65" t="s">
        <v>4</v>
      </c>
      <c r="L876" s="67"/>
      <c r="M876" s="69" t="str">
        <f>IF(Main[[#This Row],[Tech Start Date]]&lt;1/1/1990,"",IF(Main[[#This Row],[Class]]="C",WORKDAY(Main[[#This Row],[Tech Start Date]],9),IF(Main[[#This Row],[Class]]="B", WORKDAY(Main[[#This Row],[Tech Start Date]],6),IF(Main[[#This Row],[Class]]="A",WORKDAY(Main[[#This Row],[Tech Start Date]],2),""))))</f>
        <v/>
      </c>
      <c r="N876" s="69" t="str">
        <f>IF(Main[[#This Row],[Tech Start Date]]&lt;1/1/1990,"",IF(Main[[#This Row],[Class]]="C",WORKDAY(Main[[#This Row],[Tech Start Date]],19),IF(Main[[#This Row],[Class]]="B", WORKDAY(Main[[#This Row],[Tech Start Date]],12),IF(Main[[#This Row],[Class]]="A",WORKDAY(Main[[#This Row],[Tech Start Date]],4),""))))</f>
        <v/>
      </c>
      <c r="O876" s="69" t="str">
        <f>IF(Main[[#This Row],[Tech Start Date]]&lt;1/1/1990,"",IF(Main[[#This Row],[Class]]="C",WORKDAY(Main[[#This Row],[Tech Start Date]],23),IF(Main[[#This Row],[Class]]="B", WORKDAY(Main[[#This Row],[Tech Start Date]],15),IF(Main[[#This Row],[Class]]="A",WORKDAY(Main[[#This Row],[Tech Start Date]],5),""))))</f>
        <v/>
      </c>
      <c r="P876" s="69" t="str">
        <f>IF(Main[[#This Row],[Tech Start Date]]&lt;1/1/1990,"",IF(Main[[#This Row],[Class]]="C",WORKDAY(Main[[#This Row],[Tech Start Date]],28),IF(Main[[#This Row],[Class]]="B", WORKDAY(Main[[#This Row],[Tech Start Date]],19),IF(Main[[#This Row],[Class]]="A",WORKDAY(Main[[#This Row],[Tech Start Date]],9),""))))</f>
        <v/>
      </c>
      <c r="Q876" s="67"/>
      <c r="R876" s="67"/>
      <c r="S876" s="65" t="s">
        <v>6</v>
      </c>
      <c r="T876" s="70" t="s">
        <v>4</v>
      </c>
      <c r="U876" s="65" t="s">
        <v>14</v>
      </c>
      <c r="V876" s="65" t="s">
        <v>1917</v>
      </c>
      <c r="W876" s="65" t="s">
        <v>1918</v>
      </c>
      <c r="X876" s="65" t="s">
        <v>50</v>
      </c>
      <c r="Y876" s="65" t="s">
        <v>4</v>
      </c>
      <c r="Z876" s="65" t="s">
        <v>4</v>
      </c>
      <c r="AA876" s="65" t="s">
        <v>4</v>
      </c>
    </row>
    <row r="877" spans="1:27" ht="17.45" hidden="1" customHeight="1">
      <c r="A877" s="100" t="str">
        <f>IF(priority(Main[[#This Row],[Comments]])&lt;&gt;0, priority(Main[[#This Row],[Comments]]),"")</f>
        <v/>
      </c>
      <c r="B877" s="77" t="s">
        <v>1790</v>
      </c>
      <c r="C877" s="65" t="s">
        <v>4</v>
      </c>
      <c r="D877" s="66" t="s">
        <v>835</v>
      </c>
      <c r="E877" s="67">
        <v>40686.396180555559</v>
      </c>
      <c r="F877" s="67"/>
      <c r="G877" s="64" t="str">
        <f>IF(stdProdLT(Main[[#This Row],[Comments]])=0.1,"N/A",IF(stdProdLT(Main[[#This Row],[Comments]])=0,"",stdProdLT(Main[[#This Row],[Comments]])))</f>
        <v/>
      </c>
      <c r="H877" s="68" t="str">
        <f>IF(AND(Main[[#This Row],[In Stock Date]]&lt;&gt;"",Main[[#This Row],[Revised Due Date]]&lt;&gt;""),Main[[#This Row],[In Stock Date]]-Main[[#This Row],[Revised Due Date]],"")</f>
        <v/>
      </c>
      <c r="I877" s="65" t="s">
        <v>4</v>
      </c>
      <c r="J877" s="65" t="s">
        <v>4</v>
      </c>
      <c r="K877" s="65" t="s">
        <v>4</v>
      </c>
      <c r="L877" s="67"/>
      <c r="M877" s="69" t="str">
        <f>IF(Main[[#This Row],[Tech Start Date]]&lt;1/1/1990,"",IF(Main[[#This Row],[Class]]="C",WORKDAY(Main[[#This Row],[Tech Start Date]],9),IF(Main[[#This Row],[Class]]="B", WORKDAY(Main[[#This Row],[Tech Start Date]],6),IF(Main[[#This Row],[Class]]="A",WORKDAY(Main[[#This Row],[Tech Start Date]],2),""))))</f>
        <v/>
      </c>
      <c r="N877" s="69" t="str">
        <f>IF(Main[[#This Row],[Tech Start Date]]&lt;1/1/1990,"",IF(Main[[#This Row],[Class]]="C",WORKDAY(Main[[#This Row],[Tech Start Date]],19),IF(Main[[#This Row],[Class]]="B", WORKDAY(Main[[#This Row],[Tech Start Date]],12),IF(Main[[#This Row],[Class]]="A",WORKDAY(Main[[#This Row],[Tech Start Date]],4),""))))</f>
        <v/>
      </c>
      <c r="O877" s="69" t="str">
        <f>IF(Main[[#This Row],[Tech Start Date]]&lt;1/1/1990,"",IF(Main[[#This Row],[Class]]="C",WORKDAY(Main[[#This Row],[Tech Start Date]],23),IF(Main[[#This Row],[Class]]="B", WORKDAY(Main[[#This Row],[Tech Start Date]],15),IF(Main[[#This Row],[Class]]="A",WORKDAY(Main[[#This Row],[Tech Start Date]],5),""))))</f>
        <v/>
      </c>
      <c r="P877" s="69" t="str">
        <f>IF(Main[[#This Row],[Tech Start Date]]&lt;1/1/1990,"",IF(Main[[#This Row],[Class]]="C",WORKDAY(Main[[#This Row],[Tech Start Date]],28),IF(Main[[#This Row],[Class]]="B", WORKDAY(Main[[#This Row],[Tech Start Date]],19),IF(Main[[#This Row],[Class]]="A",WORKDAY(Main[[#This Row],[Tech Start Date]],9),""))))</f>
        <v/>
      </c>
      <c r="Q877" s="67">
        <v>40704</v>
      </c>
      <c r="R877" s="67"/>
      <c r="S877" s="65" t="s">
        <v>6</v>
      </c>
      <c r="T877" s="70" t="s">
        <v>4</v>
      </c>
      <c r="U877" s="65" t="s">
        <v>7</v>
      </c>
      <c r="V877" s="65" t="s">
        <v>1914</v>
      </c>
      <c r="W877" s="65" t="s">
        <v>1918</v>
      </c>
      <c r="X877" s="65" t="s">
        <v>2866</v>
      </c>
      <c r="Y877" s="65" t="s">
        <v>3000</v>
      </c>
      <c r="Z877" s="65" t="s">
        <v>4</v>
      </c>
      <c r="AA877" s="65" t="s">
        <v>2866</v>
      </c>
    </row>
    <row r="878" spans="1:27" ht="17.45" hidden="1" customHeight="1">
      <c r="A878" s="100" t="str">
        <f>IF(priority(Main[[#This Row],[Comments]])&lt;&gt;0, priority(Main[[#This Row],[Comments]]),"")</f>
        <v/>
      </c>
      <c r="B878" s="77" t="s">
        <v>1152</v>
      </c>
      <c r="C878" s="65" t="s">
        <v>4</v>
      </c>
      <c r="D878" s="66" t="s">
        <v>97</v>
      </c>
      <c r="E878" s="67">
        <v>40667.587465277778</v>
      </c>
      <c r="F878" s="67"/>
      <c r="G878" s="64" t="str">
        <f>IF(stdProdLT(Main[[#This Row],[Comments]])=0.1,"N/A",IF(stdProdLT(Main[[#This Row],[Comments]])=0,"",stdProdLT(Main[[#This Row],[Comments]])))</f>
        <v/>
      </c>
      <c r="H878" s="68" t="str">
        <f>IF(AND(Main[[#This Row],[In Stock Date]]&lt;&gt;"",Main[[#This Row],[Revised Due Date]]&lt;&gt;""),Main[[#This Row],[In Stock Date]]-Main[[#This Row],[Revised Due Date]],"")</f>
        <v/>
      </c>
      <c r="I878" s="65" t="s">
        <v>4</v>
      </c>
      <c r="J878" s="65" t="s">
        <v>4</v>
      </c>
      <c r="K878" s="71" t="s">
        <v>4</v>
      </c>
      <c r="L878" s="67"/>
      <c r="M878" s="69" t="str">
        <f>IF(Main[[#This Row],[Tech Start Date]]&lt;1/1/1990,"",IF(Main[[#This Row],[Class]]="C",WORKDAY(Main[[#This Row],[Tech Start Date]],9),IF(Main[[#This Row],[Class]]="B", WORKDAY(Main[[#This Row],[Tech Start Date]],6),IF(Main[[#This Row],[Class]]="A",WORKDAY(Main[[#This Row],[Tech Start Date]],2),""))))</f>
        <v/>
      </c>
      <c r="N878" s="69" t="str">
        <f>IF(Main[[#This Row],[Tech Start Date]]&lt;1/1/1990,"",IF(Main[[#This Row],[Class]]="C",WORKDAY(Main[[#This Row],[Tech Start Date]],19),IF(Main[[#This Row],[Class]]="B", WORKDAY(Main[[#This Row],[Tech Start Date]],12),IF(Main[[#This Row],[Class]]="A",WORKDAY(Main[[#This Row],[Tech Start Date]],4),""))))</f>
        <v/>
      </c>
      <c r="O878" s="69" t="str">
        <f>IF(Main[[#This Row],[Tech Start Date]]&lt;1/1/1990,"",IF(Main[[#This Row],[Class]]="C",WORKDAY(Main[[#This Row],[Tech Start Date]],23),IF(Main[[#This Row],[Class]]="B", WORKDAY(Main[[#This Row],[Tech Start Date]],15),IF(Main[[#This Row],[Class]]="A",WORKDAY(Main[[#This Row],[Tech Start Date]],5),""))))</f>
        <v/>
      </c>
      <c r="P878" s="69" t="str">
        <f>IF(Main[[#This Row],[Tech Start Date]]&lt;1/1/1990,"",IF(Main[[#This Row],[Class]]="C",WORKDAY(Main[[#This Row],[Tech Start Date]],28),IF(Main[[#This Row],[Class]]="B", WORKDAY(Main[[#This Row],[Tech Start Date]],19),IF(Main[[#This Row],[Class]]="A",WORKDAY(Main[[#This Row],[Tech Start Date]],9),""))))</f>
        <v/>
      </c>
      <c r="Q878" s="67">
        <v>40858</v>
      </c>
      <c r="R878" s="67"/>
      <c r="S878" s="65" t="s">
        <v>17</v>
      </c>
      <c r="T878" s="70" t="s">
        <v>4</v>
      </c>
      <c r="U878" s="65" t="s">
        <v>7</v>
      </c>
      <c r="V878" s="65" t="s">
        <v>1914</v>
      </c>
      <c r="W878" s="65" t="s">
        <v>1919</v>
      </c>
      <c r="X878" s="65" t="s">
        <v>50</v>
      </c>
      <c r="Y878" s="65" t="s">
        <v>2959</v>
      </c>
      <c r="Z878" s="65" t="s">
        <v>4</v>
      </c>
      <c r="AA878" s="65" t="s">
        <v>2828</v>
      </c>
    </row>
    <row r="879" spans="1:27" ht="17.45" hidden="1" customHeight="1">
      <c r="A879" s="100" t="str">
        <f>IF(priority(Main[[#This Row],[Comments]])&lt;&gt;0, priority(Main[[#This Row],[Comments]]),"")</f>
        <v/>
      </c>
      <c r="B879" s="77" t="s">
        <v>1791</v>
      </c>
      <c r="C879" s="65" t="s">
        <v>4</v>
      </c>
      <c r="D879" s="66" t="s">
        <v>97</v>
      </c>
      <c r="E879" s="67"/>
      <c r="F879" s="67"/>
      <c r="G879" s="64" t="str">
        <f>IF(stdProdLT(Main[[#This Row],[Comments]])=0.1,"N/A",IF(stdProdLT(Main[[#This Row],[Comments]])=0,"",stdProdLT(Main[[#This Row],[Comments]])))</f>
        <v/>
      </c>
      <c r="H879" s="68" t="str">
        <f>IF(AND(Main[[#This Row],[In Stock Date]]&lt;&gt;"",Main[[#This Row],[Revised Due Date]]&lt;&gt;""),Main[[#This Row],[In Stock Date]]-Main[[#This Row],[Revised Due Date]],"")</f>
        <v/>
      </c>
      <c r="I879" s="65" t="s">
        <v>4</v>
      </c>
      <c r="J879" s="65" t="s">
        <v>4</v>
      </c>
      <c r="K879" s="65" t="s">
        <v>4</v>
      </c>
      <c r="L879" s="67"/>
      <c r="M879" s="69" t="str">
        <f>IF(Main[[#This Row],[Tech Start Date]]&lt;1/1/1990,"",IF(Main[[#This Row],[Class]]="C",WORKDAY(Main[[#This Row],[Tech Start Date]],9),IF(Main[[#This Row],[Class]]="B", WORKDAY(Main[[#This Row],[Tech Start Date]],6),IF(Main[[#This Row],[Class]]="A",WORKDAY(Main[[#This Row],[Tech Start Date]],2),""))))</f>
        <v/>
      </c>
      <c r="N879" s="69" t="str">
        <f>IF(Main[[#This Row],[Tech Start Date]]&lt;1/1/1990,"",IF(Main[[#This Row],[Class]]="C",WORKDAY(Main[[#This Row],[Tech Start Date]],19),IF(Main[[#This Row],[Class]]="B", WORKDAY(Main[[#This Row],[Tech Start Date]],12),IF(Main[[#This Row],[Class]]="A",WORKDAY(Main[[#This Row],[Tech Start Date]],4),""))))</f>
        <v/>
      </c>
      <c r="O879" s="69" t="str">
        <f>IF(Main[[#This Row],[Tech Start Date]]&lt;1/1/1990,"",IF(Main[[#This Row],[Class]]="C",WORKDAY(Main[[#This Row],[Tech Start Date]],23),IF(Main[[#This Row],[Class]]="B", WORKDAY(Main[[#This Row],[Tech Start Date]],15),IF(Main[[#This Row],[Class]]="A",WORKDAY(Main[[#This Row],[Tech Start Date]],5),""))))</f>
        <v/>
      </c>
      <c r="P879" s="69" t="str">
        <f>IF(Main[[#This Row],[Tech Start Date]]&lt;1/1/1990,"",IF(Main[[#This Row],[Class]]="C",WORKDAY(Main[[#This Row],[Tech Start Date]],28),IF(Main[[#This Row],[Class]]="B", WORKDAY(Main[[#This Row],[Tech Start Date]],19),IF(Main[[#This Row],[Class]]="A",WORKDAY(Main[[#This Row],[Tech Start Date]],9),""))))</f>
        <v/>
      </c>
      <c r="Q879" s="67">
        <v>40858</v>
      </c>
      <c r="R879" s="67"/>
      <c r="S879" s="65" t="s">
        <v>17</v>
      </c>
      <c r="T879" s="70" t="s">
        <v>4</v>
      </c>
      <c r="U879" s="65" t="s">
        <v>14</v>
      </c>
      <c r="V879" s="65" t="s">
        <v>1914</v>
      </c>
      <c r="W879" s="65" t="s">
        <v>1919</v>
      </c>
      <c r="X879" s="65" t="s">
        <v>50</v>
      </c>
      <c r="Y879" s="65" t="s">
        <v>2959</v>
      </c>
      <c r="Z879" s="65" t="s">
        <v>4</v>
      </c>
      <c r="AA879" s="65" t="s">
        <v>2828</v>
      </c>
    </row>
    <row r="880" spans="1:27" ht="17.45" hidden="1" customHeight="1">
      <c r="A880" s="100" t="str">
        <f>IF(priority(Main[[#This Row],[Comments]])&lt;&gt;0, priority(Main[[#This Row],[Comments]]),"")</f>
        <v/>
      </c>
      <c r="B880" s="77" t="s">
        <v>1792</v>
      </c>
      <c r="C880" s="65" t="s">
        <v>4</v>
      </c>
      <c r="D880" s="66" t="s">
        <v>836</v>
      </c>
      <c r="E880" s="67"/>
      <c r="F880" s="67">
        <v>40574</v>
      </c>
      <c r="G880" s="64" t="str">
        <f>IF(stdProdLT(Main[[#This Row],[Comments]])=0.1,"N/A",IF(stdProdLT(Main[[#This Row],[Comments]])=0,"",stdProdLT(Main[[#This Row],[Comments]])))</f>
        <v/>
      </c>
      <c r="H880" s="68" t="str">
        <f>IF(AND(Main[[#This Row],[In Stock Date]]&lt;&gt;"",Main[[#This Row],[Revised Due Date]]&lt;&gt;""),Main[[#This Row],[In Stock Date]]-Main[[#This Row],[Revised Due Date]],"")</f>
        <v/>
      </c>
      <c r="I880" s="65" t="s">
        <v>4</v>
      </c>
      <c r="J880" s="65" t="s">
        <v>4</v>
      </c>
      <c r="K880" s="65" t="s">
        <v>4</v>
      </c>
      <c r="L880" s="67"/>
      <c r="M880" s="69" t="str">
        <f>IF(Main[[#This Row],[Tech Start Date]]&lt;1/1/1990,"",IF(Main[[#This Row],[Class]]="C",WORKDAY(Main[[#This Row],[Tech Start Date]],9),IF(Main[[#This Row],[Class]]="B", WORKDAY(Main[[#This Row],[Tech Start Date]],6),IF(Main[[#This Row],[Class]]="A",WORKDAY(Main[[#This Row],[Tech Start Date]],2),""))))</f>
        <v/>
      </c>
      <c r="N880" s="69" t="str">
        <f>IF(Main[[#This Row],[Tech Start Date]]&lt;1/1/1990,"",IF(Main[[#This Row],[Class]]="C",WORKDAY(Main[[#This Row],[Tech Start Date]],19),IF(Main[[#This Row],[Class]]="B", WORKDAY(Main[[#This Row],[Tech Start Date]],12),IF(Main[[#This Row],[Class]]="A",WORKDAY(Main[[#This Row],[Tech Start Date]],4),""))))</f>
        <v/>
      </c>
      <c r="O880" s="69" t="str">
        <f>IF(Main[[#This Row],[Tech Start Date]]&lt;1/1/1990,"",IF(Main[[#This Row],[Class]]="C",WORKDAY(Main[[#This Row],[Tech Start Date]],23),IF(Main[[#This Row],[Class]]="B", WORKDAY(Main[[#This Row],[Tech Start Date]],15),IF(Main[[#This Row],[Class]]="A",WORKDAY(Main[[#This Row],[Tech Start Date]],5),""))))</f>
        <v/>
      </c>
      <c r="P880" s="69" t="str">
        <f>IF(Main[[#This Row],[Tech Start Date]]&lt;1/1/1990,"",IF(Main[[#This Row],[Class]]="C",WORKDAY(Main[[#This Row],[Tech Start Date]],28),IF(Main[[#This Row],[Class]]="B", WORKDAY(Main[[#This Row],[Tech Start Date]],19),IF(Main[[#This Row],[Class]]="A",WORKDAY(Main[[#This Row],[Tech Start Date]],9),""))))</f>
        <v/>
      </c>
      <c r="Q880" s="67"/>
      <c r="R880" s="67"/>
      <c r="S880" s="65" t="s">
        <v>17</v>
      </c>
      <c r="T880" s="70" t="s">
        <v>4</v>
      </c>
      <c r="U880" s="65" t="s">
        <v>14</v>
      </c>
      <c r="V880" s="65" t="s">
        <v>1917</v>
      </c>
      <c r="W880" s="65" t="s">
        <v>1919</v>
      </c>
      <c r="X880" s="65" t="s">
        <v>50</v>
      </c>
      <c r="Y880" s="65" t="s">
        <v>2985</v>
      </c>
      <c r="Z880" s="65" t="s">
        <v>4</v>
      </c>
      <c r="AA880" s="65" t="s">
        <v>65</v>
      </c>
    </row>
    <row r="881" spans="1:27" ht="17.45" hidden="1" customHeight="1">
      <c r="A881" s="100" t="str">
        <f>IF(priority(Main[[#This Row],[Comments]])&lt;&gt;0, priority(Main[[#This Row],[Comments]]),"")</f>
        <v/>
      </c>
      <c r="B881" s="77" t="s">
        <v>1793</v>
      </c>
      <c r="C881" s="65" t="s">
        <v>93</v>
      </c>
      <c r="D881" s="66" t="s">
        <v>837</v>
      </c>
      <c r="E881" s="67"/>
      <c r="F881" s="67">
        <v>40132</v>
      </c>
      <c r="G881" s="64" t="str">
        <f>IF(stdProdLT(Main[[#This Row],[Comments]])=0.1,"N/A",IF(stdProdLT(Main[[#This Row],[Comments]])=0,"",stdProdLT(Main[[#This Row],[Comments]])))</f>
        <v/>
      </c>
      <c r="H881" s="68" t="str">
        <f>IF(AND(Main[[#This Row],[In Stock Date]]&lt;&gt;"",Main[[#This Row],[Revised Due Date]]&lt;&gt;""),Main[[#This Row],[In Stock Date]]-Main[[#This Row],[Revised Due Date]],"")</f>
        <v/>
      </c>
      <c r="I881" s="65" t="s">
        <v>4</v>
      </c>
      <c r="J881" s="65" t="s">
        <v>4</v>
      </c>
      <c r="K881" s="65" t="s">
        <v>4</v>
      </c>
      <c r="L881" s="67"/>
      <c r="M881" s="69" t="str">
        <f>IF(Main[[#This Row],[Tech Start Date]]&lt;1/1/1990,"",IF(Main[[#This Row],[Class]]="C",WORKDAY(Main[[#This Row],[Tech Start Date]],9),IF(Main[[#This Row],[Class]]="B", WORKDAY(Main[[#This Row],[Tech Start Date]],6),IF(Main[[#This Row],[Class]]="A",WORKDAY(Main[[#This Row],[Tech Start Date]],2),""))))</f>
        <v/>
      </c>
      <c r="N881" s="69" t="str">
        <f>IF(Main[[#This Row],[Tech Start Date]]&lt;1/1/1990,"",IF(Main[[#This Row],[Class]]="C",WORKDAY(Main[[#This Row],[Tech Start Date]],19),IF(Main[[#This Row],[Class]]="B", WORKDAY(Main[[#This Row],[Tech Start Date]],12),IF(Main[[#This Row],[Class]]="A",WORKDAY(Main[[#This Row],[Tech Start Date]],4),""))))</f>
        <v/>
      </c>
      <c r="O881" s="69" t="str">
        <f>IF(Main[[#This Row],[Tech Start Date]]&lt;1/1/1990,"",IF(Main[[#This Row],[Class]]="C",WORKDAY(Main[[#This Row],[Tech Start Date]],23),IF(Main[[#This Row],[Class]]="B", WORKDAY(Main[[#This Row],[Tech Start Date]],15),IF(Main[[#This Row],[Class]]="A",WORKDAY(Main[[#This Row],[Tech Start Date]],5),""))))</f>
        <v/>
      </c>
      <c r="P881" s="69" t="str">
        <f>IF(Main[[#This Row],[Tech Start Date]]&lt;1/1/1990,"",IF(Main[[#This Row],[Class]]="C",WORKDAY(Main[[#This Row],[Tech Start Date]],28),IF(Main[[#This Row],[Class]]="B", WORKDAY(Main[[#This Row],[Tech Start Date]],19),IF(Main[[#This Row],[Class]]="A",WORKDAY(Main[[#This Row],[Tech Start Date]],9),""))))</f>
        <v/>
      </c>
      <c r="Q881" s="67">
        <v>40132</v>
      </c>
      <c r="R881" s="67"/>
      <c r="S881" s="65" t="s">
        <v>11</v>
      </c>
      <c r="T881" s="70" t="s">
        <v>4</v>
      </c>
      <c r="U881" s="65" t="s">
        <v>14</v>
      </c>
      <c r="V881" s="65" t="s">
        <v>1917</v>
      </c>
      <c r="W881" s="65" t="s">
        <v>1925</v>
      </c>
      <c r="X881" s="65" t="s">
        <v>2856</v>
      </c>
      <c r="Y881" s="65" t="s">
        <v>4</v>
      </c>
      <c r="Z881" s="65" t="s">
        <v>4</v>
      </c>
      <c r="AA881" s="65" t="s">
        <v>2856</v>
      </c>
    </row>
    <row r="882" spans="1:27" ht="17.45" hidden="1" customHeight="1">
      <c r="A882" s="100" t="str">
        <f>IF(priority(Main[[#This Row],[Comments]])&lt;&gt;0, priority(Main[[#This Row],[Comments]]),"")</f>
        <v/>
      </c>
      <c r="B882" s="77" t="s">
        <v>1794</v>
      </c>
      <c r="C882" s="65" t="s">
        <v>113</v>
      </c>
      <c r="D882" s="66" t="s">
        <v>838</v>
      </c>
      <c r="E882" s="67"/>
      <c r="F882" s="67"/>
      <c r="G882" s="64" t="str">
        <f>IF(stdProdLT(Main[[#This Row],[Comments]])=0.1,"N/A",IF(stdProdLT(Main[[#This Row],[Comments]])=0,"",stdProdLT(Main[[#This Row],[Comments]])))</f>
        <v/>
      </c>
      <c r="H882" s="68" t="str">
        <f>IF(AND(Main[[#This Row],[In Stock Date]]&lt;&gt;"",Main[[#This Row],[Revised Due Date]]&lt;&gt;""),Main[[#This Row],[In Stock Date]]-Main[[#This Row],[Revised Due Date]],"")</f>
        <v/>
      </c>
      <c r="I882" s="65" t="s">
        <v>4</v>
      </c>
      <c r="J882" s="65" t="s">
        <v>28</v>
      </c>
      <c r="K882" s="65" t="s">
        <v>1926</v>
      </c>
      <c r="L882" s="67"/>
      <c r="M882" s="69" t="str">
        <f>IF(Main[[#This Row],[Tech Start Date]]&lt;1/1/1990,"",IF(Main[[#This Row],[Class]]="C",WORKDAY(Main[[#This Row],[Tech Start Date]],9),IF(Main[[#This Row],[Class]]="B", WORKDAY(Main[[#This Row],[Tech Start Date]],6),IF(Main[[#This Row],[Class]]="A",WORKDAY(Main[[#This Row],[Tech Start Date]],2),""))))</f>
        <v/>
      </c>
      <c r="N882" s="69" t="str">
        <f>IF(Main[[#This Row],[Tech Start Date]]&lt;1/1/1990,"",IF(Main[[#This Row],[Class]]="C",WORKDAY(Main[[#This Row],[Tech Start Date]],19),IF(Main[[#This Row],[Class]]="B", WORKDAY(Main[[#This Row],[Tech Start Date]],12),IF(Main[[#This Row],[Class]]="A",WORKDAY(Main[[#This Row],[Tech Start Date]],4),""))))</f>
        <v/>
      </c>
      <c r="O882" s="69" t="str">
        <f>IF(Main[[#This Row],[Tech Start Date]]&lt;1/1/1990,"",IF(Main[[#This Row],[Class]]="C",WORKDAY(Main[[#This Row],[Tech Start Date]],23),IF(Main[[#This Row],[Class]]="B", WORKDAY(Main[[#This Row],[Tech Start Date]],15),IF(Main[[#This Row],[Class]]="A",WORKDAY(Main[[#This Row],[Tech Start Date]],5),""))))</f>
        <v/>
      </c>
      <c r="P882" s="69" t="str">
        <f>IF(Main[[#This Row],[Tech Start Date]]&lt;1/1/1990,"",IF(Main[[#This Row],[Class]]="C",WORKDAY(Main[[#This Row],[Tech Start Date]],28),IF(Main[[#This Row],[Class]]="B", WORKDAY(Main[[#This Row],[Tech Start Date]],19),IF(Main[[#This Row],[Class]]="A",WORKDAY(Main[[#This Row],[Tech Start Date]],9),""))))</f>
        <v/>
      </c>
      <c r="Q882" s="67"/>
      <c r="R882" s="67"/>
      <c r="S882" s="65" t="s">
        <v>17</v>
      </c>
      <c r="T882" s="70" t="s">
        <v>4</v>
      </c>
      <c r="U882" s="65" t="s">
        <v>14</v>
      </c>
      <c r="V882" s="65" t="s">
        <v>1915</v>
      </c>
      <c r="W882" s="65" t="s">
        <v>1922</v>
      </c>
      <c r="X882" s="65" t="s">
        <v>50</v>
      </c>
      <c r="Y882" s="65" t="s">
        <v>3109</v>
      </c>
      <c r="Z882" s="65" t="s">
        <v>975</v>
      </c>
      <c r="AA882" s="65" t="s">
        <v>50</v>
      </c>
    </row>
    <row r="883" spans="1:27" ht="17.45" hidden="1" customHeight="1">
      <c r="A883" s="100" t="str">
        <f>IF(priority(Main[[#This Row],[Comments]])&lt;&gt;0, priority(Main[[#This Row],[Comments]]),"")</f>
        <v/>
      </c>
      <c r="B883" s="77" t="s">
        <v>1796</v>
      </c>
      <c r="C883" s="65" t="s">
        <v>4</v>
      </c>
      <c r="D883" s="66" t="s">
        <v>840</v>
      </c>
      <c r="E883" s="67"/>
      <c r="F883" s="67">
        <v>40435</v>
      </c>
      <c r="G883" s="64" t="str">
        <f>IF(stdProdLT(Main[[#This Row],[Comments]])=0.1,"N/A",IF(stdProdLT(Main[[#This Row],[Comments]])=0,"",stdProdLT(Main[[#This Row],[Comments]])))</f>
        <v/>
      </c>
      <c r="H883" s="68" t="str">
        <f>IF(AND(Main[[#This Row],[In Stock Date]]&lt;&gt;"",Main[[#This Row],[Revised Due Date]]&lt;&gt;""),Main[[#This Row],[In Stock Date]]-Main[[#This Row],[Revised Due Date]],"")</f>
        <v/>
      </c>
      <c r="I883" s="65" t="s">
        <v>4</v>
      </c>
      <c r="J883" s="65" t="s">
        <v>28</v>
      </c>
      <c r="K883" s="65" t="s">
        <v>4</v>
      </c>
      <c r="L883" s="67"/>
      <c r="M883" s="69" t="str">
        <f>IF(Main[[#This Row],[Tech Start Date]]&lt;1/1/1990,"",IF(Main[[#This Row],[Class]]="C",WORKDAY(Main[[#This Row],[Tech Start Date]],9),IF(Main[[#This Row],[Class]]="B", WORKDAY(Main[[#This Row],[Tech Start Date]],6),IF(Main[[#This Row],[Class]]="A",WORKDAY(Main[[#This Row],[Tech Start Date]],2),""))))</f>
        <v/>
      </c>
      <c r="N883" s="69" t="str">
        <f>IF(Main[[#This Row],[Tech Start Date]]&lt;1/1/1990,"",IF(Main[[#This Row],[Class]]="C",WORKDAY(Main[[#This Row],[Tech Start Date]],19),IF(Main[[#This Row],[Class]]="B", WORKDAY(Main[[#This Row],[Tech Start Date]],12),IF(Main[[#This Row],[Class]]="A",WORKDAY(Main[[#This Row],[Tech Start Date]],4),""))))</f>
        <v/>
      </c>
      <c r="O883" s="69" t="str">
        <f>IF(Main[[#This Row],[Tech Start Date]]&lt;1/1/1990,"",IF(Main[[#This Row],[Class]]="C",WORKDAY(Main[[#This Row],[Tech Start Date]],23),IF(Main[[#This Row],[Class]]="B", WORKDAY(Main[[#This Row],[Tech Start Date]],15),IF(Main[[#This Row],[Class]]="A",WORKDAY(Main[[#This Row],[Tech Start Date]],5),""))))</f>
        <v/>
      </c>
      <c r="P883" s="69" t="str">
        <f>IF(Main[[#This Row],[Tech Start Date]]&lt;1/1/1990,"",IF(Main[[#This Row],[Class]]="C",WORKDAY(Main[[#This Row],[Tech Start Date]],28),IF(Main[[#This Row],[Class]]="B", WORKDAY(Main[[#This Row],[Tech Start Date]],19),IF(Main[[#This Row],[Class]]="A",WORKDAY(Main[[#This Row],[Tech Start Date]],9),""))))</f>
        <v/>
      </c>
      <c r="Q883" s="67"/>
      <c r="R883" s="67"/>
      <c r="S883" s="65" t="s">
        <v>11</v>
      </c>
      <c r="T883" s="70" t="s">
        <v>4</v>
      </c>
      <c r="U883" s="65" t="s">
        <v>14</v>
      </c>
      <c r="V883" s="65" t="s">
        <v>1917</v>
      </c>
      <c r="W883" s="65" t="s">
        <v>1919</v>
      </c>
      <c r="X883" s="65" t="s">
        <v>2837</v>
      </c>
      <c r="Y883" s="65" t="s">
        <v>2966</v>
      </c>
      <c r="Z883" s="65" t="s">
        <v>530</v>
      </c>
      <c r="AA883" s="65" t="s">
        <v>2834</v>
      </c>
    </row>
    <row r="884" spans="1:27" ht="17.45" hidden="1" customHeight="1">
      <c r="A884" s="100" t="str">
        <f>IF(priority(Main[[#This Row],[Comments]])&lt;&gt;0, priority(Main[[#This Row],[Comments]]),"")</f>
        <v/>
      </c>
      <c r="B884" s="77" t="s">
        <v>1797</v>
      </c>
      <c r="C884" s="65" t="s">
        <v>99</v>
      </c>
      <c r="D884" s="66" t="s">
        <v>841</v>
      </c>
      <c r="E884" s="67"/>
      <c r="F884" s="67">
        <v>40435</v>
      </c>
      <c r="G884" s="64" t="str">
        <f>IF(stdProdLT(Main[[#This Row],[Comments]])=0.1,"N/A",IF(stdProdLT(Main[[#This Row],[Comments]])=0,"",stdProdLT(Main[[#This Row],[Comments]])))</f>
        <v/>
      </c>
      <c r="H884" s="68" t="str">
        <f>IF(AND(Main[[#This Row],[In Stock Date]]&lt;&gt;"",Main[[#This Row],[Revised Due Date]]&lt;&gt;""),Main[[#This Row],[In Stock Date]]-Main[[#This Row],[Revised Due Date]],"")</f>
        <v/>
      </c>
      <c r="I884" s="65" t="s">
        <v>4</v>
      </c>
      <c r="J884" s="65" t="s">
        <v>28</v>
      </c>
      <c r="K884" s="65" t="s">
        <v>4</v>
      </c>
      <c r="L884" s="67"/>
      <c r="M884" s="69" t="str">
        <f>IF(Main[[#This Row],[Tech Start Date]]&lt;1/1/1990,"",IF(Main[[#This Row],[Class]]="C",WORKDAY(Main[[#This Row],[Tech Start Date]],9),IF(Main[[#This Row],[Class]]="B", WORKDAY(Main[[#This Row],[Tech Start Date]],6),IF(Main[[#This Row],[Class]]="A",WORKDAY(Main[[#This Row],[Tech Start Date]],2),""))))</f>
        <v/>
      </c>
      <c r="N884" s="69" t="str">
        <f>IF(Main[[#This Row],[Tech Start Date]]&lt;1/1/1990,"",IF(Main[[#This Row],[Class]]="C",WORKDAY(Main[[#This Row],[Tech Start Date]],19),IF(Main[[#This Row],[Class]]="B", WORKDAY(Main[[#This Row],[Tech Start Date]],12),IF(Main[[#This Row],[Class]]="A",WORKDAY(Main[[#This Row],[Tech Start Date]],4),""))))</f>
        <v/>
      </c>
      <c r="O884" s="69" t="str">
        <f>IF(Main[[#This Row],[Tech Start Date]]&lt;1/1/1990,"",IF(Main[[#This Row],[Class]]="C",WORKDAY(Main[[#This Row],[Tech Start Date]],23),IF(Main[[#This Row],[Class]]="B", WORKDAY(Main[[#This Row],[Tech Start Date]],15),IF(Main[[#This Row],[Class]]="A",WORKDAY(Main[[#This Row],[Tech Start Date]],5),""))))</f>
        <v/>
      </c>
      <c r="P884" s="69" t="str">
        <f>IF(Main[[#This Row],[Tech Start Date]]&lt;1/1/1990,"",IF(Main[[#This Row],[Class]]="C",WORKDAY(Main[[#This Row],[Tech Start Date]],28),IF(Main[[#This Row],[Class]]="B", WORKDAY(Main[[#This Row],[Tech Start Date]],19),IF(Main[[#This Row],[Class]]="A",WORKDAY(Main[[#This Row],[Tech Start Date]],9),""))))</f>
        <v/>
      </c>
      <c r="Q884" s="67">
        <v>40435</v>
      </c>
      <c r="R884" s="67"/>
      <c r="S884" s="65" t="s">
        <v>11</v>
      </c>
      <c r="T884" s="70" t="s">
        <v>4</v>
      </c>
      <c r="U884" s="65" t="s">
        <v>14</v>
      </c>
      <c r="V884" s="65" t="s">
        <v>1917</v>
      </c>
      <c r="W884" s="65" t="s">
        <v>1919</v>
      </c>
      <c r="X884" s="65" t="s">
        <v>2837</v>
      </c>
      <c r="Y884" s="65" t="s">
        <v>2966</v>
      </c>
      <c r="Z884" s="65" t="s">
        <v>530</v>
      </c>
      <c r="AA884" s="65" t="s">
        <v>3411</v>
      </c>
    </row>
    <row r="885" spans="1:27" ht="17.45" hidden="1" customHeight="1">
      <c r="A885" s="100" t="str">
        <f>IF(priority(Main[[#This Row],[Comments]])&lt;&gt;0, priority(Main[[#This Row],[Comments]]),"")</f>
        <v/>
      </c>
      <c r="B885" s="77" t="s">
        <v>1783</v>
      </c>
      <c r="C885" s="65" t="s">
        <v>826</v>
      </c>
      <c r="D885" s="66" t="s">
        <v>827</v>
      </c>
      <c r="E885" s="67"/>
      <c r="F885" s="67"/>
      <c r="G885" s="64" t="str">
        <f>IF(stdProdLT(Main[[#This Row],[Comments]])=0.1,"N/A",IF(stdProdLT(Main[[#This Row],[Comments]])=0,"",stdProdLT(Main[[#This Row],[Comments]])))</f>
        <v/>
      </c>
      <c r="H885" s="68" t="str">
        <f>IF(AND(Main[[#This Row],[In Stock Date]]&lt;&gt;"",Main[[#This Row],[Revised Due Date]]&lt;&gt;""),Main[[#This Row],[In Stock Date]]-Main[[#This Row],[Revised Due Date]],"")</f>
        <v/>
      </c>
      <c r="I885" s="65" t="s">
        <v>4</v>
      </c>
      <c r="J885" s="65" t="s">
        <v>4</v>
      </c>
      <c r="K885" s="65" t="s">
        <v>4</v>
      </c>
      <c r="L885" s="67"/>
      <c r="M885" s="69" t="str">
        <f>IF(Main[[#This Row],[Tech Start Date]]&lt;1/1/1990,"",IF(Main[[#This Row],[Class]]="C",WORKDAY(Main[[#This Row],[Tech Start Date]],9),IF(Main[[#This Row],[Class]]="B", WORKDAY(Main[[#This Row],[Tech Start Date]],6),IF(Main[[#This Row],[Class]]="A",WORKDAY(Main[[#This Row],[Tech Start Date]],2),""))))</f>
        <v/>
      </c>
      <c r="N885" s="69" t="str">
        <f>IF(Main[[#This Row],[Tech Start Date]]&lt;1/1/1990,"",IF(Main[[#This Row],[Class]]="C",WORKDAY(Main[[#This Row],[Tech Start Date]],19),IF(Main[[#This Row],[Class]]="B", WORKDAY(Main[[#This Row],[Tech Start Date]],12),IF(Main[[#This Row],[Class]]="A",WORKDAY(Main[[#This Row],[Tech Start Date]],4),""))))</f>
        <v/>
      </c>
      <c r="O885" s="69" t="str">
        <f>IF(Main[[#This Row],[Tech Start Date]]&lt;1/1/1990,"",IF(Main[[#This Row],[Class]]="C",WORKDAY(Main[[#This Row],[Tech Start Date]],23),IF(Main[[#This Row],[Class]]="B", WORKDAY(Main[[#This Row],[Tech Start Date]],15),IF(Main[[#This Row],[Class]]="A",WORKDAY(Main[[#This Row],[Tech Start Date]],5),""))))</f>
        <v/>
      </c>
      <c r="P885" s="69" t="str">
        <f>IF(Main[[#This Row],[Tech Start Date]]&lt;1/1/1990,"",IF(Main[[#This Row],[Class]]="C",WORKDAY(Main[[#This Row],[Tech Start Date]],28),IF(Main[[#This Row],[Class]]="B", WORKDAY(Main[[#This Row],[Tech Start Date]],19),IF(Main[[#This Row],[Class]]="A",WORKDAY(Main[[#This Row],[Tech Start Date]],9),""))))</f>
        <v/>
      </c>
      <c r="Q885" s="67"/>
      <c r="R885" s="67"/>
      <c r="S885" s="65" t="s">
        <v>11</v>
      </c>
      <c r="T885" s="70" t="s">
        <v>4</v>
      </c>
      <c r="U885" s="65" t="s">
        <v>14</v>
      </c>
      <c r="V885" s="65" t="s">
        <v>1915</v>
      </c>
      <c r="W885" s="65" t="s">
        <v>1919</v>
      </c>
      <c r="X885" s="65" t="s">
        <v>2889</v>
      </c>
      <c r="Y885" s="65" t="s">
        <v>4</v>
      </c>
      <c r="Z885" s="65" t="s">
        <v>4</v>
      </c>
      <c r="AA885" s="65" t="s">
        <v>3447</v>
      </c>
    </row>
    <row r="886" spans="1:27" ht="17.45" hidden="1" customHeight="1">
      <c r="A886" s="100" t="str">
        <f>IF(priority(Main[[#This Row],[Comments]])&lt;&gt;0, priority(Main[[#This Row],[Comments]]),"")</f>
        <v/>
      </c>
      <c r="B886" s="77" t="s">
        <v>2126</v>
      </c>
      <c r="C886" s="65" t="s">
        <v>4</v>
      </c>
      <c r="D886" s="66" t="s">
        <v>2127</v>
      </c>
      <c r="E886" s="67">
        <v>40760.662685185183</v>
      </c>
      <c r="F886" s="67"/>
      <c r="G886" s="64" t="str">
        <f>IF(stdProdLT(Main[[#This Row],[Comments]])=0.1,"N/A",IF(stdProdLT(Main[[#This Row],[Comments]])=0,"",stdProdLT(Main[[#This Row],[Comments]])))</f>
        <v/>
      </c>
      <c r="H886" s="68" t="str">
        <f>IF(AND(Main[[#This Row],[In Stock Date]]&lt;&gt;"",Main[[#This Row],[Revised Due Date]]&lt;&gt;""),Main[[#This Row],[In Stock Date]]-Main[[#This Row],[Revised Due Date]],"")</f>
        <v/>
      </c>
      <c r="I886" s="65" t="s">
        <v>4</v>
      </c>
      <c r="J886" s="65" t="s">
        <v>4</v>
      </c>
      <c r="K886" s="65" t="s">
        <v>4</v>
      </c>
      <c r="L886" s="67"/>
      <c r="M886" s="69" t="str">
        <f>IF(Main[[#This Row],[Tech Start Date]]&lt;1/1/1990,"",IF(Main[[#This Row],[Class]]="C",WORKDAY(Main[[#This Row],[Tech Start Date]],9),IF(Main[[#This Row],[Class]]="B", WORKDAY(Main[[#This Row],[Tech Start Date]],6),IF(Main[[#This Row],[Class]]="A",WORKDAY(Main[[#This Row],[Tech Start Date]],2),""))))</f>
        <v/>
      </c>
      <c r="N886" s="69" t="str">
        <f>IF(Main[[#This Row],[Tech Start Date]]&lt;1/1/1990,"",IF(Main[[#This Row],[Class]]="C",WORKDAY(Main[[#This Row],[Tech Start Date]],19),IF(Main[[#This Row],[Class]]="B", WORKDAY(Main[[#This Row],[Tech Start Date]],12),IF(Main[[#This Row],[Class]]="A",WORKDAY(Main[[#This Row],[Tech Start Date]],4),""))))</f>
        <v/>
      </c>
      <c r="O886" s="69" t="str">
        <f>IF(Main[[#This Row],[Tech Start Date]]&lt;1/1/1990,"",IF(Main[[#This Row],[Class]]="C",WORKDAY(Main[[#This Row],[Tech Start Date]],23),IF(Main[[#This Row],[Class]]="B", WORKDAY(Main[[#This Row],[Tech Start Date]],15),IF(Main[[#This Row],[Class]]="A",WORKDAY(Main[[#This Row],[Tech Start Date]],5),""))))</f>
        <v/>
      </c>
      <c r="P886" s="69" t="str">
        <f>IF(Main[[#This Row],[Tech Start Date]]&lt;1/1/1990,"",IF(Main[[#This Row],[Class]]="C",WORKDAY(Main[[#This Row],[Tech Start Date]],28),IF(Main[[#This Row],[Class]]="B", WORKDAY(Main[[#This Row],[Tech Start Date]],19),IF(Main[[#This Row],[Class]]="A",WORKDAY(Main[[#This Row],[Tech Start Date]],9),""))))</f>
        <v/>
      </c>
      <c r="Q886" s="67"/>
      <c r="R886" s="67"/>
      <c r="S886" s="65" t="s">
        <v>6</v>
      </c>
      <c r="T886" s="70" t="s">
        <v>4</v>
      </c>
      <c r="U886" s="65" t="s">
        <v>7</v>
      </c>
      <c r="V886" s="65" t="s">
        <v>1914</v>
      </c>
      <c r="W886" s="65" t="s">
        <v>4</v>
      </c>
      <c r="X886" s="65" t="s">
        <v>306</v>
      </c>
      <c r="Y886" s="65" t="s">
        <v>4</v>
      </c>
      <c r="Z886" s="65" t="s">
        <v>4</v>
      </c>
      <c r="AA886" s="65" t="s">
        <v>3391</v>
      </c>
    </row>
    <row r="887" spans="1:27" ht="17.45" hidden="1" customHeight="1">
      <c r="A887" s="100" t="str">
        <f>IF(priority(Main[[#This Row],[Comments]])&lt;&gt;0, priority(Main[[#This Row],[Comments]]),"")</f>
        <v/>
      </c>
      <c r="B887" s="77" t="s">
        <v>1798</v>
      </c>
      <c r="C887" s="65" t="s">
        <v>4</v>
      </c>
      <c r="D887" s="66" t="s">
        <v>842</v>
      </c>
      <c r="E887" s="67"/>
      <c r="F887" s="67"/>
      <c r="G887" s="64" t="str">
        <f>IF(stdProdLT(Main[[#This Row],[Comments]])=0.1,"N/A",IF(stdProdLT(Main[[#This Row],[Comments]])=0,"",stdProdLT(Main[[#This Row],[Comments]])))</f>
        <v/>
      </c>
      <c r="H887" s="68" t="str">
        <f>IF(AND(Main[[#This Row],[In Stock Date]]&lt;&gt;"",Main[[#This Row],[Revised Due Date]]&lt;&gt;""),Main[[#This Row],[In Stock Date]]-Main[[#This Row],[Revised Due Date]],"")</f>
        <v/>
      </c>
      <c r="I887" s="65" t="s">
        <v>50</v>
      </c>
      <c r="J887" s="65" t="s">
        <v>28</v>
      </c>
      <c r="K887" s="65" t="s">
        <v>1923</v>
      </c>
      <c r="L887" s="67"/>
      <c r="M887" s="69" t="str">
        <f>IF(Main[[#This Row],[Tech Start Date]]&lt;1/1/1990,"",IF(Main[[#This Row],[Class]]="C",WORKDAY(Main[[#This Row],[Tech Start Date]],9),IF(Main[[#This Row],[Class]]="B", WORKDAY(Main[[#This Row],[Tech Start Date]],6),IF(Main[[#This Row],[Class]]="A",WORKDAY(Main[[#This Row],[Tech Start Date]],2),""))))</f>
        <v/>
      </c>
      <c r="N887" s="69" t="str">
        <f>IF(Main[[#This Row],[Tech Start Date]]&lt;1/1/1990,"",IF(Main[[#This Row],[Class]]="C",WORKDAY(Main[[#This Row],[Tech Start Date]],19),IF(Main[[#This Row],[Class]]="B", WORKDAY(Main[[#This Row],[Tech Start Date]],12),IF(Main[[#This Row],[Class]]="A",WORKDAY(Main[[#This Row],[Tech Start Date]],4),""))))</f>
        <v/>
      </c>
      <c r="O887" s="69" t="str">
        <f>IF(Main[[#This Row],[Tech Start Date]]&lt;1/1/1990,"",IF(Main[[#This Row],[Class]]="C",WORKDAY(Main[[#This Row],[Tech Start Date]],23),IF(Main[[#This Row],[Class]]="B", WORKDAY(Main[[#This Row],[Tech Start Date]],15),IF(Main[[#This Row],[Class]]="A",WORKDAY(Main[[#This Row],[Tech Start Date]],5),""))))</f>
        <v/>
      </c>
      <c r="P887" s="69" t="str">
        <f>IF(Main[[#This Row],[Tech Start Date]]&lt;1/1/1990,"",IF(Main[[#This Row],[Class]]="C",WORKDAY(Main[[#This Row],[Tech Start Date]],28),IF(Main[[#This Row],[Class]]="B", WORKDAY(Main[[#This Row],[Tech Start Date]],19),IF(Main[[#This Row],[Class]]="A",WORKDAY(Main[[#This Row],[Tech Start Date]],9),""))))</f>
        <v/>
      </c>
      <c r="Q887" s="67"/>
      <c r="R887" s="67"/>
      <c r="S887" s="65" t="s">
        <v>6</v>
      </c>
      <c r="T887" s="70" t="s">
        <v>4</v>
      </c>
      <c r="U887" s="65" t="s">
        <v>14</v>
      </c>
      <c r="V887" s="65" t="s">
        <v>1917</v>
      </c>
      <c r="W887" s="65" t="s">
        <v>1918</v>
      </c>
      <c r="X887" s="65" t="s">
        <v>2866</v>
      </c>
      <c r="Y887" s="65" t="s">
        <v>3000</v>
      </c>
      <c r="Z887" s="65" t="s">
        <v>44</v>
      </c>
      <c r="AA887" s="65" t="s">
        <v>2866</v>
      </c>
    </row>
    <row r="888" spans="1:27" ht="17.45" hidden="1" customHeight="1">
      <c r="A888" s="100" t="str">
        <f>IF(priority(Main[[#This Row],[Comments]])&lt;&gt;0, priority(Main[[#This Row],[Comments]]),"")</f>
        <v/>
      </c>
      <c r="B888" s="77" t="s">
        <v>1799</v>
      </c>
      <c r="C888" s="65" t="s">
        <v>493</v>
      </c>
      <c r="D888" s="66" t="s">
        <v>843</v>
      </c>
      <c r="E888" s="67"/>
      <c r="F888" s="67"/>
      <c r="G888" s="64" t="str">
        <f>IF(stdProdLT(Main[[#This Row],[Comments]])=0.1,"N/A",IF(stdProdLT(Main[[#This Row],[Comments]])=0,"",stdProdLT(Main[[#This Row],[Comments]])))</f>
        <v/>
      </c>
      <c r="H888" s="68" t="str">
        <f>IF(AND(Main[[#This Row],[In Stock Date]]&lt;&gt;"",Main[[#This Row],[Revised Due Date]]&lt;&gt;""),Main[[#This Row],[In Stock Date]]-Main[[#This Row],[Revised Due Date]],"")</f>
        <v/>
      </c>
      <c r="I888" s="65" t="s">
        <v>4</v>
      </c>
      <c r="J888" s="65" t="s">
        <v>4</v>
      </c>
      <c r="K888" s="71" t="s">
        <v>4</v>
      </c>
      <c r="L888" s="67"/>
      <c r="M888" s="69" t="str">
        <f>IF(Main[[#This Row],[Tech Start Date]]&lt;1/1/1990,"",IF(Main[[#This Row],[Class]]="C",WORKDAY(Main[[#This Row],[Tech Start Date]],9),IF(Main[[#This Row],[Class]]="B", WORKDAY(Main[[#This Row],[Tech Start Date]],6),IF(Main[[#This Row],[Class]]="A",WORKDAY(Main[[#This Row],[Tech Start Date]],2),""))))</f>
        <v/>
      </c>
      <c r="N888" s="69" t="str">
        <f>IF(Main[[#This Row],[Tech Start Date]]&lt;1/1/1990,"",IF(Main[[#This Row],[Class]]="C",WORKDAY(Main[[#This Row],[Tech Start Date]],19),IF(Main[[#This Row],[Class]]="B", WORKDAY(Main[[#This Row],[Tech Start Date]],12),IF(Main[[#This Row],[Class]]="A",WORKDAY(Main[[#This Row],[Tech Start Date]],4),""))))</f>
        <v/>
      </c>
      <c r="O888" s="69" t="str">
        <f>IF(Main[[#This Row],[Tech Start Date]]&lt;1/1/1990,"",IF(Main[[#This Row],[Class]]="C",WORKDAY(Main[[#This Row],[Tech Start Date]],23),IF(Main[[#This Row],[Class]]="B", WORKDAY(Main[[#This Row],[Tech Start Date]],15),IF(Main[[#This Row],[Class]]="A",WORKDAY(Main[[#This Row],[Tech Start Date]],5),""))))</f>
        <v/>
      </c>
      <c r="P888" s="69" t="str">
        <f>IF(Main[[#This Row],[Tech Start Date]]&lt;1/1/1990,"",IF(Main[[#This Row],[Class]]="C",WORKDAY(Main[[#This Row],[Tech Start Date]],28),IF(Main[[#This Row],[Class]]="B", WORKDAY(Main[[#This Row],[Tech Start Date]],19),IF(Main[[#This Row],[Class]]="A",WORKDAY(Main[[#This Row],[Tech Start Date]],9),""))))</f>
        <v/>
      </c>
      <c r="Q888" s="67">
        <v>40239</v>
      </c>
      <c r="R888" s="67"/>
      <c r="S888" s="65" t="s">
        <v>11</v>
      </c>
      <c r="T888" s="70" t="s">
        <v>4</v>
      </c>
      <c r="U888" s="65" t="s">
        <v>14</v>
      </c>
      <c r="V888" s="65" t="s">
        <v>1917</v>
      </c>
      <c r="W888" s="65" t="s">
        <v>1916</v>
      </c>
      <c r="X888" s="65" t="s">
        <v>2896</v>
      </c>
      <c r="Y888" s="65" t="s">
        <v>4</v>
      </c>
      <c r="Z888" s="65" t="s">
        <v>4</v>
      </c>
      <c r="AA888" s="65" t="s">
        <v>2896</v>
      </c>
    </row>
    <row r="889" spans="1:27" ht="17.45" hidden="1" customHeight="1">
      <c r="A889" s="100" t="str">
        <f>IF(priority(Main[[#This Row],[Comments]])&lt;&gt;0, priority(Main[[#This Row],[Comments]]),"")</f>
        <v/>
      </c>
      <c r="B889" s="77" t="s">
        <v>2552</v>
      </c>
      <c r="C889" s="65" t="s">
        <v>4</v>
      </c>
      <c r="D889" s="66" t="s">
        <v>2553</v>
      </c>
      <c r="E889" s="67">
        <v>40861.17015046296</v>
      </c>
      <c r="F889" s="67"/>
      <c r="G889" s="64" t="str">
        <f>IF(stdProdLT(Main[[#This Row],[Comments]])=0.1,"N/A",IF(stdProdLT(Main[[#This Row],[Comments]])=0,"",stdProdLT(Main[[#This Row],[Comments]])))</f>
        <v/>
      </c>
      <c r="H889" s="68" t="str">
        <f>IF(AND(Main[[#This Row],[In Stock Date]]&lt;&gt;"",Main[[#This Row],[Revised Due Date]]&lt;&gt;""),Main[[#This Row],[In Stock Date]]-Main[[#This Row],[Revised Due Date]],"")</f>
        <v/>
      </c>
      <c r="I889" s="65" t="s">
        <v>69</v>
      </c>
      <c r="J889" s="65" t="s">
        <v>70</v>
      </c>
      <c r="K889" s="65" t="s">
        <v>1923</v>
      </c>
      <c r="L889" s="67"/>
      <c r="M889" s="69" t="str">
        <f>IF(Main[[#This Row],[Tech Start Date]]&lt;1/1/1990,"",IF(Main[[#This Row],[Class]]="C",WORKDAY(Main[[#This Row],[Tech Start Date]],9),IF(Main[[#This Row],[Class]]="B", WORKDAY(Main[[#This Row],[Tech Start Date]],6),IF(Main[[#This Row],[Class]]="A",WORKDAY(Main[[#This Row],[Tech Start Date]],2),""))))</f>
        <v/>
      </c>
      <c r="N889" s="69" t="str">
        <f>IF(Main[[#This Row],[Tech Start Date]]&lt;1/1/1990,"",IF(Main[[#This Row],[Class]]="C",WORKDAY(Main[[#This Row],[Tech Start Date]],19),IF(Main[[#This Row],[Class]]="B", WORKDAY(Main[[#This Row],[Tech Start Date]],12),IF(Main[[#This Row],[Class]]="A",WORKDAY(Main[[#This Row],[Tech Start Date]],4),""))))</f>
        <v/>
      </c>
      <c r="O889" s="69" t="str">
        <f>IF(Main[[#This Row],[Tech Start Date]]&lt;1/1/1990,"",IF(Main[[#This Row],[Class]]="C",WORKDAY(Main[[#This Row],[Tech Start Date]],23),IF(Main[[#This Row],[Class]]="B", WORKDAY(Main[[#This Row],[Tech Start Date]],15),IF(Main[[#This Row],[Class]]="A",WORKDAY(Main[[#This Row],[Tech Start Date]],5),""))))</f>
        <v/>
      </c>
      <c r="P889" s="69" t="str">
        <f>IF(Main[[#This Row],[Tech Start Date]]&lt;1/1/1990,"",IF(Main[[#This Row],[Class]]="C",WORKDAY(Main[[#This Row],[Tech Start Date]],28),IF(Main[[#This Row],[Class]]="B", WORKDAY(Main[[#This Row],[Tech Start Date]],19),IF(Main[[#This Row],[Class]]="A",WORKDAY(Main[[#This Row],[Tech Start Date]],9),""))))</f>
        <v/>
      </c>
      <c r="Q889" s="67">
        <v>40891</v>
      </c>
      <c r="R889" s="67"/>
      <c r="S889" s="65" t="s">
        <v>6</v>
      </c>
      <c r="T889" s="70" t="s">
        <v>4</v>
      </c>
      <c r="U889" s="65" t="s">
        <v>29</v>
      </c>
      <c r="V889" s="65" t="s">
        <v>1917</v>
      </c>
      <c r="W889" s="65" t="s">
        <v>1918</v>
      </c>
      <c r="X889" s="65" t="s">
        <v>2822</v>
      </c>
      <c r="Y889" s="65" t="s">
        <v>2938</v>
      </c>
      <c r="Z889" s="65" t="s">
        <v>30</v>
      </c>
      <c r="AA889" s="65" t="s">
        <v>2822</v>
      </c>
    </row>
    <row r="890" spans="1:27" ht="17.45" hidden="1" customHeight="1">
      <c r="A890" s="100" t="str">
        <f>IF(priority(Main[[#This Row],[Comments]])&lt;&gt;0, priority(Main[[#This Row],[Comments]]),"")</f>
        <v/>
      </c>
      <c r="B890" s="77" t="s">
        <v>1800</v>
      </c>
      <c r="C890" s="65" t="s">
        <v>4</v>
      </c>
      <c r="D890" s="66" t="s">
        <v>844</v>
      </c>
      <c r="E890" s="67"/>
      <c r="F890" s="67"/>
      <c r="G890" s="64" t="str">
        <f>IF(stdProdLT(Main[[#This Row],[Comments]])=0.1,"N/A",IF(stdProdLT(Main[[#This Row],[Comments]])=0,"",stdProdLT(Main[[#This Row],[Comments]])))</f>
        <v/>
      </c>
      <c r="H890" s="68" t="str">
        <f>IF(AND(Main[[#This Row],[In Stock Date]]&lt;&gt;"",Main[[#This Row],[Revised Due Date]]&lt;&gt;""),Main[[#This Row],[In Stock Date]]-Main[[#This Row],[Revised Due Date]],"")</f>
        <v/>
      </c>
      <c r="I890" s="65" t="s">
        <v>4</v>
      </c>
      <c r="J890" s="65" t="s">
        <v>4</v>
      </c>
      <c r="K890" s="65" t="s">
        <v>4</v>
      </c>
      <c r="L890" s="67"/>
      <c r="M890" s="69" t="str">
        <f>IF(Main[[#This Row],[Tech Start Date]]&lt;1/1/1990,"",IF(Main[[#This Row],[Class]]="C",WORKDAY(Main[[#This Row],[Tech Start Date]],9),IF(Main[[#This Row],[Class]]="B", WORKDAY(Main[[#This Row],[Tech Start Date]],6),IF(Main[[#This Row],[Class]]="A",WORKDAY(Main[[#This Row],[Tech Start Date]],2),""))))</f>
        <v/>
      </c>
      <c r="N890" s="69" t="str">
        <f>IF(Main[[#This Row],[Tech Start Date]]&lt;1/1/1990,"",IF(Main[[#This Row],[Class]]="C",WORKDAY(Main[[#This Row],[Tech Start Date]],19),IF(Main[[#This Row],[Class]]="B", WORKDAY(Main[[#This Row],[Tech Start Date]],12),IF(Main[[#This Row],[Class]]="A",WORKDAY(Main[[#This Row],[Tech Start Date]],4),""))))</f>
        <v/>
      </c>
      <c r="O890" s="69" t="str">
        <f>IF(Main[[#This Row],[Tech Start Date]]&lt;1/1/1990,"",IF(Main[[#This Row],[Class]]="C",WORKDAY(Main[[#This Row],[Tech Start Date]],23),IF(Main[[#This Row],[Class]]="B", WORKDAY(Main[[#This Row],[Tech Start Date]],15),IF(Main[[#This Row],[Class]]="A",WORKDAY(Main[[#This Row],[Tech Start Date]],5),""))))</f>
        <v/>
      </c>
      <c r="P890" s="69" t="str">
        <f>IF(Main[[#This Row],[Tech Start Date]]&lt;1/1/1990,"",IF(Main[[#This Row],[Class]]="C",WORKDAY(Main[[#This Row],[Tech Start Date]],28),IF(Main[[#This Row],[Class]]="B", WORKDAY(Main[[#This Row],[Tech Start Date]],19),IF(Main[[#This Row],[Class]]="A",WORKDAY(Main[[#This Row],[Tech Start Date]],9),""))))</f>
        <v/>
      </c>
      <c r="Q890" s="67">
        <v>40349</v>
      </c>
      <c r="R890" s="67"/>
      <c r="S890" s="65" t="s">
        <v>6</v>
      </c>
      <c r="T890" s="70" t="s">
        <v>4</v>
      </c>
      <c r="U890" s="65" t="s">
        <v>14</v>
      </c>
      <c r="V890" s="65" t="s">
        <v>1917</v>
      </c>
      <c r="W890" s="65" t="s">
        <v>4</v>
      </c>
      <c r="X890" s="65" t="s">
        <v>2819</v>
      </c>
      <c r="Y890" s="65" t="s">
        <v>2932</v>
      </c>
      <c r="Z890" s="65" t="s">
        <v>4</v>
      </c>
      <c r="AA890" s="65" t="s">
        <v>2819</v>
      </c>
    </row>
    <row r="891" spans="1:27" ht="17.45" hidden="1" customHeight="1">
      <c r="A891" s="100" t="str">
        <f>IF(priority(Main[[#This Row],[Comments]])&lt;&gt;0, priority(Main[[#This Row],[Comments]]),"")</f>
        <v/>
      </c>
      <c r="B891" s="77" t="s">
        <v>2197</v>
      </c>
      <c r="C891" s="65" t="s">
        <v>4</v>
      </c>
      <c r="D891" s="66" t="s">
        <v>2198</v>
      </c>
      <c r="E891" s="67"/>
      <c r="F891" s="67"/>
      <c r="G891" s="64" t="str">
        <f>IF(stdProdLT(Main[[#This Row],[Comments]])=0.1,"N/A",IF(stdProdLT(Main[[#This Row],[Comments]])=0,"",stdProdLT(Main[[#This Row],[Comments]])))</f>
        <v/>
      </c>
      <c r="H891" s="68" t="str">
        <f>IF(AND(Main[[#This Row],[In Stock Date]]&lt;&gt;"",Main[[#This Row],[Revised Due Date]]&lt;&gt;""),Main[[#This Row],[In Stock Date]]-Main[[#This Row],[Revised Due Date]],"")</f>
        <v/>
      </c>
      <c r="I891" s="65" t="s">
        <v>4</v>
      </c>
      <c r="J891" s="65" t="s">
        <v>4</v>
      </c>
      <c r="K891" s="65" t="s">
        <v>4</v>
      </c>
      <c r="L891" s="67"/>
      <c r="M891" s="69" t="str">
        <f>IF(Main[[#This Row],[Tech Start Date]]&lt;1/1/1990,"",IF(Main[[#This Row],[Class]]="C",WORKDAY(Main[[#This Row],[Tech Start Date]],9),IF(Main[[#This Row],[Class]]="B", WORKDAY(Main[[#This Row],[Tech Start Date]],6),IF(Main[[#This Row],[Class]]="A",WORKDAY(Main[[#This Row],[Tech Start Date]],2),""))))</f>
        <v/>
      </c>
      <c r="N891" s="69" t="str">
        <f>IF(Main[[#This Row],[Tech Start Date]]&lt;1/1/1990,"",IF(Main[[#This Row],[Class]]="C",WORKDAY(Main[[#This Row],[Tech Start Date]],19),IF(Main[[#This Row],[Class]]="B", WORKDAY(Main[[#This Row],[Tech Start Date]],12),IF(Main[[#This Row],[Class]]="A",WORKDAY(Main[[#This Row],[Tech Start Date]],4),""))))</f>
        <v/>
      </c>
      <c r="O891" s="69" t="str">
        <f>IF(Main[[#This Row],[Tech Start Date]]&lt;1/1/1990,"",IF(Main[[#This Row],[Class]]="C",WORKDAY(Main[[#This Row],[Tech Start Date]],23),IF(Main[[#This Row],[Class]]="B", WORKDAY(Main[[#This Row],[Tech Start Date]],15),IF(Main[[#This Row],[Class]]="A",WORKDAY(Main[[#This Row],[Tech Start Date]],5),""))))</f>
        <v/>
      </c>
      <c r="P891" s="69" t="str">
        <f>IF(Main[[#This Row],[Tech Start Date]]&lt;1/1/1990,"",IF(Main[[#This Row],[Class]]="C",WORKDAY(Main[[#This Row],[Tech Start Date]],28),IF(Main[[#This Row],[Class]]="B", WORKDAY(Main[[#This Row],[Tech Start Date]],19),IF(Main[[#This Row],[Class]]="A",WORKDAY(Main[[#This Row],[Tech Start Date]],9),""))))</f>
        <v/>
      </c>
      <c r="Q891" s="67"/>
      <c r="R891" s="67"/>
      <c r="S891" s="65" t="s">
        <v>6</v>
      </c>
      <c r="T891" s="70" t="s">
        <v>4</v>
      </c>
      <c r="U891" s="65" t="s">
        <v>14</v>
      </c>
      <c r="V891" s="65" t="s">
        <v>1915</v>
      </c>
      <c r="W891" s="65" t="s">
        <v>4</v>
      </c>
      <c r="X891" s="65" t="s">
        <v>306</v>
      </c>
      <c r="Y891" s="65" t="s">
        <v>4</v>
      </c>
      <c r="Z891" s="65" t="s">
        <v>4</v>
      </c>
      <c r="AA891" s="65" t="s">
        <v>4</v>
      </c>
    </row>
    <row r="892" spans="1:27" ht="17.45" hidden="1" customHeight="1">
      <c r="A892" s="100" t="str">
        <f>IF(priority(Main[[#This Row],[Comments]])&lt;&gt;0, priority(Main[[#This Row],[Comments]]),"")</f>
        <v/>
      </c>
      <c r="B892" s="77" t="s">
        <v>1802</v>
      </c>
      <c r="C892" s="65" t="s">
        <v>47</v>
      </c>
      <c r="D892" s="66" t="s">
        <v>849</v>
      </c>
      <c r="E892" s="67"/>
      <c r="F892" s="67"/>
      <c r="G892" s="64" t="str">
        <f>IF(stdProdLT(Main[[#This Row],[Comments]])=0.1,"N/A",IF(stdProdLT(Main[[#This Row],[Comments]])=0,"",stdProdLT(Main[[#This Row],[Comments]])))</f>
        <v/>
      </c>
      <c r="H892" s="68" t="str">
        <f>IF(AND(Main[[#This Row],[In Stock Date]]&lt;&gt;"",Main[[#This Row],[Revised Due Date]]&lt;&gt;""),Main[[#This Row],[In Stock Date]]-Main[[#This Row],[Revised Due Date]],"")</f>
        <v/>
      </c>
      <c r="I892" s="65" t="s">
        <v>4</v>
      </c>
      <c r="J892" s="65" t="s">
        <v>4</v>
      </c>
      <c r="K892" s="71" t="s">
        <v>4</v>
      </c>
      <c r="L892" s="67"/>
      <c r="M892" s="69" t="str">
        <f>IF(Main[[#This Row],[Tech Start Date]]&lt;1/1/1990,"",IF(Main[[#This Row],[Class]]="C",WORKDAY(Main[[#This Row],[Tech Start Date]],9),IF(Main[[#This Row],[Class]]="B", WORKDAY(Main[[#This Row],[Tech Start Date]],6),IF(Main[[#This Row],[Class]]="A",WORKDAY(Main[[#This Row],[Tech Start Date]],2),""))))</f>
        <v/>
      </c>
      <c r="N892" s="69" t="str">
        <f>IF(Main[[#This Row],[Tech Start Date]]&lt;1/1/1990,"",IF(Main[[#This Row],[Class]]="C",WORKDAY(Main[[#This Row],[Tech Start Date]],19),IF(Main[[#This Row],[Class]]="B", WORKDAY(Main[[#This Row],[Tech Start Date]],12),IF(Main[[#This Row],[Class]]="A",WORKDAY(Main[[#This Row],[Tech Start Date]],4),""))))</f>
        <v/>
      </c>
      <c r="O892" s="69" t="str">
        <f>IF(Main[[#This Row],[Tech Start Date]]&lt;1/1/1990,"",IF(Main[[#This Row],[Class]]="C",WORKDAY(Main[[#This Row],[Tech Start Date]],23),IF(Main[[#This Row],[Class]]="B", WORKDAY(Main[[#This Row],[Tech Start Date]],15),IF(Main[[#This Row],[Class]]="A",WORKDAY(Main[[#This Row],[Tech Start Date]],5),""))))</f>
        <v/>
      </c>
      <c r="P892" s="69" t="str">
        <f>IF(Main[[#This Row],[Tech Start Date]]&lt;1/1/1990,"",IF(Main[[#This Row],[Class]]="C",WORKDAY(Main[[#This Row],[Tech Start Date]],28),IF(Main[[#This Row],[Class]]="B", WORKDAY(Main[[#This Row],[Tech Start Date]],19),IF(Main[[#This Row],[Class]]="A",WORKDAY(Main[[#This Row],[Tech Start Date]],9),""))))</f>
        <v/>
      </c>
      <c r="Q892" s="67"/>
      <c r="R892" s="67"/>
      <c r="S892" s="65" t="s">
        <v>17</v>
      </c>
      <c r="T892" s="70" t="s">
        <v>4</v>
      </c>
      <c r="U892" s="65" t="s">
        <v>14</v>
      </c>
      <c r="V892" s="65" t="s">
        <v>1917</v>
      </c>
      <c r="W892" s="65" t="s">
        <v>1919</v>
      </c>
      <c r="X892" s="65" t="s">
        <v>2827</v>
      </c>
      <c r="Y892" s="65" t="s">
        <v>3110</v>
      </c>
      <c r="Z892" s="65" t="s">
        <v>4</v>
      </c>
      <c r="AA892" s="65" t="s">
        <v>2827</v>
      </c>
    </row>
    <row r="893" spans="1:27" ht="17.45" hidden="1" customHeight="1">
      <c r="A893" s="100">
        <f>IF(priority(Main[[#This Row],[Comments]])&lt;&gt;0, priority(Main[[#This Row],[Comments]]),"")</f>
        <v>20</v>
      </c>
      <c r="B893" s="77" t="s">
        <v>1901</v>
      </c>
      <c r="C893" s="65" t="s">
        <v>952</v>
      </c>
      <c r="D893" s="66" t="s">
        <v>2037</v>
      </c>
      <c r="E893" s="67"/>
      <c r="F893" s="67"/>
      <c r="G893" s="64">
        <f>IF(stdProdLT(Main[[#This Row],[Comments]])=0.1,"N/A",IF(stdProdLT(Main[[#This Row],[Comments]])=0,"",stdProdLT(Main[[#This Row],[Comments]])))</f>
        <v>112</v>
      </c>
      <c r="H893" s="68" t="str">
        <f>IF(AND(Main[[#This Row],[In Stock Date]]&lt;&gt;"",Main[[#This Row],[Revised Due Date]]&lt;&gt;""),Main[[#This Row],[In Stock Date]]-Main[[#This Row],[Revised Due Date]],"")</f>
        <v/>
      </c>
      <c r="I893" s="65" t="s">
        <v>50</v>
      </c>
      <c r="J893" s="65" t="s">
        <v>52</v>
      </c>
      <c r="K893" s="65" t="s">
        <v>1927</v>
      </c>
      <c r="L893" s="67"/>
      <c r="M893" s="69" t="str">
        <f>IF(Main[[#This Row],[Tech Start Date]]&lt;1/1/1990,"",IF(Main[[#This Row],[Class]]="C",WORKDAY(Main[[#This Row],[Tech Start Date]],9),IF(Main[[#This Row],[Class]]="B", WORKDAY(Main[[#This Row],[Tech Start Date]],6),IF(Main[[#This Row],[Class]]="A",WORKDAY(Main[[#This Row],[Tech Start Date]],2),""))))</f>
        <v/>
      </c>
      <c r="N893" s="69" t="str">
        <f>IF(Main[[#This Row],[Tech Start Date]]&lt;1/1/1990,"",IF(Main[[#This Row],[Class]]="C",WORKDAY(Main[[#This Row],[Tech Start Date]],19),IF(Main[[#This Row],[Class]]="B", WORKDAY(Main[[#This Row],[Tech Start Date]],12),IF(Main[[#This Row],[Class]]="A",WORKDAY(Main[[#This Row],[Tech Start Date]],4),""))))</f>
        <v/>
      </c>
      <c r="O893" s="69" t="str">
        <f>IF(Main[[#This Row],[Tech Start Date]]&lt;1/1/1990,"",IF(Main[[#This Row],[Class]]="C",WORKDAY(Main[[#This Row],[Tech Start Date]],23),IF(Main[[#This Row],[Class]]="B", WORKDAY(Main[[#This Row],[Tech Start Date]],15),IF(Main[[#This Row],[Class]]="A",WORKDAY(Main[[#This Row],[Tech Start Date]],5),""))))</f>
        <v/>
      </c>
      <c r="P893" s="69" t="str">
        <f>IF(Main[[#This Row],[Tech Start Date]]&lt;1/1/1990,"",IF(Main[[#This Row],[Class]]="C",WORKDAY(Main[[#This Row],[Tech Start Date]],28),IF(Main[[#This Row],[Class]]="B", WORKDAY(Main[[#This Row],[Tech Start Date]],19),IF(Main[[#This Row],[Class]]="A",WORKDAY(Main[[#This Row],[Tech Start Date]],9),""))))</f>
        <v/>
      </c>
      <c r="Q893" s="67">
        <v>40598</v>
      </c>
      <c r="R893" s="67">
        <v>40786</v>
      </c>
      <c r="S893" s="65" t="s">
        <v>11</v>
      </c>
      <c r="T893" s="70" t="s">
        <v>2123</v>
      </c>
      <c r="U893" s="65" t="s">
        <v>14</v>
      </c>
      <c r="V893" s="65" t="s">
        <v>1915</v>
      </c>
      <c r="W893" s="65" t="s">
        <v>1916</v>
      </c>
      <c r="X893" s="65" t="s">
        <v>2816</v>
      </c>
      <c r="Y893" s="65" t="s">
        <v>2928</v>
      </c>
      <c r="Z893" s="65" t="s">
        <v>2053</v>
      </c>
      <c r="AA893" s="65" t="s">
        <v>2816</v>
      </c>
    </row>
    <row r="894" spans="1:27" ht="17.45" hidden="1" customHeight="1">
      <c r="A894" s="100" t="str">
        <f>IF(priority(Main[[#This Row],[Comments]])&lt;&gt;0, priority(Main[[#This Row],[Comments]]),"")</f>
        <v/>
      </c>
      <c r="B894" s="77" t="s">
        <v>1727</v>
      </c>
      <c r="C894" s="65" t="s">
        <v>4</v>
      </c>
      <c r="D894" s="66" t="s">
        <v>783</v>
      </c>
      <c r="E894" s="67">
        <v>40584.407268518517</v>
      </c>
      <c r="F894" s="67"/>
      <c r="G894" s="64" t="str">
        <f>IF(stdProdLT(Main[[#This Row],[Comments]])=0.1,"N/A",IF(stdProdLT(Main[[#This Row],[Comments]])=0,"",stdProdLT(Main[[#This Row],[Comments]])))</f>
        <v/>
      </c>
      <c r="H894" s="68" t="str">
        <f>IF(AND(Main[[#This Row],[In Stock Date]]&lt;&gt;"",Main[[#This Row],[Revised Due Date]]&lt;&gt;""),Main[[#This Row],[In Stock Date]]-Main[[#This Row],[Revised Due Date]],"")</f>
        <v/>
      </c>
      <c r="I894" s="65" t="s">
        <v>4</v>
      </c>
      <c r="J894" s="65" t="s">
        <v>4</v>
      </c>
      <c r="K894" s="65" t="s">
        <v>4</v>
      </c>
      <c r="L894" s="67"/>
      <c r="M894" s="69" t="str">
        <f>IF(Main[[#This Row],[Tech Start Date]]&lt;1/1/1990,"",IF(Main[[#This Row],[Class]]="C",WORKDAY(Main[[#This Row],[Tech Start Date]],9),IF(Main[[#This Row],[Class]]="B", WORKDAY(Main[[#This Row],[Tech Start Date]],6),IF(Main[[#This Row],[Class]]="A",WORKDAY(Main[[#This Row],[Tech Start Date]],2),""))))</f>
        <v/>
      </c>
      <c r="N894" s="69" t="str">
        <f>IF(Main[[#This Row],[Tech Start Date]]&lt;1/1/1990,"",IF(Main[[#This Row],[Class]]="C",WORKDAY(Main[[#This Row],[Tech Start Date]],19),IF(Main[[#This Row],[Class]]="B", WORKDAY(Main[[#This Row],[Tech Start Date]],12),IF(Main[[#This Row],[Class]]="A",WORKDAY(Main[[#This Row],[Tech Start Date]],4),""))))</f>
        <v/>
      </c>
      <c r="O894" s="69" t="str">
        <f>IF(Main[[#This Row],[Tech Start Date]]&lt;1/1/1990,"",IF(Main[[#This Row],[Class]]="C",WORKDAY(Main[[#This Row],[Tech Start Date]],23),IF(Main[[#This Row],[Class]]="B", WORKDAY(Main[[#This Row],[Tech Start Date]],15),IF(Main[[#This Row],[Class]]="A",WORKDAY(Main[[#This Row],[Tech Start Date]],5),""))))</f>
        <v/>
      </c>
      <c r="P894" s="69" t="str">
        <f>IF(Main[[#This Row],[Tech Start Date]]&lt;1/1/1990,"",IF(Main[[#This Row],[Class]]="C",WORKDAY(Main[[#This Row],[Tech Start Date]],28),IF(Main[[#This Row],[Class]]="B", WORKDAY(Main[[#This Row],[Tech Start Date]],19),IF(Main[[#This Row],[Class]]="A",WORKDAY(Main[[#This Row],[Tech Start Date]],9),""))))</f>
        <v/>
      </c>
      <c r="Q894" s="67">
        <v>40602</v>
      </c>
      <c r="R894" s="67"/>
      <c r="S894" s="65" t="s">
        <v>17</v>
      </c>
      <c r="T894" s="70" t="s">
        <v>4</v>
      </c>
      <c r="U894" s="65" t="s">
        <v>7</v>
      </c>
      <c r="V894" s="65" t="s">
        <v>1914</v>
      </c>
      <c r="W894" s="65" t="s">
        <v>1922</v>
      </c>
      <c r="X894" s="65" t="s">
        <v>2828</v>
      </c>
      <c r="Y894" s="65" t="s">
        <v>2950</v>
      </c>
      <c r="Z894" s="65" t="s">
        <v>4</v>
      </c>
      <c r="AA894" s="65" t="s">
        <v>2828</v>
      </c>
    </row>
    <row r="895" spans="1:27" ht="17.45" hidden="1" customHeight="1">
      <c r="A895" s="100" t="str">
        <f>IF(priority(Main[[#This Row],[Comments]])&lt;&gt;0, priority(Main[[#This Row],[Comments]]),"")</f>
        <v/>
      </c>
      <c r="B895" s="77" t="s">
        <v>1785</v>
      </c>
      <c r="C895" s="65" t="s">
        <v>4</v>
      </c>
      <c r="D895" s="66" t="s">
        <v>829</v>
      </c>
      <c r="E895" s="67"/>
      <c r="F895" s="67"/>
      <c r="G895" s="64" t="str">
        <f>IF(stdProdLT(Main[[#This Row],[Comments]])=0.1,"N/A",IF(stdProdLT(Main[[#This Row],[Comments]])=0,"",stdProdLT(Main[[#This Row],[Comments]])))</f>
        <v/>
      </c>
      <c r="H895" s="68" t="str">
        <f>IF(AND(Main[[#This Row],[In Stock Date]]&lt;&gt;"",Main[[#This Row],[Revised Due Date]]&lt;&gt;""),Main[[#This Row],[In Stock Date]]-Main[[#This Row],[Revised Due Date]],"")</f>
        <v/>
      </c>
      <c r="I895" s="65" t="s">
        <v>4</v>
      </c>
      <c r="J895" s="65" t="s">
        <v>4</v>
      </c>
      <c r="K895" s="65" t="s">
        <v>4</v>
      </c>
      <c r="L895" s="67"/>
      <c r="M895" s="69" t="str">
        <f>IF(Main[[#This Row],[Tech Start Date]]&lt;1/1/1990,"",IF(Main[[#This Row],[Class]]="C",WORKDAY(Main[[#This Row],[Tech Start Date]],9),IF(Main[[#This Row],[Class]]="B", WORKDAY(Main[[#This Row],[Tech Start Date]],6),IF(Main[[#This Row],[Class]]="A",WORKDAY(Main[[#This Row],[Tech Start Date]],2),""))))</f>
        <v/>
      </c>
      <c r="N895" s="69" t="str">
        <f>IF(Main[[#This Row],[Tech Start Date]]&lt;1/1/1990,"",IF(Main[[#This Row],[Class]]="C",WORKDAY(Main[[#This Row],[Tech Start Date]],19),IF(Main[[#This Row],[Class]]="B", WORKDAY(Main[[#This Row],[Tech Start Date]],12),IF(Main[[#This Row],[Class]]="A",WORKDAY(Main[[#This Row],[Tech Start Date]],4),""))))</f>
        <v/>
      </c>
      <c r="O895" s="69" t="str">
        <f>IF(Main[[#This Row],[Tech Start Date]]&lt;1/1/1990,"",IF(Main[[#This Row],[Class]]="C",WORKDAY(Main[[#This Row],[Tech Start Date]],23),IF(Main[[#This Row],[Class]]="B", WORKDAY(Main[[#This Row],[Tech Start Date]],15),IF(Main[[#This Row],[Class]]="A",WORKDAY(Main[[#This Row],[Tech Start Date]],5),""))))</f>
        <v/>
      </c>
      <c r="P895" s="69" t="str">
        <f>IF(Main[[#This Row],[Tech Start Date]]&lt;1/1/1990,"",IF(Main[[#This Row],[Class]]="C",WORKDAY(Main[[#This Row],[Tech Start Date]],28),IF(Main[[#This Row],[Class]]="B", WORKDAY(Main[[#This Row],[Tech Start Date]],19),IF(Main[[#This Row],[Class]]="A",WORKDAY(Main[[#This Row],[Tech Start Date]],9),""))))</f>
        <v/>
      </c>
      <c r="Q895" s="67"/>
      <c r="R895" s="67"/>
      <c r="S895" s="65" t="s">
        <v>23</v>
      </c>
      <c r="T895" s="70" t="s">
        <v>4</v>
      </c>
      <c r="U895" s="65" t="s">
        <v>14</v>
      </c>
      <c r="V895" s="65" t="s">
        <v>1914</v>
      </c>
      <c r="W895" s="65" t="s">
        <v>1918</v>
      </c>
      <c r="X895" s="65" t="s">
        <v>306</v>
      </c>
      <c r="Y895" s="65" t="s">
        <v>4</v>
      </c>
      <c r="Z895" s="65" t="s">
        <v>4</v>
      </c>
      <c r="AA895" s="65" t="s">
        <v>3443</v>
      </c>
    </row>
    <row r="896" spans="1:27" ht="17.45" hidden="1" customHeight="1">
      <c r="A896" s="100" t="str">
        <f>IF(priority(Main[[#This Row],[Comments]])&lt;&gt;0, priority(Main[[#This Row],[Comments]]),"")</f>
        <v/>
      </c>
      <c r="B896" s="77" t="s">
        <v>1804</v>
      </c>
      <c r="C896" s="65" t="s">
        <v>95</v>
      </c>
      <c r="D896" s="66" t="s">
        <v>851</v>
      </c>
      <c r="E896" s="67">
        <v>40060.34884259259</v>
      </c>
      <c r="F896" s="67">
        <v>40195</v>
      </c>
      <c r="G896" s="64" t="str">
        <f>IF(stdProdLT(Main[[#This Row],[Comments]])=0.1,"N/A",IF(stdProdLT(Main[[#This Row],[Comments]])=0,"",stdProdLT(Main[[#This Row],[Comments]])))</f>
        <v/>
      </c>
      <c r="H896" s="68">
        <f>IF(AND(Main[[#This Row],[In Stock Date]]&lt;&gt;"",Main[[#This Row],[Revised Due Date]]&lt;&gt;""),Main[[#This Row],[In Stock Date]]-Main[[#This Row],[Revised Due Date]],"")</f>
        <v>17</v>
      </c>
      <c r="I896" s="65" t="s">
        <v>852</v>
      </c>
      <c r="J896" s="65" t="s">
        <v>4</v>
      </c>
      <c r="K896" s="65" t="s">
        <v>4</v>
      </c>
      <c r="L896" s="67"/>
      <c r="M896" s="69" t="str">
        <f>IF(Main[[#This Row],[Tech Start Date]]&lt;1/1/1990,"",IF(Main[[#This Row],[Class]]="C",WORKDAY(Main[[#This Row],[Tech Start Date]],9),IF(Main[[#This Row],[Class]]="B", WORKDAY(Main[[#This Row],[Tech Start Date]],6),IF(Main[[#This Row],[Class]]="A",WORKDAY(Main[[#This Row],[Tech Start Date]],2),""))))</f>
        <v/>
      </c>
      <c r="N896" s="69" t="str">
        <f>IF(Main[[#This Row],[Tech Start Date]]&lt;1/1/1990,"",IF(Main[[#This Row],[Class]]="C",WORKDAY(Main[[#This Row],[Tech Start Date]],19),IF(Main[[#This Row],[Class]]="B", WORKDAY(Main[[#This Row],[Tech Start Date]],12),IF(Main[[#This Row],[Class]]="A",WORKDAY(Main[[#This Row],[Tech Start Date]],4),""))))</f>
        <v/>
      </c>
      <c r="O896" s="69" t="str">
        <f>IF(Main[[#This Row],[Tech Start Date]]&lt;1/1/1990,"",IF(Main[[#This Row],[Class]]="C",WORKDAY(Main[[#This Row],[Tech Start Date]],23),IF(Main[[#This Row],[Class]]="B", WORKDAY(Main[[#This Row],[Tech Start Date]],15),IF(Main[[#This Row],[Class]]="A",WORKDAY(Main[[#This Row],[Tech Start Date]],5),""))))</f>
        <v/>
      </c>
      <c r="P896" s="69" t="str">
        <f>IF(Main[[#This Row],[Tech Start Date]]&lt;1/1/1990,"",IF(Main[[#This Row],[Class]]="C",WORKDAY(Main[[#This Row],[Tech Start Date]],28),IF(Main[[#This Row],[Class]]="B", WORKDAY(Main[[#This Row],[Tech Start Date]],19),IF(Main[[#This Row],[Class]]="A",WORKDAY(Main[[#This Row],[Tech Start Date]],9),""))))</f>
        <v/>
      </c>
      <c r="Q896" s="67">
        <v>40080</v>
      </c>
      <c r="R896" s="67">
        <v>40178</v>
      </c>
      <c r="S896" s="65" t="s">
        <v>17</v>
      </c>
      <c r="T896" s="70" t="s">
        <v>4</v>
      </c>
      <c r="U896" s="65" t="s">
        <v>29</v>
      </c>
      <c r="V896" s="65" t="s">
        <v>1917</v>
      </c>
      <c r="W896" s="65" t="s">
        <v>1922</v>
      </c>
      <c r="X896" s="65" t="s">
        <v>2876</v>
      </c>
      <c r="Y896" s="65" t="s">
        <v>4</v>
      </c>
      <c r="Z896" s="65" t="s">
        <v>81</v>
      </c>
      <c r="AA896" s="65" t="s">
        <v>3407</v>
      </c>
    </row>
    <row r="897" spans="1:27" ht="17.45" hidden="1" customHeight="1">
      <c r="A897" s="100" t="str">
        <f>IF(priority(Main[[#This Row],[Comments]])&lt;&gt;0, priority(Main[[#This Row],[Comments]]),"")</f>
        <v/>
      </c>
      <c r="B897" s="77" t="s">
        <v>3176</v>
      </c>
      <c r="C897" s="65" t="s">
        <v>4</v>
      </c>
      <c r="D897" s="66" t="s">
        <v>3259</v>
      </c>
      <c r="E897" s="67">
        <v>40919.388969907406</v>
      </c>
      <c r="F897" s="67"/>
      <c r="G897" s="64" t="str">
        <f>IF(stdProdLT(Main[[#This Row],[Comments]])=0.1,"N/A",IF(stdProdLT(Main[[#This Row],[Comments]])=0,"",stdProdLT(Main[[#This Row],[Comments]])))</f>
        <v/>
      </c>
      <c r="H897" s="68" t="str">
        <f>IF(AND(Main[[#This Row],[In Stock Date]]&lt;&gt;"",Main[[#This Row],[Revised Due Date]]&lt;&gt;""),Main[[#This Row],[In Stock Date]]-Main[[#This Row],[Revised Due Date]],"")</f>
        <v/>
      </c>
      <c r="I897" s="65" t="s">
        <v>30</v>
      </c>
      <c r="J897" s="65" t="s">
        <v>28</v>
      </c>
      <c r="K897" s="65" t="s">
        <v>1923</v>
      </c>
      <c r="L897" s="67"/>
      <c r="M897" s="69" t="str">
        <f>IF(Main[[#This Row],[Tech Start Date]]&lt;1/1/1990,"",IF(Main[[#This Row],[Class]]="C",WORKDAY(Main[[#This Row],[Tech Start Date]],9),IF(Main[[#This Row],[Class]]="B", WORKDAY(Main[[#This Row],[Tech Start Date]],6),IF(Main[[#This Row],[Class]]="A",WORKDAY(Main[[#This Row],[Tech Start Date]],2),""))))</f>
        <v/>
      </c>
      <c r="N897" s="69" t="str">
        <f>IF(Main[[#This Row],[Tech Start Date]]&lt;1/1/1990,"",IF(Main[[#This Row],[Class]]="C",WORKDAY(Main[[#This Row],[Tech Start Date]],19),IF(Main[[#This Row],[Class]]="B", WORKDAY(Main[[#This Row],[Tech Start Date]],12),IF(Main[[#This Row],[Class]]="A",WORKDAY(Main[[#This Row],[Tech Start Date]],4),""))))</f>
        <v/>
      </c>
      <c r="O897" s="69" t="str">
        <f>IF(Main[[#This Row],[Tech Start Date]]&lt;1/1/1990,"",IF(Main[[#This Row],[Class]]="C",WORKDAY(Main[[#This Row],[Tech Start Date]],23),IF(Main[[#This Row],[Class]]="B", WORKDAY(Main[[#This Row],[Tech Start Date]],15),IF(Main[[#This Row],[Class]]="A",WORKDAY(Main[[#This Row],[Tech Start Date]],5),""))))</f>
        <v/>
      </c>
      <c r="P897" s="69" t="str">
        <f>IF(Main[[#This Row],[Tech Start Date]]&lt;1/1/1990,"",IF(Main[[#This Row],[Class]]="C",WORKDAY(Main[[#This Row],[Tech Start Date]],28),IF(Main[[#This Row],[Class]]="B", WORKDAY(Main[[#This Row],[Tech Start Date]],19),IF(Main[[#This Row],[Class]]="A",WORKDAY(Main[[#This Row],[Tech Start Date]],9),""))))</f>
        <v/>
      </c>
      <c r="Q897" s="67">
        <v>40928</v>
      </c>
      <c r="R897" s="67"/>
      <c r="S897" s="65" t="s">
        <v>6</v>
      </c>
      <c r="T897" s="70" t="s">
        <v>4</v>
      </c>
      <c r="U897" s="65" t="s">
        <v>29</v>
      </c>
      <c r="V897" s="65" t="s">
        <v>1917</v>
      </c>
      <c r="W897" s="65" t="s">
        <v>1918</v>
      </c>
      <c r="X897" s="65" t="s">
        <v>2903</v>
      </c>
      <c r="Y897" s="65" t="s">
        <v>3083</v>
      </c>
      <c r="Z897" s="65" t="s">
        <v>30</v>
      </c>
      <c r="AA897" s="65" t="s">
        <v>2903</v>
      </c>
    </row>
    <row r="898" spans="1:27" ht="17.45" hidden="1" customHeight="1">
      <c r="A898" s="100" t="str">
        <f>IF(priority(Main[[#This Row],[Comments]])&lt;&gt;0, priority(Main[[#This Row],[Comments]]),"")</f>
        <v/>
      </c>
      <c r="B898" s="77" t="s">
        <v>2128</v>
      </c>
      <c r="C898" s="65" t="s">
        <v>951</v>
      </c>
      <c r="D898" s="66" t="s">
        <v>2129</v>
      </c>
      <c r="E898" s="67"/>
      <c r="F898" s="67">
        <v>40871</v>
      </c>
      <c r="G898" s="64" t="str">
        <f>IF(stdProdLT(Main[[#This Row],[Comments]])=0.1,"N/A",IF(stdProdLT(Main[[#This Row],[Comments]])=0,"",stdProdLT(Main[[#This Row],[Comments]])))</f>
        <v/>
      </c>
      <c r="H898" s="68" t="str">
        <f>IF(AND(Main[[#This Row],[In Stock Date]]&lt;&gt;"",Main[[#This Row],[Revised Due Date]]&lt;&gt;""),Main[[#This Row],[In Stock Date]]-Main[[#This Row],[Revised Due Date]],"")</f>
        <v/>
      </c>
      <c r="I898" s="65" t="s">
        <v>399</v>
      </c>
      <c r="J898" s="65" t="s">
        <v>51</v>
      </c>
      <c r="K898" s="65" t="s">
        <v>1923</v>
      </c>
      <c r="L898" s="67"/>
      <c r="M898" s="69" t="str">
        <f>IF(Main[[#This Row],[Tech Start Date]]&lt;1/1/1990,"",IF(Main[[#This Row],[Class]]="C",WORKDAY(Main[[#This Row],[Tech Start Date]],9),IF(Main[[#This Row],[Class]]="B", WORKDAY(Main[[#This Row],[Tech Start Date]],6),IF(Main[[#This Row],[Class]]="A",WORKDAY(Main[[#This Row],[Tech Start Date]],2),""))))</f>
        <v/>
      </c>
      <c r="N898" s="69" t="str">
        <f>IF(Main[[#This Row],[Tech Start Date]]&lt;1/1/1990,"",IF(Main[[#This Row],[Class]]="C",WORKDAY(Main[[#This Row],[Tech Start Date]],19),IF(Main[[#This Row],[Class]]="B", WORKDAY(Main[[#This Row],[Tech Start Date]],12),IF(Main[[#This Row],[Class]]="A",WORKDAY(Main[[#This Row],[Tech Start Date]],4),""))))</f>
        <v/>
      </c>
      <c r="O898" s="69" t="str">
        <f>IF(Main[[#This Row],[Tech Start Date]]&lt;1/1/1990,"",IF(Main[[#This Row],[Class]]="C",WORKDAY(Main[[#This Row],[Tech Start Date]],23),IF(Main[[#This Row],[Class]]="B", WORKDAY(Main[[#This Row],[Tech Start Date]],15),IF(Main[[#This Row],[Class]]="A",WORKDAY(Main[[#This Row],[Tech Start Date]],5),""))))</f>
        <v/>
      </c>
      <c r="P898" s="69" t="str">
        <f>IF(Main[[#This Row],[Tech Start Date]]&lt;1/1/1990,"",IF(Main[[#This Row],[Class]]="C",WORKDAY(Main[[#This Row],[Tech Start Date]],28),IF(Main[[#This Row],[Class]]="B", WORKDAY(Main[[#This Row],[Tech Start Date]],19),IF(Main[[#This Row],[Class]]="A",WORKDAY(Main[[#This Row],[Tech Start Date]],9),""))))</f>
        <v/>
      </c>
      <c r="Q898" s="67"/>
      <c r="R898" s="67"/>
      <c r="S898" s="65" t="s">
        <v>11</v>
      </c>
      <c r="T898" s="70" t="s">
        <v>4</v>
      </c>
      <c r="U898" s="65" t="s">
        <v>14</v>
      </c>
      <c r="V898" s="65" t="s">
        <v>1914</v>
      </c>
      <c r="W898" s="65" t="s">
        <v>1920</v>
      </c>
      <c r="X898" s="65" t="s">
        <v>50</v>
      </c>
      <c r="Y898" s="65" t="s">
        <v>2961</v>
      </c>
      <c r="Z898" s="65" t="s">
        <v>306</v>
      </c>
      <c r="AA898" s="65" t="s">
        <v>50</v>
      </c>
    </row>
    <row r="899" spans="1:27" ht="17.45" hidden="1" customHeight="1">
      <c r="A899" s="100" t="str">
        <f>IF(priority(Main[[#This Row],[Comments]])&lt;&gt;0, priority(Main[[#This Row],[Comments]]),"")</f>
        <v/>
      </c>
      <c r="B899" s="77" t="s">
        <v>2130</v>
      </c>
      <c r="C899" s="65" t="s">
        <v>951</v>
      </c>
      <c r="D899" s="66" t="s">
        <v>2131</v>
      </c>
      <c r="E899" s="67"/>
      <c r="F899" s="67">
        <v>40871</v>
      </c>
      <c r="G899" s="64" t="str">
        <f>IF(stdProdLT(Main[[#This Row],[Comments]])=0.1,"N/A",IF(stdProdLT(Main[[#This Row],[Comments]])=0,"",stdProdLT(Main[[#This Row],[Comments]])))</f>
        <v/>
      </c>
      <c r="H899" s="68" t="str">
        <f>IF(AND(Main[[#This Row],[In Stock Date]]&lt;&gt;"",Main[[#This Row],[Revised Due Date]]&lt;&gt;""),Main[[#This Row],[In Stock Date]]-Main[[#This Row],[Revised Due Date]],"")</f>
        <v/>
      </c>
      <c r="I899" s="65" t="s">
        <v>4</v>
      </c>
      <c r="J899" s="65" t="s">
        <v>4</v>
      </c>
      <c r="K899" s="65" t="s">
        <v>4</v>
      </c>
      <c r="L899" s="67"/>
      <c r="M899" s="69" t="str">
        <f>IF(Main[[#This Row],[Tech Start Date]]&lt;1/1/1990,"",IF(Main[[#This Row],[Class]]="C",WORKDAY(Main[[#This Row],[Tech Start Date]],9),IF(Main[[#This Row],[Class]]="B", WORKDAY(Main[[#This Row],[Tech Start Date]],6),IF(Main[[#This Row],[Class]]="A",WORKDAY(Main[[#This Row],[Tech Start Date]],2),""))))</f>
        <v/>
      </c>
      <c r="N899" s="69" t="str">
        <f>IF(Main[[#This Row],[Tech Start Date]]&lt;1/1/1990,"",IF(Main[[#This Row],[Class]]="C",WORKDAY(Main[[#This Row],[Tech Start Date]],19),IF(Main[[#This Row],[Class]]="B", WORKDAY(Main[[#This Row],[Tech Start Date]],12),IF(Main[[#This Row],[Class]]="A",WORKDAY(Main[[#This Row],[Tech Start Date]],4),""))))</f>
        <v/>
      </c>
      <c r="O899" s="69" t="str">
        <f>IF(Main[[#This Row],[Tech Start Date]]&lt;1/1/1990,"",IF(Main[[#This Row],[Class]]="C",WORKDAY(Main[[#This Row],[Tech Start Date]],23),IF(Main[[#This Row],[Class]]="B", WORKDAY(Main[[#This Row],[Tech Start Date]],15),IF(Main[[#This Row],[Class]]="A",WORKDAY(Main[[#This Row],[Tech Start Date]],5),""))))</f>
        <v/>
      </c>
      <c r="P899" s="69" t="str">
        <f>IF(Main[[#This Row],[Tech Start Date]]&lt;1/1/1990,"",IF(Main[[#This Row],[Class]]="C",WORKDAY(Main[[#This Row],[Tech Start Date]],28),IF(Main[[#This Row],[Class]]="B", WORKDAY(Main[[#This Row],[Tech Start Date]],19),IF(Main[[#This Row],[Class]]="A",WORKDAY(Main[[#This Row],[Tech Start Date]],9),""))))</f>
        <v/>
      </c>
      <c r="Q899" s="67"/>
      <c r="R899" s="67"/>
      <c r="S899" s="65" t="s">
        <v>11</v>
      </c>
      <c r="T899" s="70" t="s">
        <v>4</v>
      </c>
      <c r="U899" s="65" t="s">
        <v>14</v>
      </c>
      <c r="V899" s="65" t="s">
        <v>1917</v>
      </c>
      <c r="W899" s="65" t="s">
        <v>1922</v>
      </c>
      <c r="X899" s="65" t="s">
        <v>50</v>
      </c>
      <c r="Y899" s="65" t="s">
        <v>2961</v>
      </c>
      <c r="Z899" s="65" t="s">
        <v>4</v>
      </c>
      <c r="AA899" s="65" t="s">
        <v>50</v>
      </c>
    </row>
    <row r="900" spans="1:27" ht="17.45" hidden="1" customHeight="1">
      <c r="A900" s="100" t="str">
        <f>IF(priority(Main[[#This Row],[Comments]])&lt;&gt;0, priority(Main[[#This Row],[Comments]]),"")</f>
        <v/>
      </c>
      <c r="B900" s="77" t="s">
        <v>2125</v>
      </c>
      <c r="C900" s="65" t="s">
        <v>4</v>
      </c>
      <c r="D900" s="66" t="s">
        <v>3622</v>
      </c>
      <c r="E900" s="67">
        <v>40764.690844907411</v>
      </c>
      <c r="F900" s="67"/>
      <c r="G900" s="64" t="str">
        <f>IF(stdProdLT(Main[[#This Row],[Comments]])=0.1,"N/A",IF(stdProdLT(Main[[#This Row],[Comments]])=0,"",stdProdLT(Main[[#This Row],[Comments]])))</f>
        <v/>
      </c>
      <c r="H900" s="68" t="str">
        <f>IF(AND(Main[[#This Row],[In Stock Date]]&lt;&gt;"",Main[[#This Row],[Revised Due Date]]&lt;&gt;""),Main[[#This Row],[In Stock Date]]-Main[[#This Row],[Revised Due Date]],"")</f>
        <v/>
      </c>
      <c r="I900" s="65" t="s">
        <v>2211</v>
      </c>
      <c r="J900" s="65" t="s">
        <v>4</v>
      </c>
      <c r="K900" s="65" t="s">
        <v>4</v>
      </c>
      <c r="L900" s="67"/>
      <c r="M900" s="69" t="str">
        <f>IF(Main[[#This Row],[Tech Start Date]]&lt;1/1/1990,"",IF(Main[[#This Row],[Class]]="C",WORKDAY(Main[[#This Row],[Tech Start Date]],9),IF(Main[[#This Row],[Class]]="B", WORKDAY(Main[[#This Row],[Tech Start Date]],6),IF(Main[[#This Row],[Class]]="A",WORKDAY(Main[[#This Row],[Tech Start Date]],2),""))))</f>
        <v/>
      </c>
      <c r="N900" s="69" t="str">
        <f>IF(Main[[#This Row],[Tech Start Date]]&lt;1/1/1990,"",IF(Main[[#This Row],[Class]]="C",WORKDAY(Main[[#This Row],[Tech Start Date]],19),IF(Main[[#This Row],[Class]]="B", WORKDAY(Main[[#This Row],[Tech Start Date]],12),IF(Main[[#This Row],[Class]]="A",WORKDAY(Main[[#This Row],[Tech Start Date]],4),""))))</f>
        <v/>
      </c>
      <c r="O900" s="69" t="str">
        <f>IF(Main[[#This Row],[Tech Start Date]]&lt;1/1/1990,"",IF(Main[[#This Row],[Class]]="C",WORKDAY(Main[[#This Row],[Tech Start Date]],23),IF(Main[[#This Row],[Class]]="B", WORKDAY(Main[[#This Row],[Tech Start Date]],15),IF(Main[[#This Row],[Class]]="A",WORKDAY(Main[[#This Row],[Tech Start Date]],5),""))))</f>
        <v/>
      </c>
      <c r="P900" s="69" t="str">
        <f>IF(Main[[#This Row],[Tech Start Date]]&lt;1/1/1990,"",IF(Main[[#This Row],[Class]]="C",WORKDAY(Main[[#This Row],[Tech Start Date]],28),IF(Main[[#This Row],[Class]]="B", WORKDAY(Main[[#This Row],[Tech Start Date]],19),IF(Main[[#This Row],[Class]]="A",WORKDAY(Main[[#This Row],[Tech Start Date]],9),""))))</f>
        <v/>
      </c>
      <c r="Q900" s="67"/>
      <c r="R900" s="67"/>
      <c r="S900" s="65" t="s">
        <v>6</v>
      </c>
      <c r="T900" s="70" t="s">
        <v>4</v>
      </c>
      <c r="U900" s="65" t="s">
        <v>7</v>
      </c>
      <c r="V900" s="65" t="s">
        <v>1929</v>
      </c>
      <c r="W900" s="65" t="s">
        <v>1916</v>
      </c>
      <c r="X900" s="65" t="s">
        <v>306</v>
      </c>
      <c r="Y900" s="65" t="s">
        <v>4</v>
      </c>
      <c r="Z900" s="65" t="s">
        <v>2211</v>
      </c>
      <c r="AA900" s="65" t="s">
        <v>4</v>
      </c>
    </row>
    <row r="901" spans="1:27" ht="17.45" hidden="1" customHeight="1">
      <c r="A901" s="100" t="str">
        <f>IF(priority(Main[[#This Row],[Comments]])&lt;&gt;0, priority(Main[[#This Row],[Comments]]),"")</f>
        <v/>
      </c>
      <c r="B901" s="77" t="s">
        <v>3525</v>
      </c>
      <c r="C901" s="65" t="s">
        <v>4</v>
      </c>
      <c r="D901" s="66" t="s">
        <v>3526</v>
      </c>
      <c r="E901" s="67"/>
      <c r="F901" s="67"/>
      <c r="G901" s="64" t="str">
        <f>IF(stdProdLT(Main[[#This Row],[Comments]])=0.1,"N/A",IF(stdProdLT(Main[[#This Row],[Comments]])=0,"",stdProdLT(Main[[#This Row],[Comments]])))</f>
        <v/>
      </c>
      <c r="H901" s="68" t="str">
        <f>IF(AND(Main[[#This Row],[In Stock Date]]&lt;&gt;"",Main[[#This Row],[Revised Due Date]]&lt;&gt;""),Main[[#This Row],[In Stock Date]]-Main[[#This Row],[Revised Due Date]],"")</f>
        <v/>
      </c>
      <c r="I901" s="65" t="s">
        <v>4</v>
      </c>
      <c r="J901" s="65" t="s">
        <v>4</v>
      </c>
      <c r="K901" s="65" t="s">
        <v>4</v>
      </c>
      <c r="L901" s="67"/>
      <c r="M901" s="69" t="str">
        <f>IF(Main[[#This Row],[Tech Start Date]]&lt;1/1/1990,"",IF(Main[[#This Row],[Class]]="C",WORKDAY(Main[[#This Row],[Tech Start Date]],9),IF(Main[[#This Row],[Class]]="B", WORKDAY(Main[[#This Row],[Tech Start Date]],6),IF(Main[[#This Row],[Class]]="A",WORKDAY(Main[[#This Row],[Tech Start Date]],2),""))))</f>
        <v/>
      </c>
      <c r="N901" s="69" t="str">
        <f>IF(Main[[#This Row],[Tech Start Date]]&lt;1/1/1990,"",IF(Main[[#This Row],[Class]]="C",WORKDAY(Main[[#This Row],[Tech Start Date]],19),IF(Main[[#This Row],[Class]]="B", WORKDAY(Main[[#This Row],[Tech Start Date]],12),IF(Main[[#This Row],[Class]]="A",WORKDAY(Main[[#This Row],[Tech Start Date]],4),""))))</f>
        <v/>
      </c>
      <c r="O901" s="69" t="str">
        <f>IF(Main[[#This Row],[Tech Start Date]]&lt;1/1/1990,"",IF(Main[[#This Row],[Class]]="C",WORKDAY(Main[[#This Row],[Tech Start Date]],23),IF(Main[[#This Row],[Class]]="B", WORKDAY(Main[[#This Row],[Tech Start Date]],15),IF(Main[[#This Row],[Class]]="A",WORKDAY(Main[[#This Row],[Tech Start Date]],5),""))))</f>
        <v/>
      </c>
      <c r="P901" s="69" t="str">
        <f>IF(Main[[#This Row],[Tech Start Date]]&lt;1/1/1990,"",IF(Main[[#This Row],[Class]]="C",WORKDAY(Main[[#This Row],[Tech Start Date]],28),IF(Main[[#This Row],[Class]]="B", WORKDAY(Main[[#This Row],[Tech Start Date]],19),IF(Main[[#This Row],[Class]]="A",WORKDAY(Main[[#This Row],[Tech Start Date]],9),""))))</f>
        <v/>
      </c>
      <c r="Q901" s="67"/>
      <c r="R901" s="67"/>
      <c r="S901" s="65" t="s">
        <v>6</v>
      </c>
      <c r="T901" s="70" t="s">
        <v>4</v>
      </c>
      <c r="U901" s="65" t="s">
        <v>14</v>
      </c>
      <c r="V901" s="65" t="s">
        <v>2283</v>
      </c>
      <c r="W901" s="65" t="s">
        <v>1918</v>
      </c>
      <c r="X901" s="65" t="s">
        <v>2841</v>
      </c>
      <c r="Y901" s="65" t="s">
        <v>2971</v>
      </c>
      <c r="Z901" s="65" t="s">
        <v>4</v>
      </c>
      <c r="AA901" s="65" t="s">
        <v>2841</v>
      </c>
    </row>
    <row r="902" spans="1:27" ht="17.45" hidden="1" customHeight="1">
      <c r="A902" s="100" t="str">
        <f>IF(priority(Main[[#This Row],[Comments]])&lt;&gt;0, priority(Main[[#This Row],[Comments]]),"")</f>
        <v/>
      </c>
      <c r="B902" s="77" t="s">
        <v>2511</v>
      </c>
      <c r="C902" s="65" t="s">
        <v>47</v>
      </c>
      <c r="D902" s="66" t="s">
        <v>3500</v>
      </c>
      <c r="E902" s="67">
        <v>40857.653622685182</v>
      </c>
      <c r="F902" s="67"/>
      <c r="G902" s="64" t="str">
        <f>IF(stdProdLT(Main[[#This Row],[Comments]])=0.1,"N/A",IF(stdProdLT(Main[[#This Row],[Comments]])=0,"",stdProdLT(Main[[#This Row],[Comments]])))</f>
        <v/>
      </c>
      <c r="H902" s="68" t="str">
        <f>IF(AND(Main[[#This Row],[In Stock Date]]&lt;&gt;"",Main[[#This Row],[Revised Due Date]]&lt;&gt;""),Main[[#This Row],[In Stock Date]]-Main[[#This Row],[Revised Due Date]],"")</f>
        <v/>
      </c>
      <c r="I902" s="65" t="s">
        <v>4</v>
      </c>
      <c r="J902" s="65" t="s">
        <v>4</v>
      </c>
      <c r="K902" s="65" t="s">
        <v>4</v>
      </c>
      <c r="L902" s="67"/>
      <c r="M902" s="69" t="str">
        <f>IF(Main[[#This Row],[Tech Start Date]]&lt;1/1/1990,"",IF(Main[[#This Row],[Class]]="C",WORKDAY(Main[[#This Row],[Tech Start Date]],9),IF(Main[[#This Row],[Class]]="B", WORKDAY(Main[[#This Row],[Tech Start Date]],6),IF(Main[[#This Row],[Class]]="A",WORKDAY(Main[[#This Row],[Tech Start Date]],2),""))))</f>
        <v/>
      </c>
      <c r="N902" s="69" t="str">
        <f>IF(Main[[#This Row],[Tech Start Date]]&lt;1/1/1990,"",IF(Main[[#This Row],[Class]]="C",WORKDAY(Main[[#This Row],[Tech Start Date]],19),IF(Main[[#This Row],[Class]]="B", WORKDAY(Main[[#This Row],[Tech Start Date]],12),IF(Main[[#This Row],[Class]]="A",WORKDAY(Main[[#This Row],[Tech Start Date]],4),""))))</f>
        <v/>
      </c>
      <c r="O902" s="69" t="str">
        <f>IF(Main[[#This Row],[Tech Start Date]]&lt;1/1/1990,"",IF(Main[[#This Row],[Class]]="C",WORKDAY(Main[[#This Row],[Tech Start Date]],23),IF(Main[[#This Row],[Class]]="B", WORKDAY(Main[[#This Row],[Tech Start Date]],15),IF(Main[[#This Row],[Class]]="A",WORKDAY(Main[[#This Row],[Tech Start Date]],5),""))))</f>
        <v/>
      </c>
      <c r="P902" s="69" t="str">
        <f>IF(Main[[#This Row],[Tech Start Date]]&lt;1/1/1990,"",IF(Main[[#This Row],[Class]]="C",WORKDAY(Main[[#This Row],[Tech Start Date]],28),IF(Main[[#This Row],[Class]]="B", WORKDAY(Main[[#This Row],[Tech Start Date]],19),IF(Main[[#This Row],[Class]]="A",WORKDAY(Main[[#This Row],[Tech Start Date]],9),""))))</f>
        <v/>
      </c>
      <c r="Q902" s="67">
        <v>40892</v>
      </c>
      <c r="R902" s="67"/>
      <c r="S902" s="65" t="s">
        <v>6</v>
      </c>
      <c r="T902" s="70" t="s">
        <v>4</v>
      </c>
      <c r="U902" s="65" t="s">
        <v>29</v>
      </c>
      <c r="V902" s="65" t="s">
        <v>2283</v>
      </c>
      <c r="W902" s="65" t="s">
        <v>4</v>
      </c>
      <c r="X902" s="65" t="s">
        <v>2865</v>
      </c>
      <c r="Y902" s="65" t="s">
        <v>3010</v>
      </c>
      <c r="Z902" s="65" t="s">
        <v>4</v>
      </c>
      <c r="AA902" s="65" t="s">
        <v>2865</v>
      </c>
    </row>
    <row r="903" spans="1:27" ht="17.45" hidden="1" customHeight="1">
      <c r="A903" s="100">
        <f>IF(priority(Main[[#This Row],[Comments]])&lt;&gt;0, priority(Main[[#This Row],[Comments]]),"")</f>
        <v>16.2</v>
      </c>
      <c r="B903" s="77" t="s">
        <v>2399</v>
      </c>
      <c r="C903" s="65" t="s">
        <v>31</v>
      </c>
      <c r="D903" s="66" t="s">
        <v>2400</v>
      </c>
      <c r="E903" s="67"/>
      <c r="F903" s="67">
        <v>41000</v>
      </c>
      <c r="G903" s="64">
        <f>IF(stdProdLT(Main[[#This Row],[Comments]])=0.1,"N/A",IF(stdProdLT(Main[[#This Row],[Comments]])=0,"",stdProdLT(Main[[#This Row],[Comments]])))</f>
        <v>140</v>
      </c>
      <c r="H903" s="68" t="str">
        <f>IF(AND(Main[[#This Row],[In Stock Date]]&lt;&gt;"",Main[[#This Row],[Revised Due Date]]&lt;&gt;""),Main[[#This Row],[In Stock Date]]-Main[[#This Row],[Revised Due Date]],"")</f>
        <v/>
      </c>
      <c r="I903" s="65" t="s">
        <v>4</v>
      </c>
      <c r="J903" s="65" t="s">
        <v>4</v>
      </c>
      <c r="K903" s="71" t="s">
        <v>4</v>
      </c>
      <c r="L903" s="67"/>
      <c r="M903" s="69" t="str">
        <f>IF(Main[[#This Row],[Tech Start Date]]&lt;1/1/1990,"",IF(Main[[#This Row],[Class]]="C",WORKDAY(Main[[#This Row],[Tech Start Date]],9),IF(Main[[#This Row],[Class]]="B", WORKDAY(Main[[#This Row],[Tech Start Date]],6),IF(Main[[#This Row],[Class]]="A",WORKDAY(Main[[#This Row],[Tech Start Date]],2),""))))</f>
        <v/>
      </c>
      <c r="N903" s="69" t="str">
        <f>IF(Main[[#This Row],[Tech Start Date]]&lt;1/1/1990,"",IF(Main[[#This Row],[Class]]="C",WORKDAY(Main[[#This Row],[Tech Start Date]],19),IF(Main[[#This Row],[Class]]="B", WORKDAY(Main[[#This Row],[Tech Start Date]],12),IF(Main[[#This Row],[Class]]="A",WORKDAY(Main[[#This Row],[Tech Start Date]],4),""))))</f>
        <v/>
      </c>
      <c r="O903" s="69" t="str">
        <f>IF(Main[[#This Row],[Tech Start Date]]&lt;1/1/1990,"",IF(Main[[#This Row],[Class]]="C",WORKDAY(Main[[#This Row],[Tech Start Date]],23),IF(Main[[#This Row],[Class]]="B", WORKDAY(Main[[#This Row],[Tech Start Date]],15),IF(Main[[#This Row],[Class]]="A",WORKDAY(Main[[#This Row],[Tech Start Date]],5),""))))</f>
        <v/>
      </c>
      <c r="P903" s="69" t="str">
        <f>IF(Main[[#This Row],[Tech Start Date]]&lt;1/1/1990,"",IF(Main[[#This Row],[Class]]="C",WORKDAY(Main[[#This Row],[Tech Start Date]],28),IF(Main[[#This Row],[Class]]="B", WORKDAY(Main[[#This Row],[Tech Start Date]],19),IF(Main[[#This Row],[Class]]="A",WORKDAY(Main[[#This Row],[Tech Start Date]],9),""))))</f>
        <v/>
      </c>
      <c r="Q903" s="67">
        <v>40916</v>
      </c>
      <c r="R903" s="67"/>
      <c r="S903" s="65" t="s">
        <v>11</v>
      </c>
      <c r="T903" s="70" t="s">
        <v>2401</v>
      </c>
      <c r="U903" s="65" t="s">
        <v>14</v>
      </c>
      <c r="V903" s="65" t="s">
        <v>1924</v>
      </c>
      <c r="W903" s="65" t="s">
        <v>1920</v>
      </c>
      <c r="X903" s="65" t="s">
        <v>2840</v>
      </c>
      <c r="Y903" s="65" t="s">
        <v>3089</v>
      </c>
      <c r="Z903" s="65" t="s">
        <v>4</v>
      </c>
      <c r="AA903" s="65" t="s">
        <v>2840</v>
      </c>
    </row>
    <row r="904" spans="1:27" ht="17.45" hidden="1" customHeight="1">
      <c r="A904" s="100" t="str">
        <f>IF(priority(Main[[#This Row],[Comments]])&lt;&gt;0, priority(Main[[#This Row],[Comments]]),"")</f>
        <v/>
      </c>
      <c r="B904" s="77" t="s">
        <v>2115</v>
      </c>
      <c r="C904" s="65" t="s">
        <v>4</v>
      </c>
      <c r="D904" s="66" t="s">
        <v>2116</v>
      </c>
      <c r="E904" s="67"/>
      <c r="F904" s="67"/>
      <c r="G904" s="64" t="str">
        <f>IF(stdProdLT(Main[[#This Row],[Comments]])=0.1,"N/A",IF(stdProdLT(Main[[#This Row],[Comments]])=0,"",stdProdLT(Main[[#This Row],[Comments]])))</f>
        <v/>
      </c>
      <c r="H904" s="68" t="str">
        <f>IF(AND(Main[[#This Row],[In Stock Date]]&lt;&gt;"",Main[[#This Row],[Revised Due Date]]&lt;&gt;""),Main[[#This Row],[In Stock Date]]-Main[[#This Row],[Revised Due Date]],"")</f>
        <v/>
      </c>
      <c r="I904" s="65" t="s">
        <v>69</v>
      </c>
      <c r="J904" s="65" t="s">
        <v>70</v>
      </c>
      <c r="K904" s="65" t="s">
        <v>1923</v>
      </c>
      <c r="L904" s="67"/>
      <c r="M904" s="69" t="str">
        <f>IF(Main[[#This Row],[Tech Start Date]]&lt;1/1/1990,"",IF(Main[[#This Row],[Class]]="C",WORKDAY(Main[[#This Row],[Tech Start Date]],9),IF(Main[[#This Row],[Class]]="B", WORKDAY(Main[[#This Row],[Tech Start Date]],6),IF(Main[[#This Row],[Class]]="A",WORKDAY(Main[[#This Row],[Tech Start Date]],2),""))))</f>
        <v/>
      </c>
      <c r="N904" s="69" t="str">
        <f>IF(Main[[#This Row],[Tech Start Date]]&lt;1/1/1990,"",IF(Main[[#This Row],[Class]]="C",WORKDAY(Main[[#This Row],[Tech Start Date]],19),IF(Main[[#This Row],[Class]]="B", WORKDAY(Main[[#This Row],[Tech Start Date]],12),IF(Main[[#This Row],[Class]]="A",WORKDAY(Main[[#This Row],[Tech Start Date]],4),""))))</f>
        <v/>
      </c>
      <c r="O904" s="69" t="str">
        <f>IF(Main[[#This Row],[Tech Start Date]]&lt;1/1/1990,"",IF(Main[[#This Row],[Class]]="C",WORKDAY(Main[[#This Row],[Tech Start Date]],23),IF(Main[[#This Row],[Class]]="B", WORKDAY(Main[[#This Row],[Tech Start Date]],15),IF(Main[[#This Row],[Class]]="A",WORKDAY(Main[[#This Row],[Tech Start Date]],5),""))))</f>
        <v/>
      </c>
      <c r="P904" s="69" t="str">
        <f>IF(Main[[#This Row],[Tech Start Date]]&lt;1/1/1990,"",IF(Main[[#This Row],[Class]]="C",WORKDAY(Main[[#This Row],[Tech Start Date]],28),IF(Main[[#This Row],[Class]]="B", WORKDAY(Main[[#This Row],[Tech Start Date]],19),IF(Main[[#This Row],[Class]]="A",WORKDAY(Main[[#This Row],[Tech Start Date]],9),""))))</f>
        <v/>
      </c>
      <c r="Q904" s="67">
        <v>40816</v>
      </c>
      <c r="R904" s="67"/>
      <c r="S904" s="65" t="s">
        <v>6</v>
      </c>
      <c r="T904" s="70" t="s">
        <v>4</v>
      </c>
      <c r="U904" s="65" t="s">
        <v>14</v>
      </c>
      <c r="V904" s="65" t="s">
        <v>1917</v>
      </c>
      <c r="W904" s="65" t="s">
        <v>1918</v>
      </c>
      <c r="X904" s="65" t="s">
        <v>306</v>
      </c>
      <c r="Y904" s="65" t="s">
        <v>3111</v>
      </c>
      <c r="Z904" s="65" t="s">
        <v>30</v>
      </c>
      <c r="AA904" s="65" t="s">
        <v>3387</v>
      </c>
    </row>
    <row r="905" spans="1:27" ht="17.45" hidden="1" customHeight="1">
      <c r="A905" s="100" t="str">
        <f>IF(priority(Main[[#This Row],[Comments]])&lt;&gt;0, priority(Main[[#This Row],[Comments]]),"")</f>
        <v/>
      </c>
      <c r="B905" s="77" t="s">
        <v>2182</v>
      </c>
      <c r="C905" s="65" t="s">
        <v>4</v>
      </c>
      <c r="D905" s="66" t="s">
        <v>2183</v>
      </c>
      <c r="E905" s="67">
        <v>40784.630833333336</v>
      </c>
      <c r="F905" s="67">
        <v>41153</v>
      </c>
      <c r="G905" s="64" t="str">
        <f>IF(stdProdLT(Main[[#This Row],[Comments]])=0.1,"N/A",IF(stdProdLT(Main[[#This Row],[Comments]])=0,"",stdProdLT(Main[[#This Row],[Comments]])))</f>
        <v/>
      </c>
      <c r="H905" s="68" t="str">
        <f>IF(AND(Main[[#This Row],[In Stock Date]]&lt;&gt;"",Main[[#This Row],[Revised Due Date]]&lt;&gt;""),Main[[#This Row],[In Stock Date]]-Main[[#This Row],[Revised Due Date]],"")</f>
        <v/>
      </c>
      <c r="I905" s="65" t="s">
        <v>4</v>
      </c>
      <c r="J905" s="65" t="s">
        <v>4</v>
      </c>
      <c r="K905" s="65" t="s">
        <v>4</v>
      </c>
      <c r="L905" s="67"/>
      <c r="M905" s="69" t="str">
        <f>IF(Main[[#This Row],[Tech Start Date]]&lt;1/1/1990,"",IF(Main[[#This Row],[Class]]="C",WORKDAY(Main[[#This Row],[Tech Start Date]],9),IF(Main[[#This Row],[Class]]="B", WORKDAY(Main[[#This Row],[Tech Start Date]],6),IF(Main[[#This Row],[Class]]="A",WORKDAY(Main[[#This Row],[Tech Start Date]],2),""))))</f>
        <v/>
      </c>
      <c r="N905" s="69" t="str">
        <f>IF(Main[[#This Row],[Tech Start Date]]&lt;1/1/1990,"",IF(Main[[#This Row],[Class]]="C",WORKDAY(Main[[#This Row],[Tech Start Date]],19),IF(Main[[#This Row],[Class]]="B", WORKDAY(Main[[#This Row],[Tech Start Date]],12),IF(Main[[#This Row],[Class]]="A",WORKDAY(Main[[#This Row],[Tech Start Date]],4),""))))</f>
        <v/>
      </c>
      <c r="O905" s="69" t="str">
        <f>IF(Main[[#This Row],[Tech Start Date]]&lt;1/1/1990,"",IF(Main[[#This Row],[Class]]="C",WORKDAY(Main[[#This Row],[Tech Start Date]],23),IF(Main[[#This Row],[Class]]="B", WORKDAY(Main[[#This Row],[Tech Start Date]],15),IF(Main[[#This Row],[Class]]="A",WORKDAY(Main[[#This Row],[Tech Start Date]],5),""))))</f>
        <v/>
      </c>
      <c r="P905" s="69" t="str">
        <f>IF(Main[[#This Row],[Tech Start Date]]&lt;1/1/1990,"",IF(Main[[#This Row],[Class]]="C",WORKDAY(Main[[#This Row],[Tech Start Date]],28),IF(Main[[#This Row],[Class]]="B", WORKDAY(Main[[#This Row],[Tech Start Date]],19),IF(Main[[#This Row],[Class]]="A",WORKDAY(Main[[#This Row],[Tech Start Date]],9),""))))</f>
        <v/>
      </c>
      <c r="Q905" s="67"/>
      <c r="R905" s="67"/>
      <c r="S905" s="65" t="s">
        <v>17</v>
      </c>
      <c r="T905" s="70" t="s">
        <v>4</v>
      </c>
      <c r="U905" s="65" t="s">
        <v>7</v>
      </c>
      <c r="V905" s="65" t="s">
        <v>1917</v>
      </c>
      <c r="W905" s="65" t="s">
        <v>1919</v>
      </c>
      <c r="X905" s="65" t="s">
        <v>2885</v>
      </c>
      <c r="Y905" s="65" t="s">
        <v>3041</v>
      </c>
      <c r="Z905" s="65" t="s">
        <v>4</v>
      </c>
      <c r="AA905" s="65" t="s">
        <v>2885</v>
      </c>
    </row>
    <row r="906" spans="1:27" ht="17.45" hidden="1" customHeight="1">
      <c r="A906" s="100" t="str">
        <f>IF(priority(Main[[#This Row],[Comments]])&lt;&gt;0, priority(Main[[#This Row],[Comments]]),"")</f>
        <v/>
      </c>
      <c r="B906" s="77" t="s">
        <v>2059</v>
      </c>
      <c r="C906" s="65" t="s">
        <v>4</v>
      </c>
      <c r="D906" s="66" t="s">
        <v>2060</v>
      </c>
      <c r="E906" s="67">
        <v>40758.348310185182</v>
      </c>
      <c r="F906" s="67"/>
      <c r="G906" s="64" t="str">
        <f>IF(stdProdLT(Main[[#This Row],[Comments]])=0.1,"N/A",IF(stdProdLT(Main[[#This Row],[Comments]])=0,"",stdProdLT(Main[[#This Row],[Comments]])))</f>
        <v/>
      </c>
      <c r="H906" s="68" t="str">
        <f>IF(AND(Main[[#This Row],[In Stock Date]]&lt;&gt;"",Main[[#This Row],[Revised Due Date]]&lt;&gt;""),Main[[#This Row],[In Stock Date]]-Main[[#This Row],[Revised Due Date]],"")</f>
        <v/>
      </c>
      <c r="I906" s="65" t="s">
        <v>415</v>
      </c>
      <c r="J906" s="65" t="s">
        <v>28</v>
      </c>
      <c r="K906" s="65" t="s">
        <v>1921</v>
      </c>
      <c r="L906" s="67"/>
      <c r="M906" s="69" t="str">
        <f>IF(Main[[#This Row],[Tech Start Date]]&lt;1/1/1990,"",IF(Main[[#This Row],[Class]]="C",WORKDAY(Main[[#This Row],[Tech Start Date]],9),IF(Main[[#This Row],[Class]]="B", WORKDAY(Main[[#This Row],[Tech Start Date]],6),IF(Main[[#This Row],[Class]]="A",WORKDAY(Main[[#This Row],[Tech Start Date]],2),""))))</f>
        <v/>
      </c>
      <c r="N906" s="69" t="str">
        <f>IF(Main[[#This Row],[Tech Start Date]]&lt;1/1/1990,"",IF(Main[[#This Row],[Class]]="C",WORKDAY(Main[[#This Row],[Tech Start Date]],19),IF(Main[[#This Row],[Class]]="B", WORKDAY(Main[[#This Row],[Tech Start Date]],12),IF(Main[[#This Row],[Class]]="A",WORKDAY(Main[[#This Row],[Tech Start Date]],4),""))))</f>
        <v/>
      </c>
      <c r="O906" s="69" t="str">
        <f>IF(Main[[#This Row],[Tech Start Date]]&lt;1/1/1990,"",IF(Main[[#This Row],[Class]]="C",WORKDAY(Main[[#This Row],[Tech Start Date]],23),IF(Main[[#This Row],[Class]]="B", WORKDAY(Main[[#This Row],[Tech Start Date]],15),IF(Main[[#This Row],[Class]]="A",WORKDAY(Main[[#This Row],[Tech Start Date]],5),""))))</f>
        <v/>
      </c>
      <c r="P906" s="69" t="str">
        <f>IF(Main[[#This Row],[Tech Start Date]]&lt;1/1/1990,"",IF(Main[[#This Row],[Class]]="C",WORKDAY(Main[[#This Row],[Tech Start Date]],28),IF(Main[[#This Row],[Class]]="B", WORKDAY(Main[[#This Row],[Tech Start Date]],19),IF(Main[[#This Row],[Class]]="A",WORKDAY(Main[[#This Row],[Tech Start Date]],9),""))))</f>
        <v/>
      </c>
      <c r="Q906" s="67"/>
      <c r="R906" s="67"/>
      <c r="S906" s="65" t="s">
        <v>6</v>
      </c>
      <c r="T906" s="70" t="s">
        <v>4</v>
      </c>
      <c r="U906" s="65" t="s">
        <v>29</v>
      </c>
      <c r="V906" s="65" t="s">
        <v>1917</v>
      </c>
      <c r="W906" s="65" t="s">
        <v>1916</v>
      </c>
      <c r="X906" s="65" t="s">
        <v>2866</v>
      </c>
      <c r="Y906" s="65" t="s">
        <v>3000</v>
      </c>
      <c r="Z906" s="65" t="s">
        <v>415</v>
      </c>
      <c r="AA906" s="65" t="s">
        <v>2866</v>
      </c>
    </row>
    <row r="907" spans="1:27" ht="17.45" hidden="1" customHeight="1">
      <c r="A907" s="100" t="str">
        <f>IF(priority(Main[[#This Row],[Comments]])&lt;&gt;0, priority(Main[[#This Row],[Comments]]),"")</f>
        <v/>
      </c>
      <c r="B907" s="77" t="s">
        <v>2199</v>
      </c>
      <c r="C907" s="65" t="s">
        <v>4</v>
      </c>
      <c r="D907" s="66" t="s">
        <v>2200</v>
      </c>
      <c r="E907" s="67">
        <v>40784.953148148146</v>
      </c>
      <c r="F907" s="67"/>
      <c r="G907" s="64" t="str">
        <f>IF(stdProdLT(Main[[#This Row],[Comments]])=0.1,"N/A",IF(stdProdLT(Main[[#This Row],[Comments]])=0,"",stdProdLT(Main[[#This Row],[Comments]])))</f>
        <v/>
      </c>
      <c r="H907" s="68" t="str">
        <f>IF(AND(Main[[#This Row],[In Stock Date]]&lt;&gt;"",Main[[#This Row],[Revised Due Date]]&lt;&gt;""),Main[[#This Row],[In Stock Date]]-Main[[#This Row],[Revised Due Date]],"")</f>
        <v/>
      </c>
      <c r="I907" s="65" t="s">
        <v>489</v>
      </c>
      <c r="J907" s="65" t="s">
        <v>70</v>
      </c>
      <c r="K907" s="71" t="s">
        <v>1923</v>
      </c>
      <c r="L907" s="67"/>
      <c r="M907" s="69" t="str">
        <f>IF(Main[[#This Row],[Tech Start Date]]&lt;1/1/1990,"",IF(Main[[#This Row],[Class]]="C",WORKDAY(Main[[#This Row],[Tech Start Date]],9),IF(Main[[#This Row],[Class]]="B", WORKDAY(Main[[#This Row],[Tech Start Date]],6),IF(Main[[#This Row],[Class]]="A",WORKDAY(Main[[#This Row],[Tech Start Date]],2),""))))</f>
        <v/>
      </c>
      <c r="N907" s="69" t="str">
        <f>IF(Main[[#This Row],[Tech Start Date]]&lt;1/1/1990,"",IF(Main[[#This Row],[Class]]="C",WORKDAY(Main[[#This Row],[Tech Start Date]],19),IF(Main[[#This Row],[Class]]="B", WORKDAY(Main[[#This Row],[Tech Start Date]],12),IF(Main[[#This Row],[Class]]="A",WORKDAY(Main[[#This Row],[Tech Start Date]],4),""))))</f>
        <v/>
      </c>
      <c r="O907" s="69" t="str">
        <f>IF(Main[[#This Row],[Tech Start Date]]&lt;1/1/1990,"",IF(Main[[#This Row],[Class]]="C",WORKDAY(Main[[#This Row],[Tech Start Date]],23),IF(Main[[#This Row],[Class]]="B", WORKDAY(Main[[#This Row],[Tech Start Date]],15),IF(Main[[#This Row],[Class]]="A",WORKDAY(Main[[#This Row],[Tech Start Date]],5),""))))</f>
        <v/>
      </c>
      <c r="P907" s="69" t="str">
        <f>IF(Main[[#This Row],[Tech Start Date]]&lt;1/1/1990,"",IF(Main[[#This Row],[Class]]="C",WORKDAY(Main[[#This Row],[Tech Start Date]],28),IF(Main[[#This Row],[Class]]="B", WORKDAY(Main[[#This Row],[Tech Start Date]],19),IF(Main[[#This Row],[Class]]="A",WORKDAY(Main[[#This Row],[Tech Start Date]],9),""))))</f>
        <v/>
      </c>
      <c r="Q907" s="67">
        <v>40847</v>
      </c>
      <c r="R907" s="67"/>
      <c r="S907" s="65" t="s">
        <v>6</v>
      </c>
      <c r="T907" s="70" t="s">
        <v>4</v>
      </c>
      <c r="U907" s="65" t="s">
        <v>29</v>
      </c>
      <c r="V907" s="65" t="s">
        <v>1917</v>
      </c>
      <c r="W907" s="65" t="s">
        <v>1918</v>
      </c>
      <c r="X907" s="65" t="s">
        <v>30</v>
      </c>
      <c r="Y907" s="65" t="s">
        <v>3112</v>
      </c>
      <c r="Z907" s="65" t="s">
        <v>30</v>
      </c>
      <c r="AA907" s="65" t="s">
        <v>3444</v>
      </c>
    </row>
    <row r="908" spans="1:27" ht="17.45" hidden="1" customHeight="1">
      <c r="A908" s="100" t="str">
        <f>IF(priority(Main[[#This Row],[Comments]])&lt;&gt;0, priority(Main[[#This Row],[Comments]]),"")</f>
        <v/>
      </c>
      <c r="B908" s="77" t="s">
        <v>1982</v>
      </c>
      <c r="C908" s="65" t="s">
        <v>4</v>
      </c>
      <c r="D908" s="66" t="s">
        <v>2016</v>
      </c>
      <c r="E908" s="67">
        <v>40737.35056712963</v>
      </c>
      <c r="F908" s="67"/>
      <c r="G908" s="64" t="str">
        <f>IF(stdProdLT(Main[[#This Row],[Comments]])=0.1,"N/A",IF(stdProdLT(Main[[#This Row],[Comments]])=0,"",stdProdLT(Main[[#This Row],[Comments]])))</f>
        <v/>
      </c>
      <c r="H908" s="68" t="str">
        <f>IF(AND(Main[[#This Row],[In Stock Date]]&lt;&gt;"",Main[[#This Row],[Revised Due Date]]&lt;&gt;""),Main[[#This Row],[In Stock Date]]-Main[[#This Row],[Revised Due Date]],"")</f>
        <v/>
      </c>
      <c r="I908" s="65" t="s">
        <v>2014</v>
      </c>
      <c r="J908" s="65" t="s">
        <v>28</v>
      </c>
      <c r="K908" s="65" t="s">
        <v>4</v>
      </c>
      <c r="L908" s="67"/>
      <c r="M908" s="69" t="str">
        <f>IF(Main[[#This Row],[Tech Start Date]]&lt;1/1/1990,"",IF(Main[[#This Row],[Class]]="C",WORKDAY(Main[[#This Row],[Tech Start Date]],9),IF(Main[[#This Row],[Class]]="B", WORKDAY(Main[[#This Row],[Tech Start Date]],6),IF(Main[[#This Row],[Class]]="A",WORKDAY(Main[[#This Row],[Tech Start Date]],2),""))))</f>
        <v/>
      </c>
      <c r="N908" s="69" t="str">
        <f>IF(Main[[#This Row],[Tech Start Date]]&lt;1/1/1990,"",IF(Main[[#This Row],[Class]]="C",WORKDAY(Main[[#This Row],[Tech Start Date]],19),IF(Main[[#This Row],[Class]]="B", WORKDAY(Main[[#This Row],[Tech Start Date]],12),IF(Main[[#This Row],[Class]]="A",WORKDAY(Main[[#This Row],[Tech Start Date]],4),""))))</f>
        <v/>
      </c>
      <c r="O908" s="69" t="str">
        <f>IF(Main[[#This Row],[Tech Start Date]]&lt;1/1/1990,"",IF(Main[[#This Row],[Class]]="C",WORKDAY(Main[[#This Row],[Tech Start Date]],23),IF(Main[[#This Row],[Class]]="B", WORKDAY(Main[[#This Row],[Tech Start Date]],15),IF(Main[[#This Row],[Class]]="A",WORKDAY(Main[[#This Row],[Tech Start Date]],5),""))))</f>
        <v/>
      </c>
      <c r="P908" s="69" t="str">
        <f>IF(Main[[#This Row],[Tech Start Date]]&lt;1/1/1990,"",IF(Main[[#This Row],[Class]]="C",WORKDAY(Main[[#This Row],[Tech Start Date]],28),IF(Main[[#This Row],[Class]]="B", WORKDAY(Main[[#This Row],[Tech Start Date]],19),IF(Main[[#This Row],[Class]]="A",WORKDAY(Main[[#This Row],[Tech Start Date]],9),""))))</f>
        <v/>
      </c>
      <c r="Q908" s="67"/>
      <c r="R908" s="67"/>
      <c r="S908" s="65" t="s">
        <v>17</v>
      </c>
      <c r="T908" s="70" t="s">
        <v>4</v>
      </c>
      <c r="U908" s="65" t="s">
        <v>7</v>
      </c>
      <c r="V908" s="65" t="s">
        <v>1929</v>
      </c>
      <c r="W908" s="65" t="s">
        <v>1918</v>
      </c>
      <c r="X908" s="65" t="s">
        <v>922</v>
      </c>
      <c r="Y908" s="65" t="s">
        <v>3113</v>
      </c>
      <c r="Z908" s="65" t="s">
        <v>2211</v>
      </c>
      <c r="AA908" s="65" t="s">
        <v>3445</v>
      </c>
    </row>
    <row r="909" spans="1:27" ht="17.45" hidden="1" customHeight="1">
      <c r="A909" s="100" t="str">
        <f>IF(priority(Main[[#This Row],[Comments]])&lt;&gt;0, priority(Main[[#This Row],[Comments]]),"")</f>
        <v/>
      </c>
      <c r="B909" s="77" t="s">
        <v>1078</v>
      </c>
      <c r="C909" s="65" t="s">
        <v>4</v>
      </c>
      <c r="D909" s="66" t="s">
        <v>2162</v>
      </c>
      <c r="E909" s="67">
        <v>40696.780057870368</v>
      </c>
      <c r="F909" s="67"/>
      <c r="G909" s="64" t="str">
        <f>IF(stdProdLT(Main[[#This Row],[Comments]])=0.1,"N/A",IF(stdProdLT(Main[[#This Row],[Comments]])=0,"",stdProdLT(Main[[#This Row],[Comments]])))</f>
        <v/>
      </c>
      <c r="H909" s="68" t="str">
        <f>IF(AND(Main[[#This Row],[In Stock Date]]&lt;&gt;"",Main[[#This Row],[Revised Due Date]]&lt;&gt;""),Main[[#This Row],[In Stock Date]]-Main[[#This Row],[Revised Due Date]],"")</f>
        <v/>
      </c>
      <c r="I909" s="65" t="s">
        <v>489</v>
      </c>
      <c r="J909" s="65" t="s">
        <v>52</v>
      </c>
      <c r="K909" s="65" t="s">
        <v>1923</v>
      </c>
      <c r="L909" s="67"/>
      <c r="M909" s="69" t="str">
        <f>IF(Main[[#This Row],[Tech Start Date]]&lt;1/1/1990,"",IF(Main[[#This Row],[Class]]="C",WORKDAY(Main[[#This Row],[Tech Start Date]],9),IF(Main[[#This Row],[Class]]="B", WORKDAY(Main[[#This Row],[Tech Start Date]],6),IF(Main[[#This Row],[Class]]="A",WORKDAY(Main[[#This Row],[Tech Start Date]],2),""))))</f>
        <v/>
      </c>
      <c r="N909" s="69" t="str">
        <f>IF(Main[[#This Row],[Tech Start Date]]&lt;1/1/1990,"",IF(Main[[#This Row],[Class]]="C",WORKDAY(Main[[#This Row],[Tech Start Date]],19),IF(Main[[#This Row],[Class]]="B", WORKDAY(Main[[#This Row],[Tech Start Date]],12),IF(Main[[#This Row],[Class]]="A",WORKDAY(Main[[#This Row],[Tech Start Date]],4),""))))</f>
        <v/>
      </c>
      <c r="O909" s="69" t="str">
        <f>IF(Main[[#This Row],[Tech Start Date]]&lt;1/1/1990,"",IF(Main[[#This Row],[Class]]="C",WORKDAY(Main[[#This Row],[Tech Start Date]],23),IF(Main[[#This Row],[Class]]="B", WORKDAY(Main[[#This Row],[Tech Start Date]],15),IF(Main[[#This Row],[Class]]="A",WORKDAY(Main[[#This Row],[Tech Start Date]],5),""))))</f>
        <v/>
      </c>
      <c r="P909" s="69" t="str">
        <f>IF(Main[[#This Row],[Tech Start Date]]&lt;1/1/1990,"",IF(Main[[#This Row],[Class]]="C",WORKDAY(Main[[#This Row],[Tech Start Date]],28),IF(Main[[#This Row],[Class]]="B", WORKDAY(Main[[#This Row],[Tech Start Date]],19),IF(Main[[#This Row],[Class]]="A",WORKDAY(Main[[#This Row],[Tech Start Date]],9),""))))</f>
        <v/>
      </c>
      <c r="Q909" s="67">
        <v>40753</v>
      </c>
      <c r="R909" s="67"/>
      <c r="S909" s="65" t="s">
        <v>6</v>
      </c>
      <c r="T909" s="70" t="s">
        <v>4</v>
      </c>
      <c r="U909" s="65" t="s">
        <v>29</v>
      </c>
      <c r="V909" s="65" t="s">
        <v>1924</v>
      </c>
      <c r="W909" s="65" t="s">
        <v>1918</v>
      </c>
      <c r="X909" s="65" t="s">
        <v>30</v>
      </c>
      <c r="Y909" s="65" t="s">
        <v>2957</v>
      </c>
      <c r="Z909" s="65" t="s">
        <v>44</v>
      </c>
      <c r="AA909" s="65" t="s">
        <v>30</v>
      </c>
    </row>
    <row r="910" spans="1:27" ht="17.45" hidden="1" customHeight="1">
      <c r="A910" s="100" t="str">
        <f>IF(priority(Main[[#This Row],[Comments]])&lt;&gt;0, priority(Main[[#This Row],[Comments]]),"")</f>
        <v/>
      </c>
      <c r="B910" s="77" t="s">
        <v>1812</v>
      </c>
      <c r="C910" s="65" t="s">
        <v>67</v>
      </c>
      <c r="D910" s="66" t="s">
        <v>861</v>
      </c>
      <c r="E910" s="67">
        <v>39981.506990740738</v>
      </c>
      <c r="F910" s="67"/>
      <c r="G910" s="64" t="str">
        <f>IF(stdProdLT(Main[[#This Row],[Comments]])=0.1,"N/A",IF(stdProdLT(Main[[#This Row],[Comments]])=0,"",stdProdLT(Main[[#This Row],[Comments]])))</f>
        <v/>
      </c>
      <c r="H910" s="68" t="str">
        <f>IF(AND(Main[[#This Row],[In Stock Date]]&lt;&gt;"",Main[[#This Row],[Revised Due Date]]&lt;&gt;""),Main[[#This Row],[In Stock Date]]-Main[[#This Row],[Revised Due Date]],"")</f>
        <v/>
      </c>
      <c r="I910" s="65" t="s">
        <v>852</v>
      </c>
      <c r="J910" s="65" t="s">
        <v>4</v>
      </c>
      <c r="K910" s="65" t="s">
        <v>1927</v>
      </c>
      <c r="L910" s="67"/>
      <c r="M910" s="69" t="str">
        <f>IF(Main[[#This Row],[Tech Start Date]]&lt;1/1/1990,"",IF(Main[[#This Row],[Class]]="C",WORKDAY(Main[[#This Row],[Tech Start Date]],9),IF(Main[[#This Row],[Class]]="B", WORKDAY(Main[[#This Row],[Tech Start Date]],6),IF(Main[[#This Row],[Class]]="A",WORKDAY(Main[[#This Row],[Tech Start Date]],2),""))))</f>
        <v/>
      </c>
      <c r="N910" s="69" t="str">
        <f>IF(Main[[#This Row],[Tech Start Date]]&lt;1/1/1990,"",IF(Main[[#This Row],[Class]]="C",WORKDAY(Main[[#This Row],[Tech Start Date]],19),IF(Main[[#This Row],[Class]]="B", WORKDAY(Main[[#This Row],[Tech Start Date]],12),IF(Main[[#This Row],[Class]]="A",WORKDAY(Main[[#This Row],[Tech Start Date]],4),""))))</f>
        <v/>
      </c>
      <c r="O910" s="69" t="str">
        <f>IF(Main[[#This Row],[Tech Start Date]]&lt;1/1/1990,"",IF(Main[[#This Row],[Class]]="C",WORKDAY(Main[[#This Row],[Tech Start Date]],23),IF(Main[[#This Row],[Class]]="B", WORKDAY(Main[[#This Row],[Tech Start Date]],15),IF(Main[[#This Row],[Class]]="A",WORKDAY(Main[[#This Row],[Tech Start Date]],5),""))))</f>
        <v/>
      </c>
      <c r="P910" s="69" t="str">
        <f>IF(Main[[#This Row],[Tech Start Date]]&lt;1/1/1990,"",IF(Main[[#This Row],[Class]]="C",WORKDAY(Main[[#This Row],[Tech Start Date]],28),IF(Main[[#This Row],[Class]]="B", WORKDAY(Main[[#This Row],[Tech Start Date]],19),IF(Main[[#This Row],[Class]]="A",WORKDAY(Main[[#This Row],[Tech Start Date]],9),""))))</f>
        <v/>
      </c>
      <c r="Q910" s="67">
        <v>40142</v>
      </c>
      <c r="R910" s="67">
        <v>40259</v>
      </c>
      <c r="S910" s="65" t="s">
        <v>17</v>
      </c>
      <c r="T910" s="70" t="s">
        <v>4</v>
      </c>
      <c r="U910" s="65" t="s">
        <v>29</v>
      </c>
      <c r="V910" s="65" t="s">
        <v>1924</v>
      </c>
      <c r="W910" s="65" t="s">
        <v>1919</v>
      </c>
      <c r="X910" s="65" t="s">
        <v>2820</v>
      </c>
      <c r="Y910" s="65" t="s">
        <v>3028</v>
      </c>
      <c r="Z910" s="65" t="s">
        <v>81</v>
      </c>
      <c r="AA910" s="65" t="s">
        <v>3410</v>
      </c>
    </row>
    <row r="911" spans="1:27" ht="17.45" hidden="1" customHeight="1">
      <c r="A911" s="100" t="str">
        <f>IF(priority(Main[[#This Row],[Comments]])&lt;&gt;0, priority(Main[[#This Row],[Comments]]),"")</f>
        <v/>
      </c>
      <c r="B911" s="77" t="s">
        <v>2252</v>
      </c>
      <c r="C911" s="65" t="s">
        <v>4</v>
      </c>
      <c r="D911" s="66" t="s">
        <v>2253</v>
      </c>
      <c r="E911" s="67">
        <v>40806.34847222222</v>
      </c>
      <c r="F911" s="67"/>
      <c r="G911" s="64" t="str">
        <f>IF(stdProdLT(Main[[#This Row],[Comments]])=0.1,"N/A",IF(stdProdLT(Main[[#This Row],[Comments]])=0,"",stdProdLT(Main[[#This Row],[Comments]])))</f>
        <v/>
      </c>
      <c r="H911" s="68" t="str">
        <f>IF(AND(Main[[#This Row],[In Stock Date]]&lt;&gt;"",Main[[#This Row],[Revised Due Date]]&lt;&gt;""),Main[[#This Row],[In Stock Date]]-Main[[#This Row],[Revised Due Date]],"")</f>
        <v/>
      </c>
      <c r="I911" s="65" t="s">
        <v>4</v>
      </c>
      <c r="J911" s="65" t="s">
        <v>4</v>
      </c>
      <c r="K911" s="71" t="s">
        <v>4</v>
      </c>
      <c r="L911" s="67"/>
      <c r="M911" s="69" t="str">
        <f>IF(Main[[#This Row],[Tech Start Date]]&lt;1/1/1990,"",IF(Main[[#This Row],[Class]]="C",WORKDAY(Main[[#This Row],[Tech Start Date]],9),IF(Main[[#This Row],[Class]]="B", WORKDAY(Main[[#This Row],[Tech Start Date]],6),IF(Main[[#This Row],[Class]]="A",WORKDAY(Main[[#This Row],[Tech Start Date]],2),""))))</f>
        <v/>
      </c>
      <c r="N911" s="69" t="str">
        <f>IF(Main[[#This Row],[Tech Start Date]]&lt;1/1/1990,"",IF(Main[[#This Row],[Class]]="C",WORKDAY(Main[[#This Row],[Tech Start Date]],19),IF(Main[[#This Row],[Class]]="B", WORKDAY(Main[[#This Row],[Tech Start Date]],12),IF(Main[[#This Row],[Class]]="A",WORKDAY(Main[[#This Row],[Tech Start Date]],4),""))))</f>
        <v/>
      </c>
      <c r="O911" s="69" t="str">
        <f>IF(Main[[#This Row],[Tech Start Date]]&lt;1/1/1990,"",IF(Main[[#This Row],[Class]]="C",WORKDAY(Main[[#This Row],[Tech Start Date]],23),IF(Main[[#This Row],[Class]]="B", WORKDAY(Main[[#This Row],[Tech Start Date]],15),IF(Main[[#This Row],[Class]]="A",WORKDAY(Main[[#This Row],[Tech Start Date]],5),""))))</f>
        <v/>
      </c>
      <c r="P911" s="69" t="str">
        <f>IF(Main[[#This Row],[Tech Start Date]]&lt;1/1/1990,"",IF(Main[[#This Row],[Class]]="C",WORKDAY(Main[[#This Row],[Tech Start Date]],28),IF(Main[[#This Row],[Class]]="B", WORKDAY(Main[[#This Row],[Tech Start Date]],19),IF(Main[[#This Row],[Class]]="A",WORKDAY(Main[[#This Row],[Tech Start Date]],9),""))))</f>
        <v/>
      </c>
      <c r="Q911" s="67">
        <v>40820</v>
      </c>
      <c r="R911" s="67"/>
      <c r="S911" s="65" t="s">
        <v>6</v>
      </c>
      <c r="T911" s="70" t="s">
        <v>4</v>
      </c>
      <c r="U911" s="65" t="s">
        <v>7</v>
      </c>
      <c r="V911" s="65" t="s">
        <v>1914</v>
      </c>
      <c r="W911" s="65" t="s">
        <v>4</v>
      </c>
      <c r="X911" s="65" t="s">
        <v>2851</v>
      </c>
      <c r="Y911" s="65" t="s">
        <v>2986</v>
      </c>
      <c r="Z911" s="65" t="s">
        <v>4</v>
      </c>
      <c r="AA911" s="65" t="s">
        <v>2851</v>
      </c>
    </row>
    <row r="912" spans="1:27" ht="17.45" hidden="1" customHeight="1">
      <c r="A912" s="100" t="str">
        <f>IF(priority(Main[[#This Row],[Comments]])&lt;&gt;0, priority(Main[[#This Row],[Comments]]),"")</f>
        <v/>
      </c>
      <c r="B912" s="77" t="s">
        <v>2121</v>
      </c>
      <c r="C912" s="65" t="s">
        <v>4</v>
      </c>
      <c r="D912" s="66" t="s">
        <v>2122</v>
      </c>
      <c r="E912" s="67">
        <v>40764.689583333333</v>
      </c>
      <c r="F912" s="67"/>
      <c r="G912" s="64" t="str">
        <f>IF(stdProdLT(Main[[#This Row],[Comments]])=0.1,"N/A",IF(stdProdLT(Main[[#This Row],[Comments]])=0,"",stdProdLT(Main[[#This Row],[Comments]])))</f>
        <v/>
      </c>
      <c r="H912" s="68" t="str">
        <f>IF(AND(Main[[#This Row],[In Stock Date]]&lt;&gt;"",Main[[#This Row],[Revised Due Date]]&lt;&gt;""),Main[[#This Row],[In Stock Date]]-Main[[#This Row],[Revised Due Date]],"")</f>
        <v/>
      </c>
      <c r="I912" s="65" t="s">
        <v>877</v>
      </c>
      <c r="J912" s="65" t="s">
        <v>4</v>
      </c>
      <c r="K912" s="65" t="s">
        <v>4</v>
      </c>
      <c r="L912" s="67"/>
      <c r="M912" s="69" t="str">
        <f>IF(Main[[#This Row],[Tech Start Date]]&lt;1/1/1990,"",IF(Main[[#This Row],[Class]]="C",WORKDAY(Main[[#This Row],[Tech Start Date]],9),IF(Main[[#This Row],[Class]]="B", WORKDAY(Main[[#This Row],[Tech Start Date]],6),IF(Main[[#This Row],[Class]]="A",WORKDAY(Main[[#This Row],[Tech Start Date]],2),""))))</f>
        <v/>
      </c>
      <c r="N912" s="69" t="str">
        <f>IF(Main[[#This Row],[Tech Start Date]]&lt;1/1/1990,"",IF(Main[[#This Row],[Class]]="C",WORKDAY(Main[[#This Row],[Tech Start Date]],19),IF(Main[[#This Row],[Class]]="B", WORKDAY(Main[[#This Row],[Tech Start Date]],12),IF(Main[[#This Row],[Class]]="A",WORKDAY(Main[[#This Row],[Tech Start Date]],4),""))))</f>
        <v/>
      </c>
      <c r="O912" s="69" t="str">
        <f>IF(Main[[#This Row],[Tech Start Date]]&lt;1/1/1990,"",IF(Main[[#This Row],[Class]]="C",WORKDAY(Main[[#This Row],[Tech Start Date]],23),IF(Main[[#This Row],[Class]]="B", WORKDAY(Main[[#This Row],[Tech Start Date]],15),IF(Main[[#This Row],[Class]]="A",WORKDAY(Main[[#This Row],[Tech Start Date]],5),""))))</f>
        <v/>
      </c>
      <c r="P912" s="69" t="str">
        <f>IF(Main[[#This Row],[Tech Start Date]]&lt;1/1/1990,"",IF(Main[[#This Row],[Class]]="C",WORKDAY(Main[[#This Row],[Tech Start Date]],28),IF(Main[[#This Row],[Class]]="B", WORKDAY(Main[[#This Row],[Tech Start Date]],19),IF(Main[[#This Row],[Class]]="A",WORKDAY(Main[[#This Row],[Tech Start Date]],9),""))))</f>
        <v/>
      </c>
      <c r="Q912" s="67"/>
      <c r="R912" s="67"/>
      <c r="S912" s="65" t="s">
        <v>6</v>
      </c>
      <c r="T912" s="70" t="s">
        <v>4</v>
      </c>
      <c r="U912" s="65" t="s">
        <v>7</v>
      </c>
      <c r="V912" s="65" t="s">
        <v>1914</v>
      </c>
      <c r="W912" s="65" t="s">
        <v>1916</v>
      </c>
      <c r="X912" s="65" t="s">
        <v>306</v>
      </c>
      <c r="Y912" s="65" t="s">
        <v>4</v>
      </c>
      <c r="Z912" s="65" t="s">
        <v>877</v>
      </c>
      <c r="AA912" s="65" t="s">
        <v>4</v>
      </c>
    </row>
    <row r="913" spans="1:27" ht="17.45" hidden="1" customHeight="1">
      <c r="A913" s="100" t="str">
        <f>IF(priority(Main[[#This Row],[Comments]])&lt;&gt;0, priority(Main[[#This Row],[Comments]]),"")</f>
        <v/>
      </c>
      <c r="B913" s="77" t="s">
        <v>1076</v>
      </c>
      <c r="C913" s="65" t="s">
        <v>4</v>
      </c>
      <c r="D913" s="66" t="s">
        <v>2233</v>
      </c>
      <c r="E913" s="67">
        <v>40659.528229166666</v>
      </c>
      <c r="F913" s="67"/>
      <c r="G913" s="64" t="str">
        <f>IF(stdProdLT(Main[[#This Row],[Comments]])=0.1,"N/A",IF(stdProdLT(Main[[#This Row],[Comments]])=0,"",stdProdLT(Main[[#This Row],[Comments]])))</f>
        <v/>
      </c>
      <c r="H913" s="68" t="str">
        <f>IF(AND(Main[[#This Row],[In Stock Date]]&lt;&gt;"",Main[[#This Row],[Revised Due Date]]&lt;&gt;""),Main[[#This Row],[In Stock Date]]-Main[[#This Row],[Revised Due Date]],"")</f>
        <v/>
      </c>
      <c r="I913" s="65" t="s">
        <v>102</v>
      </c>
      <c r="J913" s="65" t="s">
        <v>51</v>
      </c>
      <c r="K913" s="65" t="s">
        <v>1923</v>
      </c>
      <c r="L913" s="67"/>
      <c r="M913" s="69" t="str">
        <f>IF(Main[[#This Row],[Tech Start Date]]&lt;1/1/1990,"",IF(Main[[#This Row],[Class]]="C",WORKDAY(Main[[#This Row],[Tech Start Date]],9),IF(Main[[#This Row],[Class]]="B", WORKDAY(Main[[#This Row],[Tech Start Date]],6),IF(Main[[#This Row],[Class]]="A",WORKDAY(Main[[#This Row],[Tech Start Date]],2),""))))</f>
        <v/>
      </c>
      <c r="N913" s="69" t="str">
        <f>IF(Main[[#This Row],[Tech Start Date]]&lt;1/1/1990,"",IF(Main[[#This Row],[Class]]="C",WORKDAY(Main[[#This Row],[Tech Start Date]],19),IF(Main[[#This Row],[Class]]="B", WORKDAY(Main[[#This Row],[Tech Start Date]],12),IF(Main[[#This Row],[Class]]="A",WORKDAY(Main[[#This Row],[Tech Start Date]],4),""))))</f>
        <v/>
      </c>
      <c r="O913" s="69" t="str">
        <f>IF(Main[[#This Row],[Tech Start Date]]&lt;1/1/1990,"",IF(Main[[#This Row],[Class]]="C",WORKDAY(Main[[#This Row],[Tech Start Date]],23),IF(Main[[#This Row],[Class]]="B", WORKDAY(Main[[#This Row],[Tech Start Date]],15),IF(Main[[#This Row],[Class]]="A",WORKDAY(Main[[#This Row],[Tech Start Date]],5),""))))</f>
        <v/>
      </c>
      <c r="P913" s="69" t="str">
        <f>IF(Main[[#This Row],[Tech Start Date]]&lt;1/1/1990,"",IF(Main[[#This Row],[Class]]="C",WORKDAY(Main[[#This Row],[Tech Start Date]],28),IF(Main[[#This Row],[Class]]="B", WORKDAY(Main[[#This Row],[Tech Start Date]],19),IF(Main[[#This Row],[Class]]="A",WORKDAY(Main[[#This Row],[Tech Start Date]],9),""))))</f>
        <v/>
      </c>
      <c r="Q913" s="67"/>
      <c r="R913" s="67"/>
      <c r="S913" s="65" t="s">
        <v>6</v>
      </c>
      <c r="T913" s="70" t="s">
        <v>4</v>
      </c>
      <c r="U913" s="65" t="s">
        <v>29</v>
      </c>
      <c r="V913" s="65" t="s">
        <v>1917</v>
      </c>
      <c r="W913" s="65" t="s">
        <v>1918</v>
      </c>
      <c r="X913" s="65" t="s">
        <v>102</v>
      </c>
      <c r="Y913" s="65" t="s">
        <v>3114</v>
      </c>
      <c r="Z913" s="65" t="s">
        <v>306</v>
      </c>
      <c r="AA913" s="65" t="s">
        <v>3446</v>
      </c>
    </row>
    <row r="914" spans="1:27" ht="17.45" hidden="1" customHeight="1">
      <c r="A914" s="100" t="str">
        <f>IF(priority(Main[[#This Row],[Comments]])&lt;&gt;0, priority(Main[[#This Row],[Comments]]),"")</f>
        <v/>
      </c>
      <c r="B914" s="77" t="s">
        <v>3250</v>
      </c>
      <c r="C914" s="65" t="s">
        <v>4</v>
      </c>
      <c r="D914" s="66" t="s">
        <v>3623</v>
      </c>
      <c r="E914" s="67">
        <v>40935.463946759257</v>
      </c>
      <c r="F914" s="67"/>
      <c r="G914" s="64" t="str">
        <f>IF(stdProdLT(Main[[#This Row],[Comments]])=0.1,"N/A",IF(stdProdLT(Main[[#This Row],[Comments]])=0,"",stdProdLT(Main[[#This Row],[Comments]])))</f>
        <v/>
      </c>
      <c r="H914" s="68" t="str">
        <f>IF(AND(Main[[#This Row],[In Stock Date]]&lt;&gt;"",Main[[#This Row],[Revised Due Date]]&lt;&gt;""),Main[[#This Row],[In Stock Date]]-Main[[#This Row],[Revised Due Date]],"")</f>
        <v/>
      </c>
      <c r="I914" s="65" t="s">
        <v>69</v>
      </c>
      <c r="J914" s="65" t="s">
        <v>70</v>
      </c>
      <c r="K914" s="65" t="s">
        <v>1923</v>
      </c>
      <c r="L914" s="67"/>
      <c r="M914" s="69" t="str">
        <f>IF(Main[[#This Row],[Tech Start Date]]&lt;1/1/1990,"",IF(Main[[#This Row],[Class]]="C",WORKDAY(Main[[#This Row],[Tech Start Date]],9),IF(Main[[#This Row],[Class]]="B", WORKDAY(Main[[#This Row],[Tech Start Date]],6),IF(Main[[#This Row],[Class]]="A",WORKDAY(Main[[#This Row],[Tech Start Date]],2),""))))</f>
        <v/>
      </c>
      <c r="N914" s="69" t="str">
        <f>IF(Main[[#This Row],[Tech Start Date]]&lt;1/1/1990,"",IF(Main[[#This Row],[Class]]="C",WORKDAY(Main[[#This Row],[Tech Start Date]],19),IF(Main[[#This Row],[Class]]="B", WORKDAY(Main[[#This Row],[Tech Start Date]],12),IF(Main[[#This Row],[Class]]="A",WORKDAY(Main[[#This Row],[Tech Start Date]],4),""))))</f>
        <v/>
      </c>
      <c r="O914" s="69" t="str">
        <f>IF(Main[[#This Row],[Tech Start Date]]&lt;1/1/1990,"",IF(Main[[#This Row],[Class]]="C",WORKDAY(Main[[#This Row],[Tech Start Date]],23),IF(Main[[#This Row],[Class]]="B", WORKDAY(Main[[#This Row],[Tech Start Date]],15),IF(Main[[#This Row],[Class]]="A",WORKDAY(Main[[#This Row],[Tech Start Date]],5),""))))</f>
        <v/>
      </c>
      <c r="P914" s="69" t="str">
        <f>IF(Main[[#This Row],[Tech Start Date]]&lt;1/1/1990,"",IF(Main[[#This Row],[Class]]="C",WORKDAY(Main[[#This Row],[Tech Start Date]],28),IF(Main[[#This Row],[Class]]="B", WORKDAY(Main[[#This Row],[Tech Start Date]],19),IF(Main[[#This Row],[Class]]="A",WORKDAY(Main[[#This Row],[Tech Start Date]],9),""))))</f>
        <v/>
      </c>
      <c r="Q914" s="67">
        <v>40999</v>
      </c>
      <c r="R914" s="67"/>
      <c r="S914" s="65" t="s">
        <v>6</v>
      </c>
      <c r="T914" s="70" t="s">
        <v>4</v>
      </c>
      <c r="U914" s="65" t="s">
        <v>29</v>
      </c>
      <c r="V914" s="65" t="s">
        <v>1924</v>
      </c>
      <c r="W914" s="65" t="s">
        <v>1918</v>
      </c>
      <c r="X914" s="65" t="s">
        <v>2841</v>
      </c>
      <c r="Y914" s="65" t="s">
        <v>2971</v>
      </c>
      <c r="Z914" s="65" t="s">
        <v>30</v>
      </c>
      <c r="AA914" s="65" t="s">
        <v>2841</v>
      </c>
    </row>
    <row r="915" spans="1:27" ht="17.45" hidden="1" customHeight="1">
      <c r="A915" s="100" t="str">
        <f>IF(priority(Main[[#This Row],[Comments]])&lt;&gt;0, priority(Main[[#This Row],[Comments]]),"")</f>
        <v/>
      </c>
      <c r="B915" s="77" t="s">
        <v>2494</v>
      </c>
      <c r="C915" s="65" t="s">
        <v>47</v>
      </c>
      <c r="D915" s="66" t="s">
        <v>3332</v>
      </c>
      <c r="E915" s="67">
        <v>40865.812858796293</v>
      </c>
      <c r="F915" s="67"/>
      <c r="G915" s="64" t="str">
        <f>IF(stdProdLT(Main[[#This Row],[Comments]])=0.1,"N/A",IF(stdProdLT(Main[[#This Row],[Comments]])=0,"",stdProdLT(Main[[#This Row],[Comments]])))</f>
        <v/>
      </c>
      <c r="H915" s="68" t="str">
        <f>IF(AND(Main[[#This Row],[In Stock Date]]&lt;&gt;"",Main[[#This Row],[Revised Due Date]]&lt;&gt;""),Main[[#This Row],[In Stock Date]]-Main[[#This Row],[Revised Due Date]],"")</f>
        <v/>
      </c>
      <c r="I915" s="65" t="s">
        <v>4</v>
      </c>
      <c r="J915" s="65" t="s">
        <v>4</v>
      </c>
      <c r="K915" s="65" t="s">
        <v>4</v>
      </c>
      <c r="L915" s="67"/>
      <c r="M915" s="69" t="str">
        <f>IF(Main[[#This Row],[Tech Start Date]]&lt;1/1/1990,"",IF(Main[[#This Row],[Class]]="C",WORKDAY(Main[[#This Row],[Tech Start Date]],9),IF(Main[[#This Row],[Class]]="B", WORKDAY(Main[[#This Row],[Tech Start Date]],6),IF(Main[[#This Row],[Class]]="A",WORKDAY(Main[[#This Row],[Tech Start Date]],2),""))))</f>
        <v/>
      </c>
      <c r="N915" s="69" t="str">
        <f>IF(Main[[#This Row],[Tech Start Date]]&lt;1/1/1990,"",IF(Main[[#This Row],[Class]]="C",WORKDAY(Main[[#This Row],[Tech Start Date]],19),IF(Main[[#This Row],[Class]]="B", WORKDAY(Main[[#This Row],[Tech Start Date]],12),IF(Main[[#This Row],[Class]]="A",WORKDAY(Main[[#This Row],[Tech Start Date]],4),""))))</f>
        <v/>
      </c>
      <c r="O915" s="69" t="str">
        <f>IF(Main[[#This Row],[Tech Start Date]]&lt;1/1/1990,"",IF(Main[[#This Row],[Class]]="C",WORKDAY(Main[[#This Row],[Tech Start Date]],23),IF(Main[[#This Row],[Class]]="B", WORKDAY(Main[[#This Row],[Tech Start Date]],15),IF(Main[[#This Row],[Class]]="A",WORKDAY(Main[[#This Row],[Tech Start Date]],5),""))))</f>
        <v/>
      </c>
      <c r="P915" s="69" t="str">
        <f>IF(Main[[#This Row],[Tech Start Date]]&lt;1/1/1990,"",IF(Main[[#This Row],[Class]]="C",WORKDAY(Main[[#This Row],[Tech Start Date]],28),IF(Main[[#This Row],[Class]]="B", WORKDAY(Main[[#This Row],[Tech Start Date]],19),IF(Main[[#This Row],[Class]]="A",WORKDAY(Main[[#This Row],[Tech Start Date]],9),""))))</f>
        <v/>
      </c>
      <c r="Q915" s="67">
        <v>40906</v>
      </c>
      <c r="R915" s="67"/>
      <c r="S915" s="65" t="s">
        <v>6</v>
      </c>
      <c r="T915" s="70" t="s">
        <v>4</v>
      </c>
      <c r="U915" s="65" t="s">
        <v>29</v>
      </c>
      <c r="V915" s="65" t="s">
        <v>2283</v>
      </c>
      <c r="W915" s="65" t="s">
        <v>4</v>
      </c>
      <c r="X915" s="65" t="s">
        <v>2865</v>
      </c>
      <c r="Y915" s="65" t="s">
        <v>3010</v>
      </c>
      <c r="Z915" s="65" t="s">
        <v>4</v>
      </c>
      <c r="AA915" s="65" t="s">
        <v>2865</v>
      </c>
    </row>
    <row r="916" spans="1:27" ht="17.45" hidden="1" customHeight="1">
      <c r="A916" s="100" t="str">
        <f>IF(priority(Main[[#This Row],[Comments]])&lt;&gt;0, priority(Main[[#This Row],[Comments]]),"")</f>
        <v/>
      </c>
      <c r="B916" s="77" t="s">
        <v>1513</v>
      </c>
      <c r="C916" s="65" t="s">
        <v>4</v>
      </c>
      <c r="D916" s="66" t="s">
        <v>589</v>
      </c>
      <c r="E916" s="67"/>
      <c r="F916" s="67"/>
      <c r="G916" s="64" t="str">
        <f>IF(stdProdLT(Main[[#This Row],[Comments]])=0.1,"N/A",IF(stdProdLT(Main[[#This Row],[Comments]])=0,"",stdProdLT(Main[[#This Row],[Comments]])))</f>
        <v/>
      </c>
      <c r="H916" s="68" t="str">
        <f>IF(AND(Main[[#This Row],[In Stock Date]]&lt;&gt;"",Main[[#This Row],[Revised Due Date]]&lt;&gt;""),Main[[#This Row],[In Stock Date]]-Main[[#This Row],[Revised Due Date]],"")</f>
        <v/>
      </c>
      <c r="I916" s="65" t="s">
        <v>306</v>
      </c>
      <c r="J916" s="65" t="s">
        <v>28</v>
      </c>
      <c r="K916" s="65" t="s">
        <v>4</v>
      </c>
      <c r="L916" s="67"/>
      <c r="M916" s="69" t="str">
        <f>IF(Main[[#This Row],[Tech Start Date]]&lt;1/1/1990,"",IF(Main[[#This Row],[Class]]="C",WORKDAY(Main[[#This Row],[Tech Start Date]],9),IF(Main[[#This Row],[Class]]="B", WORKDAY(Main[[#This Row],[Tech Start Date]],6),IF(Main[[#This Row],[Class]]="A",WORKDAY(Main[[#This Row],[Tech Start Date]],2),""))))</f>
        <v/>
      </c>
      <c r="N916" s="69" t="str">
        <f>IF(Main[[#This Row],[Tech Start Date]]&lt;1/1/1990,"",IF(Main[[#This Row],[Class]]="C",WORKDAY(Main[[#This Row],[Tech Start Date]],19),IF(Main[[#This Row],[Class]]="B", WORKDAY(Main[[#This Row],[Tech Start Date]],12),IF(Main[[#This Row],[Class]]="A",WORKDAY(Main[[#This Row],[Tech Start Date]],4),""))))</f>
        <v/>
      </c>
      <c r="O916" s="69" t="str">
        <f>IF(Main[[#This Row],[Tech Start Date]]&lt;1/1/1990,"",IF(Main[[#This Row],[Class]]="C",WORKDAY(Main[[#This Row],[Tech Start Date]],23),IF(Main[[#This Row],[Class]]="B", WORKDAY(Main[[#This Row],[Tech Start Date]],15),IF(Main[[#This Row],[Class]]="A",WORKDAY(Main[[#This Row],[Tech Start Date]],5),""))))</f>
        <v/>
      </c>
      <c r="P916" s="69" t="str">
        <f>IF(Main[[#This Row],[Tech Start Date]]&lt;1/1/1990,"",IF(Main[[#This Row],[Class]]="C",WORKDAY(Main[[#This Row],[Tech Start Date]],28),IF(Main[[#This Row],[Class]]="B", WORKDAY(Main[[#This Row],[Tech Start Date]],19),IF(Main[[#This Row],[Class]]="A",WORKDAY(Main[[#This Row],[Tech Start Date]],9),""))))</f>
        <v/>
      </c>
      <c r="Q916" s="67"/>
      <c r="R916" s="67"/>
      <c r="S916" s="65" t="s">
        <v>6</v>
      </c>
      <c r="T916" s="70" t="s">
        <v>4</v>
      </c>
      <c r="U916" s="65" t="s">
        <v>14</v>
      </c>
      <c r="V916" s="65" t="s">
        <v>1917</v>
      </c>
      <c r="W916" s="65" t="s">
        <v>1916</v>
      </c>
      <c r="X916" s="65" t="s">
        <v>306</v>
      </c>
      <c r="Y916" s="65" t="s">
        <v>3104</v>
      </c>
      <c r="Z916" s="65" t="s">
        <v>306</v>
      </c>
      <c r="AA916" s="65" t="s">
        <v>306</v>
      </c>
    </row>
    <row r="917" spans="1:27" ht="17.45" hidden="1" customHeight="1">
      <c r="A917" s="100" t="str">
        <f>IF(priority(Main[[#This Row],[Comments]])&lt;&gt;0, priority(Main[[#This Row],[Comments]]),"")</f>
        <v/>
      </c>
      <c r="B917" s="77" t="s">
        <v>1767</v>
      </c>
      <c r="C917" s="65" t="s">
        <v>4</v>
      </c>
      <c r="D917" s="66" t="s">
        <v>812</v>
      </c>
      <c r="E917" s="67"/>
      <c r="F917" s="67"/>
      <c r="G917" s="64" t="str">
        <f>IF(stdProdLT(Main[[#This Row],[Comments]])=0.1,"N/A",IF(stdProdLT(Main[[#This Row],[Comments]])=0,"",stdProdLT(Main[[#This Row],[Comments]])))</f>
        <v/>
      </c>
      <c r="H917" s="68" t="str">
        <f>IF(AND(Main[[#This Row],[In Stock Date]]&lt;&gt;"",Main[[#This Row],[Revised Due Date]]&lt;&gt;""),Main[[#This Row],[In Stock Date]]-Main[[#This Row],[Revised Due Date]],"")</f>
        <v/>
      </c>
      <c r="I917" s="65" t="s">
        <v>4</v>
      </c>
      <c r="J917" s="65" t="s">
        <v>4</v>
      </c>
      <c r="K917" s="65" t="s">
        <v>4</v>
      </c>
      <c r="L917" s="67"/>
      <c r="M917" s="69" t="str">
        <f>IF(Main[[#This Row],[Tech Start Date]]&lt;1/1/1990,"",IF(Main[[#This Row],[Class]]="C",WORKDAY(Main[[#This Row],[Tech Start Date]],9),IF(Main[[#This Row],[Class]]="B", WORKDAY(Main[[#This Row],[Tech Start Date]],6),IF(Main[[#This Row],[Class]]="A",WORKDAY(Main[[#This Row],[Tech Start Date]],2),""))))</f>
        <v/>
      </c>
      <c r="N917" s="69" t="str">
        <f>IF(Main[[#This Row],[Tech Start Date]]&lt;1/1/1990,"",IF(Main[[#This Row],[Class]]="C",WORKDAY(Main[[#This Row],[Tech Start Date]],19),IF(Main[[#This Row],[Class]]="B", WORKDAY(Main[[#This Row],[Tech Start Date]],12),IF(Main[[#This Row],[Class]]="A",WORKDAY(Main[[#This Row],[Tech Start Date]],4),""))))</f>
        <v/>
      </c>
      <c r="O917" s="69" t="str">
        <f>IF(Main[[#This Row],[Tech Start Date]]&lt;1/1/1990,"",IF(Main[[#This Row],[Class]]="C",WORKDAY(Main[[#This Row],[Tech Start Date]],23),IF(Main[[#This Row],[Class]]="B", WORKDAY(Main[[#This Row],[Tech Start Date]],15),IF(Main[[#This Row],[Class]]="A",WORKDAY(Main[[#This Row],[Tech Start Date]],5),""))))</f>
        <v/>
      </c>
      <c r="P917" s="69" t="str">
        <f>IF(Main[[#This Row],[Tech Start Date]]&lt;1/1/1990,"",IF(Main[[#This Row],[Class]]="C",WORKDAY(Main[[#This Row],[Tech Start Date]],28),IF(Main[[#This Row],[Class]]="B", WORKDAY(Main[[#This Row],[Tech Start Date]],19),IF(Main[[#This Row],[Class]]="A",WORKDAY(Main[[#This Row],[Tech Start Date]],9),""))))</f>
        <v/>
      </c>
      <c r="Q917" s="67">
        <v>40209</v>
      </c>
      <c r="R917" s="67"/>
      <c r="S917" s="65" t="s">
        <v>6</v>
      </c>
      <c r="T917" s="70" t="s">
        <v>4</v>
      </c>
      <c r="U917" s="65" t="s">
        <v>14</v>
      </c>
      <c r="V917" s="65" t="s">
        <v>1917</v>
      </c>
      <c r="W917" s="65" t="s">
        <v>4</v>
      </c>
      <c r="X917" s="65" t="s">
        <v>2887</v>
      </c>
      <c r="Y917" s="65" t="s">
        <v>3043</v>
      </c>
      <c r="Z917" s="65" t="s">
        <v>4</v>
      </c>
      <c r="AA917" s="65" t="s">
        <v>2887</v>
      </c>
    </row>
    <row r="918" spans="1:27" ht="17.45" hidden="1" customHeight="1">
      <c r="A918" s="100" t="str">
        <f>IF(priority(Main[[#This Row],[Comments]])&lt;&gt;0, priority(Main[[#This Row],[Comments]]),"")</f>
        <v/>
      </c>
      <c r="B918" s="77" t="s">
        <v>1768</v>
      </c>
      <c r="C918" s="65" t="s">
        <v>813</v>
      </c>
      <c r="D918" s="66" t="s">
        <v>814</v>
      </c>
      <c r="E918" s="67"/>
      <c r="F918" s="67">
        <v>40678</v>
      </c>
      <c r="G918" s="64" t="str">
        <f>IF(stdProdLT(Main[[#This Row],[Comments]])=0.1,"N/A",IF(stdProdLT(Main[[#This Row],[Comments]])=0,"",stdProdLT(Main[[#This Row],[Comments]])))</f>
        <v/>
      </c>
      <c r="H918" s="68" t="str">
        <f>IF(AND(Main[[#This Row],[In Stock Date]]&lt;&gt;"",Main[[#This Row],[Revised Due Date]]&lt;&gt;""),Main[[#This Row],[In Stock Date]]-Main[[#This Row],[Revised Due Date]],"")</f>
        <v/>
      </c>
      <c r="I918" s="65" t="s">
        <v>4</v>
      </c>
      <c r="J918" s="65" t="s">
        <v>4</v>
      </c>
      <c r="K918" s="71" t="s">
        <v>4</v>
      </c>
      <c r="L918" s="67"/>
      <c r="M918" s="69" t="str">
        <f>IF(Main[[#This Row],[Tech Start Date]]&lt;1/1/1990,"",IF(Main[[#This Row],[Class]]="C",WORKDAY(Main[[#This Row],[Tech Start Date]],9),IF(Main[[#This Row],[Class]]="B", WORKDAY(Main[[#This Row],[Tech Start Date]],6),IF(Main[[#This Row],[Class]]="A",WORKDAY(Main[[#This Row],[Tech Start Date]],2),""))))</f>
        <v/>
      </c>
      <c r="N918" s="69" t="str">
        <f>IF(Main[[#This Row],[Tech Start Date]]&lt;1/1/1990,"",IF(Main[[#This Row],[Class]]="C",WORKDAY(Main[[#This Row],[Tech Start Date]],19),IF(Main[[#This Row],[Class]]="B", WORKDAY(Main[[#This Row],[Tech Start Date]],12),IF(Main[[#This Row],[Class]]="A",WORKDAY(Main[[#This Row],[Tech Start Date]],4),""))))</f>
        <v/>
      </c>
      <c r="O918" s="69" t="str">
        <f>IF(Main[[#This Row],[Tech Start Date]]&lt;1/1/1990,"",IF(Main[[#This Row],[Class]]="C",WORKDAY(Main[[#This Row],[Tech Start Date]],23),IF(Main[[#This Row],[Class]]="B", WORKDAY(Main[[#This Row],[Tech Start Date]],15),IF(Main[[#This Row],[Class]]="A",WORKDAY(Main[[#This Row],[Tech Start Date]],5),""))))</f>
        <v/>
      </c>
      <c r="P918" s="69" t="str">
        <f>IF(Main[[#This Row],[Tech Start Date]]&lt;1/1/1990,"",IF(Main[[#This Row],[Class]]="C",WORKDAY(Main[[#This Row],[Tech Start Date]],28),IF(Main[[#This Row],[Class]]="B", WORKDAY(Main[[#This Row],[Tech Start Date]],19),IF(Main[[#This Row],[Class]]="A",WORKDAY(Main[[#This Row],[Tech Start Date]],9),""))))</f>
        <v/>
      </c>
      <c r="Q918" s="67">
        <v>40602</v>
      </c>
      <c r="R918" s="67"/>
      <c r="S918" s="65" t="s">
        <v>11</v>
      </c>
      <c r="T918" s="70" t="s">
        <v>4</v>
      </c>
      <c r="U918" s="65" t="s">
        <v>14</v>
      </c>
      <c r="V918" s="65" t="s">
        <v>1914</v>
      </c>
      <c r="W918" s="65" t="s">
        <v>1920</v>
      </c>
      <c r="X918" s="65" t="s">
        <v>2824</v>
      </c>
      <c r="Y918" s="65" t="s">
        <v>2943</v>
      </c>
      <c r="Z918" s="65" t="s">
        <v>4</v>
      </c>
      <c r="AA918" s="65" t="s">
        <v>2824</v>
      </c>
    </row>
    <row r="919" spans="1:27" ht="17.45" hidden="1" customHeight="1">
      <c r="A919" s="100" t="str">
        <f>IF(priority(Main[[#This Row],[Comments]])&lt;&gt;0, priority(Main[[#This Row],[Comments]]),"")</f>
        <v/>
      </c>
      <c r="B919" s="77" t="s">
        <v>1771</v>
      </c>
      <c r="C919" s="65" t="s">
        <v>815</v>
      </c>
      <c r="D919" s="66" t="s">
        <v>816</v>
      </c>
      <c r="E919" s="67"/>
      <c r="F919" s="67"/>
      <c r="G919" s="64" t="str">
        <f>IF(stdProdLT(Main[[#This Row],[Comments]])=0.1,"N/A",IF(stdProdLT(Main[[#This Row],[Comments]])=0,"",stdProdLT(Main[[#This Row],[Comments]])))</f>
        <v/>
      </c>
      <c r="H919" s="68" t="str">
        <f>IF(AND(Main[[#This Row],[In Stock Date]]&lt;&gt;"",Main[[#This Row],[Revised Due Date]]&lt;&gt;""),Main[[#This Row],[In Stock Date]]-Main[[#This Row],[Revised Due Date]],"")</f>
        <v/>
      </c>
      <c r="I919" s="65" t="s">
        <v>4</v>
      </c>
      <c r="J919" s="65" t="s">
        <v>4</v>
      </c>
      <c r="K919" s="65" t="s">
        <v>4</v>
      </c>
      <c r="L919" s="67"/>
      <c r="M919" s="69" t="str">
        <f>IF(Main[[#This Row],[Tech Start Date]]&lt;1/1/1990,"",IF(Main[[#This Row],[Class]]="C",WORKDAY(Main[[#This Row],[Tech Start Date]],9),IF(Main[[#This Row],[Class]]="B", WORKDAY(Main[[#This Row],[Tech Start Date]],6),IF(Main[[#This Row],[Class]]="A",WORKDAY(Main[[#This Row],[Tech Start Date]],2),""))))</f>
        <v/>
      </c>
      <c r="N919" s="69" t="str">
        <f>IF(Main[[#This Row],[Tech Start Date]]&lt;1/1/1990,"",IF(Main[[#This Row],[Class]]="C",WORKDAY(Main[[#This Row],[Tech Start Date]],19),IF(Main[[#This Row],[Class]]="B", WORKDAY(Main[[#This Row],[Tech Start Date]],12),IF(Main[[#This Row],[Class]]="A",WORKDAY(Main[[#This Row],[Tech Start Date]],4),""))))</f>
        <v/>
      </c>
      <c r="O919" s="69" t="str">
        <f>IF(Main[[#This Row],[Tech Start Date]]&lt;1/1/1990,"",IF(Main[[#This Row],[Class]]="C",WORKDAY(Main[[#This Row],[Tech Start Date]],23),IF(Main[[#This Row],[Class]]="B", WORKDAY(Main[[#This Row],[Tech Start Date]],15),IF(Main[[#This Row],[Class]]="A",WORKDAY(Main[[#This Row],[Tech Start Date]],5),""))))</f>
        <v/>
      </c>
      <c r="P919" s="69" t="str">
        <f>IF(Main[[#This Row],[Tech Start Date]]&lt;1/1/1990,"",IF(Main[[#This Row],[Class]]="C",WORKDAY(Main[[#This Row],[Tech Start Date]],28),IF(Main[[#This Row],[Class]]="B", WORKDAY(Main[[#This Row],[Tech Start Date]],19),IF(Main[[#This Row],[Class]]="A",WORKDAY(Main[[#This Row],[Tech Start Date]],9),""))))</f>
        <v/>
      </c>
      <c r="Q919" s="67">
        <v>40715</v>
      </c>
      <c r="R919" s="67"/>
      <c r="S919" s="65" t="s">
        <v>11</v>
      </c>
      <c r="T919" s="70" t="s">
        <v>4</v>
      </c>
      <c r="U919" s="65" t="s">
        <v>14</v>
      </c>
      <c r="V919" s="65" t="s">
        <v>1915</v>
      </c>
      <c r="W919" s="65" t="s">
        <v>1916</v>
      </c>
      <c r="X919" s="65" t="s">
        <v>2816</v>
      </c>
      <c r="Y919" s="65" t="s">
        <v>4</v>
      </c>
      <c r="Z919" s="65" t="s">
        <v>4</v>
      </c>
      <c r="AA919" s="65" t="s">
        <v>2816</v>
      </c>
    </row>
    <row r="920" spans="1:27" ht="17.45" hidden="1" customHeight="1">
      <c r="A920" s="100" t="str">
        <f>IF(priority(Main[[#This Row],[Comments]])&lt;&gt;0, priority(Main[[#This Row],[Comments]]),"")</f>
        <v/>
      </c>
      <c r="B920" s="77" t="s">
        <v>2166</v>
      </c>
      <c r="C920" s="65" t="s">
        <v>2160</v>
      </c>
      <c r="D920" s="66" t="s">
        <v>2161</v>
      </c>
      <c r="E920" s="67">
        <v>40781.39603009259</v>
      </c>
      <c r="F920" s="67"/>
      <c r="G920" s="64" t="str">
        <f>IF(stdProdLT(Main[[#This Row],[Comments]])=0.1,"N/A",IF(stdProdLT(Main[[#This Row],[Comments]])=0,"",stdProdLT(Main[[#This Row],[Comments]])))</f>
        <v/>
      </c>
      <c r="H920" s="68" t="str">
        <f>IF(AND(Main[[#This Row],[In Stock Date]]&lt;&gt;"",Main[[#This Row],[Revised Due Date]]&lt;&gt;""),Main[[#This Row],[In Stock Date]]-Main[[#This Row],[Revised Due Date]],"")</f>
        <v/>
      </c>
      <c r="I920" s="65" t="s">
        <v>69</v>
      </c>
      <c r="J920" s="65" t="s">
        <v>1978</v>
      </c>
      <c r="K920" s="71" t="s">
        <v>1923</v>
      </c>
      <c r="L920" s="67"/>
      <c r="M920" s="69" t="str">
        <f>IF(Main[[#This Row],[Tech Start Date]]&lt;1/1/1990,"",IF(Main[[#This Row],[Class]]="C",WORKDAY(Main[[#This Row],[Tech Start Date]],9),IF(Main[[#This Row],[Class]]="B", WORKDAY(Main[[#This Row],[Tech Start Date]],6),IF(Main[[#This Row],[Class]]="A",WORKDAY(Main[[#This Row],[Tech Start Date]],2),""))))</f>
        <v/>
      </c>
      <c r="N920" s="69" t="str">
        <f>IF(Main[[#This Row],[Tech Start Date]]&lt;1/1/1990,"",IF(Main[[#This Row],[Class]]="C",WORKDAY(Main[[#This Row],[Tech Start Date]],19),IF(Main[[#This Row],[Class]]="B", WORKDAY(Main[[#This Row],[Tech Start Date]],12),IF(Main[[#This Row],[Class]]="A",WORKDAY(Main[[#This Row],[Tech Start Date]],4),""))))</f>
        <v/>
      </c>
      <c r="O920" s="69" t="str">
        <f>IF(Main[[#This Row],[Tech Start Date]]&lt;1/1/1990,"",IF(Main[[#This Row],[Class]]="C",WORKDAY(Main[[#This Row],[Tech Start Date]],23),IF(Main[[#This Row],[Class]]="B", WORKDAY(Main[[#This Row],[Tech Start Date]],15),IF(Main[[#This Row],[Class]]="A",WORKDAY(Main[[#This Row],[Tech Start Date]],5),""))))</f>
        <v/>
      </c>
      <c r="P920" s="69" t="str">
        <f>IF(Main[[#This Row],[Tech Start Date]]&lt;1/1/1990,"",IF(Main[[#This Row],[Class]]="C",WORKDAY(Main[[#This Row],[Tech Start Date]],28),IF(Main[[#This Row],[Class]]="B", WORKDAY(Main[[#This Row],[Tech Start Date]],19),IF(Main[[#This Row],[Class]]="A",WORKDAY(Main[[#This Row],[Tech Start Date]],9),""))))</f>
        <v/>
      </c>
      <c r="Q920" s="67">
        <v>40836</v>
      </c>
      <c r="R920" s="67"/>
      <c r="S920" s="65" t="s">
        <v>6</v>
      </c>
      <c r="T920" s="70" t="s">
        <v>4</v>
      </c>
      <c r="U920" s="65" t="s">
        <v>29</v>
      </c>
      <c r="V920" s="65" t="s">
        <v>1917</v>
      </c>
      <c r="W920" s="65" t="s">
        <v>1918</v>
      </c>
      <c r="X920" s="65" t="s">
        <v>2836</v>
      </c>
      <c r="Y920" s="65" t="s">
        <v>2965</v>
      </c>
      <c r="Z920" s="65" t="s">
        <v>30</v>
      </c>
      <c r="AA920" s="65" t="s">
        <v>2836</v>
      </c>
    </row>
    <row r="921" spans="1:27" ht="17.45" hidden="1" customHeight="1">
      <c r="A921" s="100" t="str">
        <f>IF(priority(Main[[#This Row],[Comments]])&lt;&gt;0, priority(Main[[#This Row],[Comments]]),"")</f>
        <v/>
      </c>
      <c r="B921" s="77" t="s">
        <v>1781</v>
      </c>
      <c r="C921" s="65" t="s">
        <v>180</v>
      </c>
      <c r="D921" s="66" t="s">
        <v>823</v>
      </c>
      <c r="E921" s="67"/>
      <c r="F921" s="67">
        <v>40389</v>
      </c>
      <c r="G921" s="64" t="str">
        <f>IF(stdProdLT(Main[[#This Row],[Comments]])=0.1,"N/A",IF(stdProdLT(Main[[#This Row],[Comments]])=0,"",stdProdLT(Main[[#This Row],[Comments]])))</f>
        <v/>
      </c>
      <c r="H921" s="68" t="str">
        <f>IF(AND(Main[[#This Row],[In Stock Date]]&lt;&gt;"",Main[[#This Row],[Revised Due Date]]&lt;&gt;""),Main[[#This Row],[In Stock Date]]-Main[[#This Row],[Revised Due Date]],"")</f>
        <v/>
      </c>
      <c r="I921" s="65" t="s">
        <v>4</v>
      </c>
      <c r="J921" s="65" t="s">
        <v>4</v>
      </c>
      <c r="K921" s="71" t="s">
        <v>4</v>
      </c>
      <c r="L921" s="67"/>
      <c r="M921" s="69" t="str">
        <f>IF(Main[[#This Row],[Tech Start Date]]&lt;1/1/1990,"",IF(Main[[#This Row],[Class]]="C",WORKDAY(Main[[#This Row],[Tech Start Date]],9),IF(Main[[#This Row],[Class]]="B", WORKDAY(Main[[#This Row],[Tech Start Date]],6),IF(Main[[#This Row],[Class]]="A",WORKDAY(Main[[#This Row],[Tech Start Date]],2),""))))</f>
        <v/>
      </c>
      <c r="N921" s="69" t="str">
        <f>IF(Main[[#This Row],[Tech Start Date]]&lt;1/1/1990,"",IF(Main[[#This Row],[Class]]="C",WORKDAY(Main[[#This Row],[Tech Start Date]],19),IF(Main[[#This Row],[Class]]="B", WORKDAY(Main[[#This Row],[Tech Start Date]],12),IF(Main[[#This Row],[Class]]="A",WORKDAY(Main[[#This Row],[Tech Start Date]],4),""))))</f>
        <v/>
      </c>
      <c r="O921" s="69" t="str">
        <f>IF(Main[[#This Row],[Tech Start Date]]&lt;1/1/1990,"",IF(Main[[#This Row],[Class]]="C",WORKDAY(Main[[#This Row],[Tech Start Date]],23),IF(Main[[#This Row],[Class]]="B", WORKDAY(Main[[#This Row],[Tech Start Date]],15),IF(Main[[#This Row],[Class]]="A",WORKDAY(Main[[#This Row],[Tech Start Date]],5),""))))</f>
        <v/>
      </c>
      <c r="P921" s="69" t="str">
        <f>IF(Main[[#This Row],[Tech Start Date]]&lt;1/1/1990,"",IF(Main[[#This Row],[Class]]="C",WORKDAY(Main[[#This Row],[Tech Start Date]],28),IF(Main[[#This Row],[Class]]="B", WORKDAY(Main[[#This Row],[Tech Start Date]],19),IF(Main[[#This Row],[Class]]="A",WORKDAY(Main[[#This Row],[Tech Start Date]],9),""))))</f>
        <v/>
      </c>
      <c r="Q921" s="67">
        <v>40298</v>
      </c>
      <c r="R921" s="67"/>
      <c r="S921" s="65" t="s">
        <v>11</v>
      </c>
      <c r="T921" s="70" t="s">
        <v>4</v>
      </c>
      <c r="U921" s="65" t="s">
        <v>14</v>
      </c>
      <c r="V921" s="65" t="s">
        <v>1914</v>
      </c>
      <c r="W921" s="65" t="s">
        <v>1920</v>
      </c>
      <c r="X921" s="65" t="s">
        <v>2824</v>
      </c>
      <c r="Y921" s="65" t="s">
        <v>2943</v>
      </c>
      <c r="Z921" s="65" t="s">
        <v>4</v>
      </c>
      <c r="AA921" s="65" t="s">
        <v>2824</v>
      </c>
    </row>
    <row r="922" spans="1:27" ht="17.45" hidden="1" customHeight="1">
      <c r="A922" s="100" t="str">
        <f>IF(priority(Main[[#This Row],[Comments]])&lt;&gt;0, priority(Main[[#This Row],[Comments]]),"")</f>
        <v/>
      </c>
      <c r="B922" s="77" t="s">
        <v>1782</v>
      </c>
      <c r="C922" s="65" t="s">
        <v>824</v>
      </c>
      <c r="D922" s="66" t="s">
        <v>825</v>
      </c>
      <c r="E922" s="67"/>
      <c r="F922" s="67"/>
      <c r="G922" s="64" t="str">
        <f>IF(stdProdLT(Main[[#This Row],[Comments]])=0.1,"N/A",IF(stdProdLT(Main[[#This Row],[Comments]])=0,"",stdProdLT(Main[[#This Row],[Comments]])))</f>
        <v/>
      </c>
      <c r="H922" s="68" t="str">
        <f>IF(AND(Main[[#This Row],[In Stock Date]]&lt;&gt;"",Main[[#This Row],[Revised Due Date]]&lt;&gt;""),Main[[#This Row],[In Stock Date]]-Main[[#This Row],[Revised Due Date]],"")</f>
        <v/>
      </c>
      <c r="I922" s="65" t="s">
        <v>4</v>
      </c>
      <c r="J922" s="65" t="s">
        <v>4</v>
      </c>
      <c r="K922" s="71" t="s">
        <v>4</v>
      </c>
      <c r="L922" s="67"/>
      <c r="M922" s="69" t="str">
        <f>IF(Main[[#This Row],[Tech Start Date]]&lt;1/1/1990,"",IF(Main[[#This Row],[Class]]="C",WORKDAY(Main[[#This Row],[Tech Start Date]],9),IF(Main[[#This Row],[Class]]="B", WORKDAY(Main[[#This Row],[Tech Start Date]],6),IF(Main[[#This Row],[Class]]="A",WORKDAY(Main[[#This Row],[Tech Start Date]],2),""))))</f>
        <v/>
      </c>
      <c r="N922" s="69" t="str">
        <f>IF(Main[[#This Row],[Tech Start Date]]&lt;1/1/1990,"",IF(Main[[#This Row],[Class]]="C",WORKDAY(Main[[#This Row],[Tech Start Date]],19),IF(Main[[#This Row],[Class]]="B", WORKDAY(Main[[#This Row],[Tech Start Date]],12),IF(Main[[#This Row],[Class]]="A",WORKDAY(Main[[#This Row],[Tech Start Date]],4),""))))</f>
        <v/>
      </c>
      <c r="O922" s="69" t="str">
        <f>IF(Main[[#This Row],[Tech Start Date]]&lt;1/1/1990,"",IF(Main[[#This Row],[Class]]="C",WORKDAY(Main[[#This Row],[Tech Start Date]],23),IF(Main[[#This Row],[Class]]="B", WORKDAY(Main[[#This Row],[Tech Start Date]],15),IF(Main[[#This Row],[Class]]="A",WORKDAY(Main[[#This Row],[Tech Start Date]],5),""))))</f>
        <v/>
      </c>
      <c r="P922" s="69" t="str">
        <f>IF(Main[[#This Row],[Tech Start Date]]&lt;1/1/1990,"",IF(Main[[#This Row],[Class]]="C",WORKDAY(Main[[#This Row],[Tech Start Date]],28),IF(Main[[#This Row],[Class]]="B", WORKDAY(Main[[#This Row],[Tech Start Date]],19),IF(Main[[#This Row],[Class]]="A",WORKDAY(Main[[#This Row],[Tech Start Date]],9),""))))</f>
        <v/>
      </c>
      <c r="Q922" s="67"/>
      <c r="R922" s="67"/>
      <c r="S922" s="65" t="s">
        <v>11</v>
      </c>
      <c r="T922" s="70" t="s">
        <v>4</v>
      </c>
      <c r="U922" s="65" t="s">
        <v>14</v>
      </c>
      <c r="V922" s="65" t="s">
        <v>1917</v>
      </c>
      <c r="W922" s="65" t="s">
        <v>1925</v>
      </c>
      <c r="X922" s="65" t="s">
        <v>2868</v>
      </c>
      <c r="Y922" s="65" t="s">
        <v>3012</v>
      </c>
      <c r="Z922" s="65" t="s">
        <v>4</v>
      </c>
      <c r="AA922" s="65" t="s">
        <v>3442</v>
      </c>
    </row>
    <row r="923" spans="1:27" ht="17.45" hidden="1" customHeight="1">
      <c r="A923" s="100" t="str">
        <f>IF(priority(Main[[#This Row],[Comments]])&lt;&gt;0, priority(Main[[#This Row],[Comments]]),"")</f>
        <v/>
      </c>
      <c r="B923" s="77" t="s">
        <v>1784</v>
      </c>
      <c r="C923" s="65" t="s">
        <v>4</v>
      </c>
      <c r="D923" s="66" t="s">
        <v>828</v>
      </c>
      <c r="E923" s="67"/>
      <c r="F923" s="67"/>
      <c r="G923" s="64" t="str">
        <f>IF(stdProdLT(Main[[#This Row],[Comments]])=0.1,"N/A",IF(stdProdLT(Main[[#This Row],[Comments]])=0,"",stdProdLT(Main[[#This Row],[Comments]])))</f>
        <v/>
      </c>
      <c r="H923" s="68" t="str">
        <f>IF(AND(Main[[#This Row],[In Stock Date]]&lt;&gt;"",Main[[#This Row],[Revised Due Date]]&lt;&gt;""),Main[[#This Row],[In Stock Date]]-Main[[#This Row],[Revised Due Date]],"")</f>
        <v/>
      </c>
      <c r="I923" s="65" t="s">
        <v>4</v>
      </c>
      <c r="J923" s="65" t="s">
        <v>4</v>
      </c>
      <c r="K923" s="65" t="s">
        <v>4</v>
      </c>
      <c r="L923" s="67"/>
      <c r="M923" s="69" t="str">
        <f>IF(Main[[#This Row],[Tech Start Date]]&lt;1/1/1990,"",IF(Main[[#This Row],[Class]]="C",WORKDAY(Main[[#This Row],[Tech Start Date]],9),IF(Main[[#This Row],[Class]]="B", WORKDAY(Main[[#This Row],[Tech Start Date]],6),IF(Main[[#This Row],[Class]]="A",WORKDAY(Main[[#This Row],[Tech Start Date]],2),""))))</f>
        <v/>
      </c>
      <c r="N923" s="69" t="str">
        <f>IF(Main[[#This Row],[Tech Start Date]]&lt;1/1/1990,"",IF(Main[[#This Row],[Class]]="C",WORKDAY(Main[[#This Row],[Tech Start Date]],19),IF(Main[[#This Row],[Class]]="B", WORKDAY(Main[[#This Row],[Tech Start Date]],12),IF(Main[[#This Row],[Class]]="A",WORKDAY(Main[[#This Row],[Tech Start Date]],4),""))))</f>
        <v/>
      </c>
      <c r="O923" s="69" t="str">
        <f>IF(Main[[#This Row],[Tech Start Date]]&lt;1/1/1990,"",IF(Main[[#This Row],[Class]]="C",WORKDAY(Main[[#This Row],[Tech Start Date]],23),IF(Main[[#This Row],[Class]]="B", WORKDAY(Main[[#This Row],[Tech Start Date]],15),IF(Main[[#This Row],[Class]]="A",WORKDAY(Main[[#This Row],[Tech Start Date]],5),""))))</f>
        <v/>
      </c>
      <c r="P923" s="69" t="str">
        <f>IF(Main[[#This Row],[Tech Start Date]]&lt;1/1/1990,"",IF(Main[[#This Row],[Class]]="C",WORKDAY(Main[[#This Row],[Tech Start Date]],28),IF(Main[[#This Row],[Class]]="B", WORKDAY(Main[[#This Row],[Tech Start Date]],19),IF(Main[[#This Row],[Class]]="A",WORKDAY(Main[[#This Row],[Tech Start Date]],9),""))))</f>
        <v/>
      </c>
      <c r="Q923" s="67"/>
      <c r="R923" s="67"/>
      <c r="S923" s="65" t="s">
        <v>11</v>
      </c>
      <c r="T923" s="70" t="s">
        <v>4</v>
      </c>
      <c r="U923" s="65" t="s">
        <v>12</v>
      </c>
      <c r="V923" s="65" t="s">
        <v>1915</v>
      </c>
      <c r="W923" s="65" t="s">
        <v>1919</v>
      </c>
      <c r="X923" s="65" t="s">
        <v>969</v>
      </c>
      <c r="Y923" s="65" t="s">
        <v>3085</v>
      </c>
      <c r="Z923" s="65" t="s">
        <v>4</v>
      </c>
      <c r="AA923" s="65" t="s">
        <v>969</v>
      </c>
    </row>
    <row r="924" spans="1:27" ht="17.45" hidden="1" customHeight="1">
      <c r="A924" s="100" t="str">
        <f>IF(priority(Main[[#This Row],[Comments]])&lt;&gt;0, priority(Main[[#This Row],[Comments]]),"")</f>
        <v/>
      </c>
      <c r="B924" s="77" t="s">
        <v>1755</v>
      </c>
      <c r="C924" s="65" t="s">
        <v>4</v>
      </c>
      <c r="D924" s="66" t="s">
        <v>803</v>
      </c>
      <c r="E924" s="67">
        <v>40584.403622685182</v>
      </c>
      <c r="F924" s="67">
        <v>40602</v>
      </c>
      <c r="G924" s="64" t="str">
        <f>IF(stdProdLT(Main[[#This Row],[Comments]])=0.1,"N/A",IF(stdProdLT(Main[[#This Row],[Comments]])=0,"",stdProdLT(Main[[#This Row],[Comments]])))</f>
        <v/>
      </c>
      <c r="H924" s="68" t="str">
        <f>IF(AND(Main[[#This Row],[In Stock Date]]&lt;&gt;"",Main[[#This Row],[Revised Due Date]]&lt;&gt;""),Main[[#This Row],[In Stock Date]]-Main[[#This Row],[Revised Due Date]],"")</f>
        <v/>
      </c>
      <c r="I924" s="65" t="s">
        <v>4</v>
      </c>
      <c r="J924" s="65" t="s">
        <v>28</v>
      </c>
      <c r="K924" s="65" t="s">
        <v>1926</v>
      </c>
      <c r="L924" s="67"/>
      <c r="M924" s="69" t="str">
        <f>IF(Main[[#This Row],[Tech Start Date]]&lt;1/1/1990,"",IF(Main[[#This Row],[Class]]="C",WORKDAY(Main[[#This Row],[Tech Start Date]],9),IF(Main[[#This Row],[Class]]="B", WORKDAY(Main[[#This Row],[Tech Start Date]],6),IF(Main[[#This Row],[Class]]="A",WORKDAY(Main[[#This Row],[Tech Start Date]],2),""))))</f>
        <v/>
      </c>
      <c r="N924" s="69" t="str">
        <f>IF(Main[[#This Row],[Tech Start Date]]&lt;1/1/1990,"",IF(Main[[#This Row],[Class]]="C",WORKDAY(Main[[#This Row],[Tech Start Date]],19),IF(Main[[#This Row],[Class]]="B", WORKDAY(Main[[#This Row],[Tech Start Date]],12),IF(Main[[#This Row],[Class]]="A",WORKDAY(Main[[#This Row],[Tech Start Date]],4),""))))</f>
        <v/>
      </c>
      <c r="O924" s="69" t="str">
        <f>IF(Main[[#This Row],[Tech Start Date]]&lt;1/1/1990,"",IF(Main[[#This Row],[Class]]="C",WORKDAY(Main[[#This Row],[Tech Start Date]],23),IF(Main[[#This Row],[Class]]="B", WORKDAY(Main[[#This Row],[Tech Start Date]],15),IF(Main[[#This Row],[Class]]="A",WORKDAY(Main[[#This Row],[Tech Start Date]],5),""))))</f>
        <v/>
      </c>
      <c r="P924" s="69" t="str">
        <f>IF(Main[[#This Row],[Tech Start Date]]&lt;1/1/1990,"",IF(Main[[#This Row],[Class]]="C",WORKDAY(Main[[#This Row],[Tech Start Date]],28),IF(Main[[#This Row],[Class]]="B", WORKDAY(Main[[#This Row],[Tech Start Date]],19),IF(Main[[#This Row],[Class]]="A",WORKDAY(Main[[#This Row],[Tech Start Date]],9),""))))</f>
        <v/>
      </c>
      <c r="Q924" s="67">
        <v>40602</v>
      </c>
      <c r="R924" s="67"/>
      <c r="S924" s="65" t="s">
        <v>17</v>
      </c>
      <c r="T924" s="70" t="s">
        <v>4</v>
      </c>
      <c r="U924" s="65" t="s">
        <v>7</v>
      </c>
      <c r="V924" s="65" t="s">
        <v>1914</v>
      </c>
      <c r="W924" s="65" t="s">
        <v>1922</v>
      </c>
      <c r="X924" s="65" t="s">
        <v>2828</v>
      </c>
      <c r="Y924" s="65" t="s">
        <v>2950</v>
      </c>
      <c r="Z924" s="65" t="s">
        <v>129</v>
      </c>
      <c r="AA924" s="65" t="s">
        <v>2828</v>
      </c>
    </row>
    <row r="925" spans="1:27" ht="17.45" hidden="1" customHeight="1">
      <c r="A925" s="100" t="str">
        <f>IF(priority(Main[[#This Row],[Comments]])&lt;&gt;0, priority(Main[[#This Row],[Comments]]),"")</f>
        <v/>
      </c>
      <c r="B925" s="77" t="s">
        <v>1732</v>
      </c>
      <c r="C925" s="65" t="s">
        <v>4</v>
      </c>
      <c r="D925" s="66" t="s">
        <v>2228</v>
      </c>
      <c r="E925" s="67"/>
      <c r="F925" s="67"/>
      <c r="G925" s="64" t="str">
        <f>IF(stdProdLT(Main[[#This Row],[Comments]])=0.1,"N/A",IF(stdProdLT(Main[[#This Row],[Comments]])=0,"",stdProdLT(Main[[#This Row],[Comments]])))</f>
        <v/>
      </c>
      <c r="H925" s="68" t="str">
        <f>IF(AND(Main[[#This Row],[In Stock Date]]&lt;&gt;"",Main[[#This Row],[Revised Due Date]]&lt;&gt;""),Main[[#This Row],[In Stock Date]]-Main[[#This Row],[Revised Due Date]],"")</f>
        <v/>
      </c>
      <c r="I925" s="65" t="s">
        <v>912</v>
      </c>
      <c r="J925" s="65" t="s">
        <v>21</v>
      </c>
      <c r="K925" s="65" t="s">
        <v>1923</v>
      </c>
      <c r="L925" s="67"/>
      <c r="M925" s="69" t="str">
        <f>IF(Main[[#This Row],[Tech Start Date]]&lt;1/1/1990,"",IF(Main[[#This Row],[Class]]="C",WORKDAY(Main[[#This Row],[Tech Start Date]],9),IF(Main[[#This Row],[Class]]="B", WORKDAY(Main[[#This Row],[Tech Start Date]],6),IF(Main[[#This Row],[Class]]="A",WORKDAY(Main[[#This Row],[Tech Start Date]],2),""))))</f>
        <v/>
      </c>
      <c r="N925" s="69" t="str">
        <f>IF(Main[[#This Row],[Tech Start Date]]&lt;1/1/1990,"",IF(Main[[#This Row],[Class]]="C",WORKDAY(Main[[#This Row],[Tech Start Date]],19),IF(Main[[#This Row],[Class]]="B", WORKDAY(Main[[#This Row],[Tech Start Date]],12),IF(Main[[#This Row],[Class]]="A",WORKDAY(Main[[#This Row],[Tech Start Date]],4),""))))</f>
        <v/>
      </c>
      <c r="O925" s="69" t="str">
        <f>IF(Main[[#This Row],[Tech Start Date]]&lt;1/1/1990,"",IF(Main[[#This Row],[Class]]="C",WORKDAY(Main[[#This Row],[Tech Start Date]],23),IF(Main[[#This Row],[Class]]="B", WORKDAY(Main[[#This Row],[Tech Start Date]],15),IF(Main[[#This Row],[Class]]="A",WORKDAY(Main[[#This Row],[Tech Start Date]],5),""))))</f>
        <v/>
      </c>
      <c r="P925" s="69" t="str">
        <f>IF(Main[[#This Row],[Tech Start Date]]&lt;1/1/1990,"",IF(Main[[#This Row],[Class]]="C",WORKDAY(Main[[#This Row],[Tech Start Date]],28),IF(Main[[#This Row],[Class]]="B", WORKDAY(Main[[#This Row],[Tech Start Date]],19),IF(Main[[#This Row],[Class]]="A",WORKDAY(Main[[#This Row],[Tech Start Date]],9),""))))</f>
        <v/>
      </c>
      <c r="Q925" s="67"/>
      <c r="R925" s="67"/>
      <c r="S925" s="65" t="s">
        <v>23</v>
      </c>
      <c r="T925" s="70" t="s">
        <v>4</v>
      </c>
      <c r="U925" s="65" t="s">
        <v>14</v>
      </c>
      <c r="V925" s="65" t="s">
        <v>1914</v>
      </c>
      <c r="W925" s="65" t="s">
        <v>1918</v>
      </c>
      <c r="X925" s="65" t="s">
        <v>399</v>
      </c>
      <c r="Y925" s="65" t="s">
        <v>4</v>
      </c>
      <c r="Z925" s="65" t="s">
        <v>912</v>
      </c>
      <c r="AA925" s="65" t="s">
        <v>3448</v>
      </c>
    </row>
    <row r="926" spans="1:27" ht="17.45" hidden="1" customHeight="1">
      <c r="A926" s="100" t="str">
        <f>IF(priority(Main[[#This Row],[Comments]])&lt;&gt;0, priority(Main[[#This Row],[Comments]]),"")</f>
        <v/>
      </c>
      <c r="B926" s="77" t="s">
        <v>1401</v>
      </c>
      <c r="C926" s="65" t="s">
        <v>4</v>
      </c>
      <c r="D926" s="66" t="s">
        <v>2196</v>
      </c>
      <c r="E926" s="67"/>
      <c r="F926" s="67"/>
      <c r="G926" s="64" t="str">
        <f>IF(stdProdLT(Main[[#This Row],[Comments]])=0.1,"N/A",IF(stdProdLT(Main[[#This Row],[Comments]])=0,"",stdProdLT(Main[[#This Row],[Comments]])))</f>
        <v/>
      </c>
      <c r="H926" s="68" t="str">
        <f>IF(AND(Main[[#This Row],[In Stock Date]]&lt;&gt;"",Main[[#This Row],[Revised Due Date]]&lt;&gt;""),Main[[#This Row],[In Stock Date]]-Main[[#This Row],[Revised Due Date]],"")</f>
        <v/>
      </c>
      <c r="I926" s="65" t="s">
        <v>530</v>
      </c>
      <c r="J926" s="65" t="s">
        <v>52</v>
      </c>
      <c r="K926" s="65" t="s">
        <v>1923</v>
      </c>
      <c r="L926" s="67"/>
      <c r="M926" s="69" t="str">
        <f>IF(Main[[#This Row],[Tech Start Date]]&lt;1/1/1990,"",IF(Main[[#This Row],[Class]]="C",WORKDAY(Main[[#This Row],[Tech Start Date]],9),IF(Main[[#This Row],[Class]]="B", WORKDAY(Main[[#This Row],[Tech Start Date]],6),IF(Main[[#This Row],[Class]]="A",WORKDAY(Main[[#This Row],[Tech Start Date]],2),""))))</f>
        <v/>
      </c>
      <c r="N926" s="69" t="str">
        <f>IF(Main[[#This Row],[Tech Start Date]]&lt;1/1/1990,"",IF(Main[[#This Row],[Class]]="C",WORKDAY(Main[[#This Row],[Tech Start Date]],19),IF(Main[[#This Row],[Class]]="B", WORKDAY(Main[[#This Row],[Tech Start Date]],12),IF(Main[[#This Row],[Class]]="A",WORKDAY(Main[[#This Row],[Tech Start Date]],4),""))))</f>
        <v/>
      </c>
      <c r="O926" s="69" t="str">
        <f>IF(Main[[#This Row],[Tech Start Date]]&lt;1/1/1990,"",IF(Main[[#This Row],[Class]]="C",WORKDAY(Main[[#This Row],[Tech Start Date]],23),IF(Main[[#This Row],[Class]]="B", WORKDAY(Main[[#This Row],[Tech Start Date]],15),IF(Main[[#This Row],[Class]]="A",WORKDAY(Main[[#This Row],[Tech Start Date]],5),""))))</f>
        <v/>
      </c>
      <c r="P926" s="69" t="str">
        <f>IF(Main[[#This Row],[Tech Start Date]]&lt;1/1/1990,"",IF(Main[[#This Row],[Class]]="C",WORKDAY(Main[[#This Row],[Tech Start Date]],28),IF(Main[[#This Row],[Class]]="B", WORKDAY(Main[[#This Row],[Tech Start Date]],19),IF(Main[[#This Row],[Class]]="A",WORKDAY(Main[[#This Row],[Tech Start Date]],9),""))))</f>
        <v/>
      </c>
      <c r="Q926" s="67">
        <v>40390</v>
      </c>
      <c r="R926" s="67"/>
      <c r="S926" s="65" t="s">
        <v>6</v>
      </c>
      <c r="T926" s="70" t="s">
        <v>4</v>
      </c>
      <c r="U926" s="65" t="s">
        <v>14</v>
      </c>
      <c r="V926" s="65" t="s">
        <v>1917</v>
      </c>
      <c r="W926" s="65" t="s">
        <v>1918</v>
      </c>
      <c r="X926" s="65" t="s">
        <v>2819</v>
      </c>
      <c r="Y926" s="65" t="s">
        <v>2932</v>
      </c>
      <c r="Z926" s="65" t="s">
        <v>44</v>
      </c>
      <c r="AA926" s="65" t="s">
        <v>2819</v>
      </c>
    </row>
    <row r="927" spans="1:27" ht="17.45" hidden="1" customHeight="1">
      <c r="A927" s="100" t="str">
        <f>IF(priority(Main[[#This Row],[Comments]])&lt;&gt;0, priority(Main[[#This Row],[Comments]]),"")</f>
        <v/>
      </c>
      <c r="B927" s="77" t="s">
        <v>1647</v>
      </c>
      <c r="C927" s="65" t="s">
        <v>499</v>
      </c>
      <c r="D927" s="66" t="s">
        <v>2174</v>
      </c>
      <c r="E927" s="67">
        <v>40655.401631944442</v>
      </c>
      <c r="F927" s="67"/>
      <c r="G927" s="64" t="str">
        <f>IF(stdProdLT(Main[[#This Row],[Comments]])=0.1,"N/A",IF(stdProdLT(Main[[#This Row],[Comments]])=0,"",stdProdLT(Main[[#This Row],[Comments]])))</f>
        <v/>
      </c>
      <c r="H927" s="68" t="str">
        <f>IF(AND(Main[[#This Row],[In Stock Date]]&lt;&gt;"",Main[[#This Row],[Revised Due Date]]&lt;&gt;""),Main[[#This Row],[In Stock Date]]-Main[[#This Row],[Revised Due Date]],"")</f>
        <v/>
      </c>
      <c r="I927" s="65" t="s">
        <v>50</v>
      </c>
      <c r="J927" s="65" t="s">
        <v>52</v>
      </c>
      <c r="K927" s="65" t="s">
        <v>1923</v>
      </c>
      <c r="L927" s="67"/>
      <c r="M927" s="69" t="str">
        <f>IF(Main[[#This Row],[Tech Start Date]]&lt;1/1/1990,"",IF(Main[[#This Row],[Class]]="C",WORKDAY(Main[[#This Row],[Tech Start Date]],9),IF(Main[[#This Row],[Class]]="B", WORKDAY(Main[[#This Row],[Tech Start Date]],6),IF(Main[[#This Row],[Class]]="A",WORKDAY(Main[[#This Row],[Tech Start Date]],2),""))))</f>
        <v/>
      </c>
      <c r="N927" s="69" t="str">
        <f>IF(Main[[#This Row],[Tech Start Date]]&lt;1/1/1990,"",IF(Main[[#This Row],[Class]]="C",WORKDAY(Main[[#This Row],[Tech Start Date]],19),IF(Main[[#This Row],[Class]]="B", WORKDAY(Main[[#This Row],[Tech Start Date]],12),IF(Main[[#This Row],[Class]]="A",WORKDAY(Main[[#This Row],[Tech Start Date]],4),""))))</f>
        <v/>
      </c>
      <c r="O927" s="69" t="str">
        <f>IF(Main[[#This Row],[Tech Start Date]]&lt;1/1/1990,"",IF(Main[[#This Row],[Class]]="C",WORKDAY(Main[[#This Row],[Tech Start Date]],23),IF(Main[[#This Row],[Class]]="B", WORKDAY(Main[[#This Row],[Tech Start Date]],15),IF(Main[[#This Row],[Class]]="A",WORKDAY(Main[[#This Row],[Tech Start Date]],5),""))))</f>
        <v/>
      </c>
      <c r="P927" s="69" t="str">
        <f>IF(Main[[#This Row],[Tech Start Date]]&lt;1/1/1990,"",IF(Main[[#This Row],[Class]]="C",WORKDAY(Main[[#This Row],[Tech Start Date]],28),IF(Main[[#This Row],[Class]]="B", WORKDAY(Main[[#This Row],[Tech Start Date]],19),IF(Main[[#This Row],[Class]]="A",WORKDAY(Main[[#This Row],[Tech Start Date]],9),""))))</f>
        <v/>
      </c>
      <c r="Q927" s="67"/>
      <c r="R927" s="67"/>
      <c r="S927" s="65" t="s">
        <v>6</v>
      </c>
      <c r="T927" s="70" t="s">
        <v>4</v>
      </c>
      <c r="U927" s="65" t="s">
        <v>534</v>
      </c>
      <c r="V927" s="65" t="s">
        <v>1914</v>
      </c>
      <c r="W927" s="65" t="s">
        <v>1920</v>
      </c>
      <c r="X927" s="65" t="s">
        <v>399</v>
      </c>
      <c r="Y927" s="65" t="s">
        <v>4</v>
      </c>
      <c r="Z927" s="65" t="s">
        <v>129</v>
      </c>
      <c r="AA927" s="65" t="s">
        <v>3449</v>
      </c>
    </row>
    <row r="928" spans="1:27" ht="17.45" hidden="1" customHeight="1">
      <c r="A928" s="100" t="str">
        <f>IF(priority(Main[[#This Row],[Comments]])&lt;&gt;0, priority(Main[[#This Row],[Comments]]),"")</f>
        <v/>
      </c>
      <c r="B928" s="77" t="s">
        <v>1863</v>
      </c>
      <c r="C928" s="65" t="s">
        <v>4</v>
      </c>
      <c r="D928" s="66" t="s">
        <v>2672</v>
      </c>
      <c r="E928" s="67">
        <v>40501.677928240744</v>
      </c>
      <c r="F928" s="67"/>
      <c r="G928" s="64" t="str">
        <f>IF(stdProdLT(Main[[#This Row],[Comments]])=0.1,"N/A",IF(stdProdLT(Main[[#This Row],[Comments]])=0,"",stdProdLT(Main[[#This Row],[Comments]])))</f>
        <v/>
      </c>
      <c r="H928" s="68" t="str">
        <f>IF(AND(Main[[#This Row],[In Stock Date]]&lt;&gt;"",Main[[#This Row],[Revised Due Date]]&lt;&gt;""),Main[[#This Row],[In Stock Date]]-Main[[#This Row],[Revised Due Date]],"")</f>
        <v/>
      </c>
      <c r="I928" s="65" t="s">
        <v>907</v>
      </c>
      <c r="J928" s="65" t="s">
        <v>28</v>
      </c>
      <c r="K928" s="65" t="s">
        <v>1926</v>
      </c>
      <c r="L928" s="67"/>
      <c r="M928" s="69" t="str">
        <f>IF(Main[[#This Row],[Tech Start Date]]&lt;1/1/1990,"",IF(Main[[#This Row],[Class]]="C",WORKDAY(Main[[#This Row],[Tech Start Date]],9),IF(Main[[#This Row],[Class]]="B", WORKDAY(Main[[#This Row],[Tech Start Date]],6),IF(Main[[#This Row],[Class]]="A",WORKDAY(Main[[#This Row],[Tech Start Date]],2),""))))</f>
        <v/>
      </c>
      <c r="N928" s="69" t="str">
        <f>IF(Main[[#This Row],[Tech Start Date]]&lt;1/1/1990,"",IF(Main[[#This Row],[Class]]="C",WORKDAY(Main[[#This Row],[Tech Start Date]],19),IF(Main[[#This Row],[Class]]="B", WORKDAY(Main[[#This Row],[Tech Start Date]],12),IF(Main[[#This Row],[Class]]="A",WORKDAY(Main[[#This Row],[Tech Start Date]],4),""))))</f>
        <v/>
      </c>
      <c r="O928" s="69" t="str">
        <f>IF(Main[[#This Row],[Tech Start Date]]&lt;1/1/1990,"",IF(Main[[#This Row],[Class]]="C",WORKDAY(Main[[#This Row],[Tech Start Date]],23),IF(Main[[#This Row],[Class]]="B", WORKDAY(Main[[#This Row],[Tech Start Date]],15),IF(Main[[#This Row],[Class]]="A",WORKDAY(Main[[#This Row],[Tech Start Date]],5),""))))</f>
        <v/>
      </c>
      <c r="P928" s="69" t="str">
        <f>IF(Main[[#This Row],[Tech Start Date]]&lt;1/1/1990,"",IF(Main[[#This Row],[Class]]="C",WORKDAY(Main[[#This Row],[Tech Start Date]],28),IF(Main[[#This Row],[Class]]="B", WORKDAY(Main[[#This Row],[Tech Start Date]],19),IF(Main[[#This Row],[Class]]="A",WORKDAY(Main[[#This Row],[Tech Start Date]],9),""))))</f>
        <v/>
      </c>
      <c r="Q928" s="67">
        <v>41274</v>
      </c>
      <c r="R928" s="67">
        <v>41274</v>
      </c>
      <c r="S928" s="65" t="s">
        <v>17</v>
      </c>
      <c r="T928" s="70" t="s">
        <v>4</v>
      </c>
      <c r="U928" s="65" t="s">
        <v>29</v>
      </c>
      <c r="V928" s="65" t="s">
        <v>1914</v>
      </c>
      <c r="W928" s="65" t="s">
        <v>1919</v>
      </c>
      <c r="X928" s="65" t="s">
        <v>907</v>
      </c>
      <c r="Y928" s="65" t="s">
        <v>4</v>
      </c>
      <c r="Z928" s="65" t="s">
        <v>129</v>
      </c>
      <c r="AA928" s="65" t="s">
        <v>2828</v>
      </c>
    </row>
    <row r="929" spans="1:27" ht="17.45" hidden="1" customHeight="1">
      <c r="A929" s="100" t="str">
        <f>IF(priority(Main[[#This Row],[Comments]])&lt;&gt;0, priority(Main[[#This Row],[Comments]]),"")</f>
        <v/>
      </c>
      <c r="B929" s="77" t="s">
        <v>2234</v>
      </c>
      <c r="C929" s="65" t="s">
        <v>4</v>
      </c>
      <c r="D929" s="66" t="s">
        <v>2235</v>
      </c>
      <c r="E929" s="67"/>
      <c r="F929" s="67"/>
      <c r="G929" s="64" t="str">
        <f>IF(stdProdLT(Main[[#This Row],[Comments]])=0.1,"N/A",IF(stdProdLT(Main[[#This Row],[Comments]])=0,"",stdProdLT(Main[[#This Row],[Comments]])))</f>
        <v/>
      </c>
      <c r="H929" s="68" t="str">
        <f>IF(AND(Main[[#This Row],[In Stock Date]]&lt;&gt;"",Main[[#This Row],[Revised Due Date]]&lt;&gt;""),Main[[#This Row],[In Stock Date]]-Main[[#This Row],[Revised Due Date]],"")</f>
        <v/>
      </c>
      <c r="I929" s="65" t="s">
        <v>4</v>
      </c>
      <c r="J929" s="65" t="s">
        <v>4</v>
      </c>
      <c r="K929" s="65" t="s">
        <v>4</v>
      </c>
      <c r="L929" s="67"/>
      <c r="M929" s="69" t="str">
        <f>IF(Main[[#This Row],[Tech Start Date]]&lt;1/1/1990,"",IF(Main[[#This Row],[Class]]="C",WORKDAY(Main[[#This Row],[Tech Start Date]],9),IF(Main[[#This Row],[Class]]="B", WORKDAY(Main[[#This Row],[Tech Start Date]],6),IF(Main[[#This Row],[Class]]="A",WORKDAY(Main[[#This Row],[Tech Start Date]],2),""))))</f>
        <v/>
      </c>
      <c r="N929" s="69" t="str">
        <f>IF(Main[[#This Row],[Tech Start Date]]&lt;1/1/1990,"",IF(Main[[#This Row],[Class]]="C",WORKDAY(Main[[#This Row],[Tech Start Date]],19),IF(Main[[#This Row],[Class]]="B", WORKDAY(Main[[#This Row],[Tech Start Date]],12),IF(Main[[#This Row],[Class]]="A",WORKDAY(Main[[#This Row],[Tech Start Date]],4),""))))</f>
        <v/>
      </c>
      <c r="O929" s="69" t="str">
        <f>IF(Main[[#This Row],[Tech Start Date]]&lt;1/1/1990,"",IF(Main[[#This Row],[Class]]="C",WORKDAY(Main[[#This Row],[Tech Start Date]],23),IF(Main[[#This Row],[Class]]="B", WORKDAY(Main[[#This Row],[Tech Start Date]],15),IF(Main[[#This Row],[Class]]="A",WORKDAY(Main[[#This Row],[Tech Start Date]],5),""))))</f>
        <v/>
      </c>
      <c r="P929" s="69" t="str">
        <f>IF(Main[[#This Row],[Tech Start Date]]&lt;1/1/1990,"",IF(Main[[#This Row],[Class]]="C",WORKDAY(Main[[#This Row],[Tech Start Date]],28),IF(Main[[#This Row],[Class]]="B", WORKDAY(Main[[#This Row],[Tech Start Date]],19),IF(Main[[#This Row],[Class]]="A",WORKDAY(Main[[#This Row],[Tech Start Date]],9),""))))</f>
        <v/>
      </c>
      <c r="Q929" s="67"/>
      <c r="R929" s="67"/>
      <c r="S929" s="65" t="s">
        <v>49</v>
      </c>
      <c r="T929" s="70" t="s">
        <v>4</v>
      </c>
      <c r="U929" s="65" t="s">
        <v>14</v>
      </c>
      <c r="V929" s="65" t="s">
        <v>1929</v>
      </c>
      <c r="W929" s="65" t="s">
        <v>1918</v>
      </c>
      <c r="X929" s="65" t="s">
        <v>306</v>
      </c>
      <c r="Y929" s="65" t="s">
        <v>4</v>
      </c>
      <c r="Z929" s="65" t="s">
        <v>4</v>
      </c>
      <c r="AA929" s="65" t="s">
        <v>4</v>
      </c>
    </row>
    <row r="930" spans="1:27" ht="17.45" hidden="1" customHeight="1">
      <c r="A930" s="100" t="str">
        <f>IF(priority(Main[[#This Row],[Comments]])&lt;&gt;0, priority(Main[[#This Row],[Comments]]),"")</f>
        <v/>
      </c>
      <c r="B930" s="77" t="s">
        <v>2404</v>
      </c>
      <c r="C930" s="65" t="s">
        <v>2008</v>
      </c>
      <c r="D930" s="66" t="s">
        <v>2377</v>
      </c>
      <c r="E930" s="67"/>
      <c r="F930" s="67"/>
      <c r="G930" s="64" t="str">
        <f>IF(stdProdLT(Main[[#This Row],[Comments]])=0.1,"N/A",IF(stdProdLT(Main[[#This Row],[Comments]])=0,"",stdProdLT(Main[[#This Row],[Comments]])))</f>
        <v/>
      </c>
      <c r="H930" s="68" t="str">
        <f>IF(AND(Main[[#This Row],[In Stock Date]]&lt;&gt;"",Main[[#This Row],[Revised Due Date]]&lt;&gt;""),Main[[#This Row],[In Stock Date]]-Main[[#This Row],[Revised Due Date]],"")</f>
        <v/>
      </c>
      <c r="I930" s="65" t="s">
        <v>4</v>
      </c>
      <c r="J930" s="65" t="s">
        <v>4</v>
      </c>
      <c r="K930" s="65" t="s">
        <v>4</v>
      </c>
      <c r="L930" s="67"/>
      <c r="M930" s="69" t="str">
        <f>IF(Main[[#This Row],[Tech Start Date]]&lt;1/1/1990,"",IF(Main[[#This Row],[Class]]="C",WORKDAY(Main[[#This Row],[Tech Start Date]],9),IF(Main[[#This Row],[Class]]="B", WORKDAY(Main[[#This Row],[Tech Start Date]],6),IF(Main[[#This Row],[Class]]="A",WORKDAY(Main[[#This Row],[Tech Start Date]],2),""))))</f>
        <v/>
      </c>
      <c r="N930" s="69" t="str">
        <f>IF(Main[[#This Row],[Tech Start Date]]&lt;1/1/1990,"",IF(Main[[#This Row],[Class]]="C",WORKDAY(Main[[#This Row],[Tech Start Date]],19),IF(Main[[#This Row],[Class]]="B", WORKDAY(Main[[#This Row],[Tech Start Date]],12),IF(Main[[#This Row],[Class]]="A",WORKDAY(Main[[#This Row],[Tech Start Date]],4),""))))</f>
        <v/>
      </c>
      <c r="O930" s="69" t="str">
        <f>IF(Main[[#This Row],[Tech Start Date]]&lt;1/1/1990,"",IF(Main[[#This Row],[Class]]="C",WORKDAY(Main[[#This Row],[Tech Start Date]],23),IF(Main[[#This Row],[Class]]="B", WORKDAY(Main[[#This Row],[Tech Start Date]],15),IF(Main[[#This Row],[Class]]="A",WORKDAY(Main[[#This Row],[Tech Start Date]],5),""))))</f>
        <v/>
      </c>
      <c r="P930" s="69" t="str">
        <f>IF(Main[[#This Row],[Tech Start Date]]&lt;1/1/1990,"",IF(Main[[#This Row],[Class]]="C",WORKDAY(Main[[#This Row],[Tech Start Date]],28),IF(Main[[#This Row],[Class]]="B", WORKDAY(Main[[#This Row],[Tech Start Date]],19),IF(Main[[#This Row],[Class]]="A",WORKDAY(Main[[#This Row],[Tech Start Date]],9),""))))</f>
        <v/>
      </c>
      <c r="Q930" s="67">
        <v>40908</v>
      </c>
      <c r="R930" s="67"/>
      <c r="S930" s="65" t="s">
        <v>11</v>
      </c>
      <c r="T930" s="70" t="s">
        <v>4</v>
      </c>
      <c r="U930" s="65" t="s">
        <v>14</v>
      </c>
      <c r="V930" s="65" t="s">
        <v>1917</v>
      </c>
      <c r="W930" s="65" t="s">
        <v>1916</v>
      </c>
      <c r="X930" s="65" t="s">
        <v>553</v>
      </c>
      <c r="Y930" s="65" t="s">
        <v>2952</v>
      </c>
      <c r="Z930" s="65" t="s">
        <v>4</v>
      </c>
      <c r="AA930" s="65" t="s">
        <v>553</v>
      </c>
    </row>
    <row r="931" spans="1:27" ht="17.45" customHeight="1">
      <c r="A931" s="100">
        <f>IF(priority(Main[[#This Row],[Comments]])&lt;&gt;0, priority(Main[[#This Row],[Comments]]),"")</f>
        <v>9</v>
      </c>
      <c r="B931" s="77" t="s">
        <v>3750</v>
      </c>
      <c r="C931" s="65" t="s">
        <v>95</v>
      </c>
      <c r="D931" s="66" t="s">
        <v>3751</v>
      </c>
      <c r="E931" s="67">
        <v>40959.560983796298</v>
      </c>
      <c r="F931" s="67">
        <v>40967</v>
      </c>
      <c r="G931" s="64" t="str">
        <f>IF(stdProdLT(Main[[#This Row],[Comments]])=0.1,"N/A",IF(stdProdLT(Main[[#This Row],[Comments]])=0,"",stdProdLT(Main[[#This Row],[Comments]])))</f>
        <v>N/A</v>
      </c>
      <c r="H931" s="68">
        <f>IF(AND(Main[[#This Row],[In Stock Date]]&lt;&gt;"",Main[[#This Row],[Revised Due Date]]&lt;&gt;""),Main[[#This Row],[In Stock Date]]-Main[[#This Row],[Revised Due Date]],"")</f>
        <v>0</v>
      </c>
      <c r="I931" s="65" t="s">
        <v>937</v>
      </c>
      <c r="J931" s="65" t="s">
        <v>28</v>
      </c>
      <c r="K931" s="65" t="s">
        <v>1923</v>
      </c>
      <c r="L931" s="67"/>
      <c r="M931" s="69" t="str">
        <f>IF(Main[[#This Row],[Tech Start Date]]&lt;1/1/1990,"",IF(Main[[#This Row],[Class]]="C",WORKDAY(Main[[#This Row],[Tech Start Date]],9),IF(Main[[#This Row],[Class]]="B", WORKDAY(Main[[#This Row],[Tech Start Date]],6),IF(Main[[#This Row],[Class]]="A",WORKDAY(Main[[#This Row],[Tech Start Date]],2),""))))</f>
        <v/>
      </c>
      <c r="N931" s="69" t="str">
        <f>IF(Main[[#This Row],[Tech Start Date]]&lt;1/1/1990,"",IF(Main[[#This Row],[Class]]="C",WORKDAY(Main[[#This Row],[Tech Start Date]],19),IF(Main[[#This Row],[Class]]="B", WORKDAY(Main[[#This Row],[Tech Start Date]],12),IF(Main[[#This Row],[Class]]="A",WORKDAY(Main[[#This Row],[Tech Start Date]],4),""))))</f>
        <v/>
      </c>
      <c r="O931" s="69" t="str">
        <f>IF(Main[[#This Row],[Tech Start Date]]&lt;1/1/1990,"",IF(Main[[#This Row],[Class]]="C",WORKDAY(Main[[#This Row],[Tech Start Date]],23),IF(Main[[#This Row],[Class]]="B", WORKDAY(Main[[#This Row],[Tech Start Date]],15),IF(Main[[#This Row],[Class]]="A",WORKDAY(Main[[#This Row],[Tech Start Date]],5),""))))</f>
        <v/>
      </c>
      <c r="P931" s="69" t="str">
        <f>IF(Main[[#This Row],[Tech Start Date]]&lt;1/1/1990,"",IF(Main[[#This Row],[Class]]="C",WORKDAY(Main[[#This Row],[Tech Start Date]],28),IF(Main[[#This Row],[Class]]="B", WORKDAY(Main[[#This Row],[Tech Start Date]],19),IF(Main[[#This Row],[Class]]="A",WORKDAY(Main[[#This Row],[Tech Start Date]],9),""))))</f>
        <v/>
      </c>
      <c r="Q931" s="67">
        <v>40976</v>
      </c>
      <c r="R931" s="67">
        <v>40967</v>
      </c>
      <c r="S931" s="65" t="s">
        <v>11</v>
      </c>
      <c r="T931" s="70" t="s">
        <v>3752</v>
      </c>
      <c r="U931" s="65" t="s">
        <v>29</v>
      </c>
      <c r="V931" s="65" t="s">
        <v>1914</v>
      </c>
      <c r="W931" s="65" t="s">
        <v>1916</v>
      </c>
      <c r="X931" s="65" t="s">
        <v>2852</v>
      </c>
      <c r="Y931" s="65" t="s">
        <v>2990</v>
      </c>
      <c r="Z931" s="65" t="s">
        <v>129</v>
      </c>
      <c r="AA931" s="65" t="s">
        <v>2852</v>
      </c>
    </row>
    <row r="932" spans="1:27" ht="17.45" hidden="1" customHeight="1">
      <c r="A932" s="100" t="str">
        <f>IF(priority(Main[[#This Row],[Comments]])&lt;&gt;0, priority(Main[[#This Row],[Comments]]),"")</f>
        <v/>
      </c>
      <c r="B932" s="77" t="s">
        <v>2280</v>
      </c>
      <c r="C932" s="65" t="s">
        <v>2278</v>
      </c>
      <c r="D932" s="66" t="s">
        <v>2281</v>
      </c>
      <c r="E932" s="67"/>
      <c r="F932" s="67">
        <v>40907</v>
      </c>
      <c r="G932" s="64" t="str">
        <f>IF(stdProdLT(Main[[#This Row],[Comments]])=0.1,"N/A",IF(stdProdLT(Main[[#This Row],[Comments]])=0,"",stdProdLT(Main[[#This Row],[Comments]])))</f>
        <v/>
      </c>
      <c r="H932" s="68" t="str">
        <f>IF(AND(Main[[#This Row],[In Stock Date]]&lt;&gt;"",Main[[#This Row],[Revised Due Date]]&lt;&gt;""),Main[[#This Row],[In Stock Date]]-Main[[#This Row],[Revised Due Date]],"")</f>
        <v/>
      </c>
      <c r="I932" s="65" t="s">
        <v>4</v>
      </c>
      <c r="J932" s="65" t="s">
        <v>4</v>
      </c>
      <c r="K932" s="65" t="s">
        <v>4</v>
      </c>
      <c r="L932" s="67"/>
      <c r="M932" s="69" t="str">
        <f>IF(Main[[#This Row],[Tech Start Date]]&lt;1/1/1990,"",IF(Main[[#This Row],[Class]]="C",WORKDAY(Main[[#This Row],[Tech Start Date]],9),IF(Main[[#This Row],[Class]]="B", WORKDAY(Main[[#This Row],[Tech Start Date]],6),IF(Main[[#This Row],[Class]]="A",WORKDAY(Main[[#This Row],[Tech Start Date]],2),""))))</f>
        <v/>
      </c>
      <c r="N932" s="69" t="str">
        <f>IF(Main[[#This Row],[Tech Start Date]]&lt;1/1/1990,"",IF(Main[[#This Row],[Class]]="C",WORKDAY(Main[[#This Row],[Tech Start Date]],19),IF(Main[[#This Row],[Class]]="B", WORKDAY(Main[[#This Row],[Tech Start Date]],12),IF(Main[[#This Row],[Class]]="A",WORKDAY(Main[[#This Row],[Tech Start Date]],4),""))))</f>
        <v/>
      </c>
      <c r="O932" s="69" t="str">
        <f>IF(Main[[#This Row],[Tech Start Date]]&lt;1/1/1990,"",IF(Main[[#This Row],[Class]]="C",WORKDAY(Main[[#This Row],[Tech Start Date]],23),IF(Main[[#This Row],[Class]]="B", WORKDAY(Main[[#This Row],[Tech Start Date]],15),IF(Main[[#This Row],[Class]]="A",WORKDAY(Main[[#This Row],[Tech Start Date]],5),""))))</f>
        <v/>
      </c>
      <c r="P932" s="69" t="str">
        <f>IF(Main[[#This Row],[Tech Start Date]]&lt;1/1/1990,"",IF(Main[[#This Row],[Class]]="C",WORKDAY(Main[[#This Row],[Tech Start Date]],28),IF(Main[[#This Row],[Class]]="B", WORKDAY(Main[[#This Row],[Tech Start Date]],19),IF(Main[[#This Row],[Class]]="A",WORKDAY(Main[[#This Row],[Tech Start Date]],9),""))))</f>
        <v/>
      </c>
      <c r="Q932" s="67">
        <v>40816</v>
      </c>
      <c r="R932" s="67"/>
      <c r="S932" s="65" t="s">
        <v>296</v>
      </c>
      <c r="T932" s="70" t="s">
        <v>4</v>
      </c>
      <c r="U932" s="65" t="s">
        <v>14</v>
      </c>
      <c r="V932" s="65" t="s">
        <v>1924</v>
      </c>
      <c r="W932" s="65" t="s">
        <v>1922</v>
      </c>
      <c r="X932" s="65" t="s">
        <v>2910</v>
      </c>
      <c r="Y932" s="65" t="s">
        <v>3117</v>
      </c>
      <c r="Z932" s="65" t="s">
        <v>4</v>
      </c>
      <c r="AA932" s="65" t="s">
        <v>3450</v>
      </c>
    </row>
    <row r="933" spans="1:27" ht="17.45" hidden="1" customHeight="1">
      <c r="A933" s="100" t="str">
        <f>IF(priority(Main[[#This Row],[Comments]])&lt;&gt;0, priority(Main[[#This Row],[Comments]]),"")</f>
        <v/>
      </c>
      <c r="B933" s="77" t="s">
        <v>2274</v>
      </c>
      <c r="C933" s="65" t="s">
        <v>518</v>
      </c>
      <c r="D933" s="66" t="s">
        <v>2275</v>
      </c>
      <c r="E933" s="67"/>
      <c r="F933" s="67">
        <v>40854</v>
      </c>
      <c r="G933" s="64" t="str">
        <f>IF(stdProdLT(Main[[#This Row],[Comments]])=0.1,"N/A",IF(stdProdLT(Main[[#This Row],[Comments]])=0,"",stdProdLT(Main[[#This Row],[Comments]])))</f>
        <v/>
      </c>
      <c r="H933" s="68" t="str">
        <f>IF(AND(Main[[#This Row],[In Stock Date]]&lt;&gt;"",Main[[#This Row],[Revised Due Date]]&lt;&gt;""),Main[[#This Row],[In Stock Date]]-Main[[#This Row],[Revised Due Date]],"")</f>
        <v/>
      </c>
      <c r="I933" s="65" t="s">
        <v>4</v>
      </c>
      <c r="J933" s="65" t="s">
        <v>4</v>
      </c>
      <c r="K933" s="65" t="s">
        <v>4</v>
      </c>
      <c r="L933" s="67"/>
      <c r="M933" s="69" t="str">
        <f>IF(Main[[#This Row],[Tech Start Date]]&lt;1/1/1990,"",IF(Main[[#This Row],[Class]]="C",WORKDAY(Main[[#This Row],[Tech Start Date]],9),IF(Main[[#This Row],[Class]]="B", WORKDAY(Main[[#This Row],[Tech Start Date]],6),IF(Main[[#This Row],[Class]]="A",WORKDAY(Main[[#This Row],[Tech Start Date]],2),""))))</f>
        <v/>
      </c>
      <c r="N933" s="69" t="str">
        <f>IF(Main[[#This Row],[Tech Start Date]]&lt;1/1/1990,"",IF(Main[[#This Row],[Class]]="C",WORKDAY(Main[[#This Row],[Tech Start Date]],19),IF(Main[[#This Row],[Class]]="B", WORKDAY(Main[[#This Row],[Tech Start Date]],12),IF(Main[[#This Row],[Class]]="A",WORKDAY(Main[[#This Row],[Tech Start Date]],4),""))))</f>
        <v/>
      </c>
      <c r="O933" s="69" t="str">
        <f>IF(Main[[#This Row],[Tech Start Date]]&lt;1/1/1990,"",IF(Main[[#This Row],[Class]]="C",WORKDAY(Main[[#This Row],[Tech Start Date]],23),IF(Main[[#This Row],[Class]]="B", WORKDAY(Main[[#This Row],[Tech Start Date]],15),IF(Main[[#This Row],[Class]]="A",WORKDAY(Main[[#This Row],[Tech Start Date]],5),""))))</f>
        <v/>
      </c>
      <c r="P933" s="69" t="str">
        <f>IF(Main[[#This Row],[Tech Start Date]]&lt;1/1/1990,"",IF(Main[[#This Row],[Class]]="C",WORKDAY(Main[[#This Row],[Tech Start Date]],28),IF(Main[[#This Row],[Class]]="B", WORKDAY(Main[[#This Row],[Tech Start Date]],19),IF(Main[[#This Row],[Class]]="A",WORKDAY(Main[[#This Row],[Tech Start Date]],9),""))))</f>
        <v/>
      </c>
      <c r="Q933" s="67">
        <v>40816</v>
      </c>
      <c r="R933" s="67"/>
      <c r="S933" s="65" t="s">
        <v>296</v>
      </c>
      <c r="T933" s="70" t="s">
        <v>4</v>
      </c>
      <c r="U933" s="65" t="s">
        <v>14</v>
      </c>
      <c r="V933" s="65" t="s">
        <v>1924</v>
      </c>
      <c r="W933" s="65" t="s">
        <v>1922</v>
      </c>
      <c r="X933" s="65" t="s">
        <v>2910</v>
      </c>
      <c r="Y933" s="65" t="s">
        <v>3118</v>
      </c>
      <c r="Z933" s="65" t="s">
        <v>4</v>
      </c>
      <c r="AA933" s="65" t="s">
        <v>3450</v>
      </c>
    </row>
    <row r="934" spans="1:27" ht="17.45" hidden="1" customHeight="1">
      <c r="A934" s="100" t="str">
        <f>IF(priority(Main[[#This Row],[Comments]])&lt;&gt;0, priority(Main[[#This Row],[Comments]]),"")</f>
        <v/>
      </c>
      <c r="B934" s="77" t="s">
        <v>2236</v>
      </c>
      <c r="C934" s="65" t="s">
        <v>4</v>
      </c>
      <c r="D934" s="66" t="s">
        <v>2237</v>
      </c>
      <c r="E934" s="67"/>
      <c r="F934" s="67"/>
      <c r="G934" s="64" t="str">
        <f>IF(stdProdLT(Main[[#This Row],[Comments]])=0.1,"N/A",IF(stdProdLT(Main[[#This Row],[Comments]])=0,"",stdProdLT(Main[[#This Row],[Comments]])))</f>
        <v/>
      </c>
      <c r="H934" s="68" t="str">
        <f>IF(AND(Main[[#This Row],[In Stock Date]]&lt;&gt;"",Main[[#This Row],[Revised Due Date]]&lt;&gt;""),Main[[#This Row],[In Stock Date]]-Main[[#This Row],[Revised Due Date]],"")</f>
        <v/>
      </c>
      <c r="I934" s="65" t="s">
        <v>4</v>
      </c>
      <c r="J934" s="65" t="s">
        <v>4</v>
      </c>
      <c r="K934" s="65" t="s">
        <v>4</v>
      </c>
      <c r="L934" s="67"/>
      <c r="M934" s="69" t="str">
        <f>IF(Main[[#This Row],[Tech Start Date]]&lt;1/1/1990,"",IF(Main[[#This Row],[Class]]="C",WORKDAY(Main[[#This Row],[Tech Start Date]],9),IF(Main[[#This Row],[Class]]="B", WORKDAY(Main[[#This Row],[Tech Start Date]],6),IF(Main[[#This Row],[Class]]="A",WORKDAY(Main[[#This Row],[Tech Start Date]],2),""))))</f>
        <v/>
      </c>
      <c r="N934" s="69" t="str">
        <f>IF(Main[[#This Row],[Tech Start Date]]&lt;1/1/1990,"",IF(Main[[#This Row],[Class]]="C",WORKDAY(Main[[#This Row],[Tech Start Date]],19),IF(Main[[#This Row],[Class]]="B", WORKDAY(Main[[#This Row],[Tech Start Date]],12),IF(Main[[#This Row],[Class]]="A",WORKDAY(Main[[#This Row],[Tech Start Date]],4),""))))</f>
        <v/>
      </c>
      <c r="O934" s="69" t="str">
        <f>IF(Main[[#This Row],[Tech Start Date]]&lt;1/1/1990,"",IF(Main[[#This Row],[Class]]="C",WORKDAY(Main[[#This Row],[Tech Start Date]],23),IF(Main[[#This Row],[Class]]="B", WORKDAY(Main[[#This Row],[Tech Start Date]],15),IF(Main[[#This Row],[Class]]="A",WORKDAY(Main[[#This Row],[Tech Start Date]],5),""))))</f>
        <v/>
      </c>
      <c r="P934" s="69" t="str">
        <f>IF(Main[[#This Row],[Tech Start Date]]&lt;1/1/1990,"",IF(Main[[#This Row],[Class]]="C",WORKDAY(Main[[#This Row],[Tech Start Date]],28),IF(Main[[#This Row],[Class]]="B", WORKDAY(Main[[#This Row],[Tech Start Date]],19),IF(Main[[#This Row],[Class]]="A",WORKDAY(Main[[#This Row],[Tech Start Date]],9),""))))</f>
        <v/>
      </c>
      <c r="Q934" s="67"/>
      <c r="R934" s="67"/>
      <c r="S934" s="65" t="s">
        <v>49</v>
      </c>
      <c r="T934" s="70" t="s">
        <v>4</v>
      </c>
      <c r="U934" s="65" t="s">
        <v>14</v>
      </c>
      <c r="V934" s="65" t="s">
        <v>1914</v>
      </c>
      <c r="W934" s="65" t="s">
        <v>1918</v>
      </c>
      <c r="X934" s="65" t="s">
        <v>306</v>
      </c>
      <c r="Y934" s="65" t="s">
        <v>4</v>
      </c>
      <c r="Z934" s="65" t="s">
        <v>4</v>
      </c>
      <c r="AA934" s="65" t="s">
        <v>4</v>
      </c>
    </row>
    <row r="935" spans="1:27" ht="17.45" hidden="1" customHeight="1">
      <c r="A935" s="100" t="str">
        <f>IF(priority(Main[[#This Row],[Comments]])&lt;&gt;0, priority(Main[[#This Row],[Comments]]),"")</f>
        <v/>
      </c>
      <c r="B935" s="77" t="s">
        <v>1346</v>
      </c>
      <c r="C935" s="65" t="s">
        <v>433</v>
      </c>
      <c r="D935" s="66" t="s">
        <v>434</v>
      </c>
      <c r="E935" s="67">
        <v>40505.653032407405</v>
      </c>
      <c r="F935" s="67"/>
      <c r="G935" s="64" t="str">
        <f>IF(stdProdLT(Main[[#This Row],[Comments]])=0.1,"N/A",IF(stdProdLT(Main[[#This Row],[Comments]])=0,"",stdProdLT(Main[[#This Row],[Comments]])))</f>
        <v/>
      </c>
      <c r="H935" s="68" t="str">
        <f>IF(AND(Main[[#This Row],[In Stock Date]]&lt;&gt;"",Main[[#This Row],[Revised Due Date]]&lt;&gt;""),Main[[#This Row],[In Stock Date]]-Main[[#This Row],[Revised Due Date]],"")</f>
        <v/>
      </c>
      <c r="I935" s="65" t="s">
        <v>30</v>
      </c>
      <c r="J935" s="65" t="s">
        <v>28</v>
      </c>
      <c r="K935" s="65" t="s">
        <v>1926</v>
      </c>
      <c r="L935" s="67"/>
      <c r="M935" s="69" t="str">
        <f>IF(Main[[#This Row],[Tech Start Date]]&lt;1/1/1990,"",IF(Main[[#This Row],[Class]]="C",WORKDAY(Main[[#This Row],[Tech Start Date]],9),IF(Main[[#This Row],[Class]]="B", WORKDAY(Main[[#This Row],[Tech Start Date]],6),IF(Main[[#This Row],[Class]]="A",WORKDAY(Main[[#This Row],[Tech Start Date]],2),""))))</f>
        <v/>
      </c>
      <c r="N935" s="69" t="str">
        <f>IF(Main[[#This Row],[Tech Start Date]]&lt;1/1/1990,"",IF(Main[[#This Row],[Class]]="C",WORKDAY(Main[[#This Row],[Tech Start Date]],19),IF(Main[[#This Row],[Class]]="B", WORKDAY(Main[[#This Row],[Tech Start Date]],12),IF(Main[[#This Row],[Class]]="A",WORKDAY(Main[[#This Row],[Tech Start Date]],4),""))))</f>
        <v/>
      </c>
      <c r="O935" s="69" t="str">
        <f>IF(Main[[#This Row],[Tech Start Date]]&lt;1/1/1990,"",IF(Main[[#This Row],[Class]]="C",WORKDAY(Main[[#This Row],[Tech Start Date]],23),IF(Main[[#This Row],[Class]]="B", WORKDAY(Main[[#This Row],[Tech Start Date]],15),IF(Main[[#This Row],[Class]]="A",WORKDAY(Main[[#This Row],[Tech Start Date]],5),""))))</f>
        <v/>
      </c>
      <c r="P935" s="69" t="str">
        <f>IF(Main[[#This Row],[Tech Start Date]]&lt;1/1/1990,"",IF(Main[[#This Row],[Class]]="C",WORKDAY(Main[[#This Row],[Tech Start Date]],28),IF(Main[[#This Row],[Class]]="B", WORKDAY(Main[[#This Row],[Tech Start Date]],19),IF(Main[[#This Row],[Class]]="A",WORKDAY(Main[[#This Row],[Tech Start Date]],9),""))))</f>
        <v/>
      </c>
      <c r="Q935" s="67">
        <v>40620</v>
      </c>
      <c r="R935" s="67"/>
      <c r="S935" s="65" t="s">
        <v>17</v>
      </c>
      <c r="T935" s="70" t="s">
        <v>4</v>
      </c>
      <c r="U935" s="65" t="s">
        <v>29</v>
      </c>
      <c r="V935" s="65" t="s">
        <v>1917</v>
      </c>
      <c r="W935" s="65" t="s">
        <v>1919</v>
      </c>
      <c r="X935" s="65" t="s">
        <v>765</v>
      </c>
      <c r="Y935" s="65" t="s">
        <v>3119</v>
      </c>
      <c r="Z935" s="65" t="s">
        <v>30</v>
      </c>
      <c r="AA935" s="65" t="s">
        <v>3451</v>
      </c>
    </row>
    <row r="936" spans="1:27" ht="17.45" hidden="1" customHeight="1">
      <c r="A936" s="100" t="str">
        <f>IF(priority(Main[[#This Row],[Comments]])&lt;&gt;0, priority(Main[[#This Row],[Comments]]),"")</f>
        <v/>
      </c>
      <c r="B936" s="77" t="s">
        <v>1473</v>
      </c>
      <c r="C936" s="65" t="s">
        <v>4</v>
      </c>
      <c r="D936" s="66" t="s">
        <v>2406</v>
      </c>
      <c r="E936" s="67">
        <v>40627.399282407408</v>
      </c>
      <c r="F936" s="67"/>
      <c r="G936" s="64" t="str">
        <f>IF(stdProdLT(Main[[#This Row],[Comments]])=0.1,"N/A",IF(stdProdLT(Main[[#This Row],[Comments]])=0,"",stdProdLT(Main[[#This Row],[Comments]])))</f>
        <v/>
      </c>
      <c r="H936" s="68" t="str">
        <f>IF(AND(Main[[#This Row],[In Stock Date]]&lt;&gt;"",Main[[#This Row],[Revised Due Date]]&lt;&gt;""),Main[[#This Row],[In Stock Date]]-Main[[#This Row],[Revised Due Date]],"")</f>
        <v/>
      </c>
      <c r="I936" s="65" t="s">
        <v>912</v>
      </c>
      <c r="J936" s="65" t="s">
        <v>52</v>
      </c>
      <c r="K936" s="71" t="s">
        <v>1923</v>
      </c>
      <c r="L936" s="67"/>
      <c r="M936" s="69" t="str">
        <f>IF(Main[[#This Row],[Tech Start Date]]&lt;1/1/1990,"",IF(Main[[#This Row],[Class]]="C",WORKDAY(Main[[#This Row],[Tech Start Date]],9),IF(Main[[#This Row],[Class]]="B", WORKDAY(Main[[#This Row],[Tech Start Date]],6),IF(Main[[#This Row],[Class]]="A",WORKDAY(Main[[#This Row],[Tech Start Date]],2),""))))</f>
        <v/>
      </c>
      <c r="N936" s="69" t="str">
        <f>IF(Main[[#This Row],[Tech Start Date]]&lt;1/1/1990,"",IF(Main[[#This Row],[Class]]="C",WORKDAY(Main[[#This Row],[Tech Start Date]],19),IF(Main[[#This Row],[Class]]="B", WORKDAY(Main[[#This Row],[Tech Start Date]],12),IF(Main[[#This Row],[Class]]="A",WORKDAY(Main[[#This Row],[Tech Start Date]],4),""))))</f>
        <v/>
      </c>
      <c r="O936" s="69" t="str">
        <f>IF(Main[[#This Row],[Tech Start Date]]&lt;1/1/1990,"",IF(Main[[#This Row],[Class]]="C",WORKDAY(Main[[#This Row],[Tech Start Date]],23),IF(Main[[#This Row],[Class]]="B", WORKDAY(Main[[#This Row],[Tech Start Date]],15),IF(Main[[#This Row],[Class]]="A",WORKDAY(Main[[#This Row],[Tech Start Date]],5),""))))</f>
        <v/>
      </c>
      <c r="P936" s="69" t="str">
        <f>IF(Main[[#This Row],[Tech Start Date]]&lt;1/1/1990,"",IF(Main[[#This Row],[Class]]="C",WORKDAY(Main[[#This Row],[Tech Start Date]],28),IF(Main[[#This Row],[Class]]="B", WORKDAY(Main[[#This Row],[Tech Start Date]],19),IF(Main[[#This Row],[Class]]="A",WORKDAY(Main[[#This Row],[Tech Start Date]],9),""))))</f>
        <v/>
      </c>
      <c r="Q936" s="67">
        <v>40632</v>
      </c>
      <c r="R936" s="67"/>
      <c r="S936" s="65" t="s">
        <v>6</v>
      </c>
      <c r="T936" s="70" t="s">
        <v>4</v>
      </c>
      <c r="U936" s="65" t="s">
        <v>29</v>
      </c>
      <c r="V936" s="65" t="s">
        <v>1914</v>
      </c>
      <c r="W936" s="65" t="s">
        <v>1918</v>
      </c>
      <c r="X936" s="65" t="s">
        <v>937</v>
      </c>
      <c r="Y936" s="65" t="s">
        <v>2984</v>
      </c>
      <c r="Z936" s="65" t="s">
        <v>129</v>
      </c>
      <c r="AA936" s="65" t="s">
        <v>937</v>
      </c>
    </row>
    <row r="937" spans="1:27" ht="17.45" hidden="1" customHeight="1">
      <c r="A937" s="100" t="str">
        <f>IF(priority(Main[[#This Row],[Comments]])&lt;&gt;0, priority(Main[[#This Row],[Comments]]),"")</f>
        <v/>
      </c>
      <c r="B937" s="77" t="s">
        <v>1383</v>
      </c>
      <c r="C937" s="65" t="s">
        <v>4</v>
      </c>
      <c r="D937" s="66" t="s">
        <v>2407</v>
      </c>
      <c r="E937" s="67">
        <v>40555.34138888889</v>
      </c>
      <c r="F937" s="67">
        <v>40592</v>
      </c>
      <c r="G937" s="64" t="str">
        <f>IF(stdProdLT(Main[[#This Row],[Comments]])=0.1,"N/A",IF(stdProdLT(Main[[#This Row],[Comments]])=0,"",stdProdLT(Main[[#This Row],[Comments]])))</f>
        <v/>
      </c>
      <c r="H937" s="68" t="str">
        <f>IF(AND(Main[[#This Row],[In Stock Date]]&lt;&gt;"",Main[[#This Row],[Revised Due Date]]&lt;&gt;""),Main[[#This Row],[In Stock Date]]-Main[[#This Row],[Revised Due Date]],"")</f>
        <v/>
      </c>
      <c r="I937" s="65" t="s">
        <v>912</v>
      </c>
      <c r="J937" s="65" t="s">
        <v>52</v>
      </c>
      <c r="K937" s="65" t="s">
        <v>1921</v>
      </c>
      <c r="L937" s="67"/>
      <c r="M937" s="69" t="str">
        <f>IF(Main[[#This Row],[Tech Start Date]]&lt;1/1/1990,"",IF(Main[[#This Row],[Class]]="C",WORKDAY(Main[[#This Row],[Tech Start Date]],9),IF(Main[[#This Row],[Class]]="B", WORKDAY(Main[[#This Row],[Tech Start Date]],6),IF(Main[[#This Row],[Class]]="A",WORKDAY(Main[[#This Row],[Tech Start Date]],2),""))))</f>
        <v/>
      </c>
      <c r="N937" s="69" t="str">
        <f>IF(Main[[#This Row],[Tech Start Date]]&lt;1/1/1990,"",IF(Main[[#This Row],[Class]]="C",WORKDAY(Main[[#This Row],[Tech Start Date]],19),IF(Main[[#This Row],[Class]]="B", WORKDAY(Main[[#This Row],[Tech Start Date]],12),IF(Main[[#This Row],[Class]]="A",WORKDAY(Main[[#This Row],[Tech Start Date]],4),""))))</f>
        <v/>
      </c>
      <c r="O937" s="69" t="str">
        <f>IF(Main[[#This Row],[Tech Start Date]]&lt;1/1/1990,"",IF(Main[[#This Row],[Class]]="C",WORKDAY(Main[[#This Row],[Tech Start Date]],23),IF(Main[[#This Row],[Class]]="B", WORKDAY(Main[[#This Row],[Tech Start Date]],15),IF(Main[[#This Row],[Class]]="A",WORKDAY(Main[[#This Row],[Tech Start Date]],5),""))))</f>
        <v/>
      </c>
      <c r="P937" s="69" t="str">
        <f>IF(Main[[#This Row],[Tech Start Date]]&lt;1/1/1990,"",IF(Main[[#This Row],[Class]]="C",WORKDAY(Main[[#This Row],[Tech Start Date]],28),IF(Main[[#This Row],[Class]]="B", WORKDAY(Main[[#This Row],[Tech Start Date]],19),IF(Main[[#This Row],[Class]]="A",WORKDAY(Main[[#This Row],[Tech Start Date]],9),""))))</f>
        <v/>
      </c>
      <c r="Q937" s="67">
        <v>40592</v>
      </c>
      <c r="R937" s="67"/>
      <c r="S937" s="65" t="s">
        <v>6</v>
      </c>
      <c r="T937" s="70" t="s">
        <v>4</v>
      </c>
      <c r="U937" s="65" t="s">
        <v>29</v>
      </c>
      <c r="V937" s="65" t="s">
        <v>1914</v>
      </c>
      <c r="W937" s="65" t="s">
        <v>1916</v>
      </c>
      <c r="X937" s="65" t="s">
        <v>2818</v>
      </c>
      <c r="Y937" s="65" t="s">
        <v>2929</v>
      </c>
      <c r="Z937" s="65" t="s">
        <v>129</v>
      </c>
      <c r="AA937" s="65" t="s">
        <v>2818</v>
      </c>
    </row>
    <row r="938" spans="1:27" ht="17.45" hidden="1" customHeight="1">
      <c r="A938" s="100" t="str">
        <f>IF(priority(Main[[#This Row],[Comments]])&lt;&gt;0, priority(Main[[#This Row],[Comments]]),"")</f>
        <v/>
      </c>
      <c r="B938" s="77" t="s">
        <v>2061</v>
      </c>
      <c r="C938" s="65" t="s">
        <v>4</v>
      </c>
      <c r="D938" s="66" t="s">
        <v>2301</v>
      </c>
      <c r="E938" s="67">
        <v>40758.6172337963</v>
      </c>
      <c r="F938" s="67"/>
      <c r="G938" s="64" t="str">
        <f>IF(stdProdLT(Main[[#This Row],[Comments]])=0.1,"N/A",IF(stdProdLT(Main[[#This Row],[Comments]])=0,"",stdProdLT(Main[[#This Row],[Comments]])))</f>
        <v/>
      </c>
      <c r="H938" s="68" t="str">
        <f>IF(AND(Main[[#This Row],[In Stock Date]]&lt;&gt;"",Main[[#This Row],[Revised Due Date]]&lt;&gt;""),Main[[#This Row],[In Stock Date]]-Main[[#This Row],[Revised Due Date]],"")</f>
        <v/>
      </c>
      <c r="I938" s="65" t="s">
        <v>530</v>
      </c>
      <c r="J938" s="65" t="s">
        <v>21</v>
      </c>
      <c r="K938" s="71" t="s">
        <v>1923</v>
      </c>
      <c r="L938" s="67"/>
      <c r="M938" s="69" t="str">
        <f>IF(Main[[#This Row],[Tech Start Date]]&lt;1/1/1990,"",IF(Main[[#This Row],[Class]]="C",WORKDAY(Main[[#This Row],[Tech Start Date]],9),IF(Main[[#This Row],[Class]]="B", WORKDAY(Main[[#This Row],[Tech Start Date]],6),IF(Main[[#This Row],[Class]]="A",WORKDAY(Main[[#This Row],[Tech Start Date]],2),""))))</f>
        <v/>
      </c>
      <c r="N938" s="69" t="str">
        <f>IF(Main[[#This Row],[Tech Start Date]]&lt;1/1/1990,"",IF(Main[[#This Row],[Class]]="C",WORKDAY(Main[[#This Row],[Tech Start Date]],19),IF(Main[[#This Row],[Class]]="B", WORKDAY(Main[[#This Row],[Tech Start Date]],12),IF(Main[[#This Row],[Class]]="A",WORKDAY(Main[[#This Row],[Tech Start Date]],4),""))))</f>
        <v/>
      </c>
      <c r="O938" s="69" t="str">
        <f>IF(Main[[#This Row],[Tech Start Date]]&lt;1/1/1990,"",IF(Main[[#This Row],[Class]]="C",WORKDAY(Main[[#This Row],[Tech Start Date]],23),IF(Main[[#This Row],[Class]]="B", WORKDAY(Main[[#This Row],[Tech Start Date]],15),IF(Main[[#This Row],[Class]]="A",WORKDAY(Main[[#This Row],[Tech Start Date]],5),""))))</f>
        <v/>
      </c>
      <c r="P938" s="69" t="str">
        <f>IF(Main[[#This Row],[Tech Start Date]]&lt;1/1/1990,"",IF(Main[[#This Row],[Class]]="C",WORKDAY(Main[[#This Row],[Tech Start Date]],28),IF(Main[[#This Row],[Class]]="B", WORKDAY(Main[[#This Row],[Tech Start Date]],19),IF(Main[[#This Row],[Class]]="A",WORKDAY(Main[[#This Row],[Tech Start Date]],9),""))))</f>
        <v/>
      </c>
      <c r="Q938" s="67"/>
      <c r="R938" s="67"/>
      <c r="S938" s="65" t="s">
        <v>6</v>
      </c>
      <c r="T938" s="70" t="s">
        <v>4</v>
      </c>
      <c r="U938" s="65" t="s">
        <v>29</v>
      </c>
      <c r="V938" s="65" t="s">
        <v>1917</v>
      </c>
      <c r="W938" s="65" t="s">
        <v>1918</v>
      </c>
      <c r="X938" s="65" t="s">
        <v>102</v>
      </c>
      <c r="Y938" s="65" t="s">
        <v>3121</v>
      </c>
      <c r="Z938" s="65" t="s">
        <v>530</v>
      </c>
      <c r="AA938" s="65" t="s">
        <v>3452</v>
      </c>
    </row>
    <row r="939" spans="1:27" ht="17.45" hidden="1" customHeight="1">
      <c r="A939" s="100" t="str">
        <f>IF(priority(Main[[#This Row],[Comments]])&lt;&gt;0, priority(Main[[#This Row],[Comments]]),"")</f>
        <v/>
      </c>
      <c r="B939" s="77" t="s">
        <v>2218</v>
      </c>
      <c r="C939" s="65" t="s">
        <v>4</v>
      </c>
      <c r="D939" s="66" t="s">
        <v>2408</v>
      </c>
      <c r="E939" s="67">
        <v>40798.679803240739</v>
      </c>
      <c r="F939" s="67"/>
      <c r="G939" s="64" t="str">
        <f>IF(stdProdLT(Main[[#This Row],[Comments]])=0.1,"N/A",IF(stdProdLT(Main[[#This Row],[Comments]])=0,"",stdProdLT(Main[[#This Row],[Comments]])))</f>
        <v/>
      </c>
      <c r="H939" s="68" t="str">
        <f>IF(AND(Main[[#This Row],[In Stock Date]]&lt;&gt;"",Main[[#This Row],[Revised Due Date]]&lt;&gt;""),Main[[#This Row],[In Stock Date]]-Main[[#This Row],[Revised Due Date]],"")</f>
        <v/>
      </c>
      <c r="I939" s="65" t="s">
        <v>765</v>
      </c>
      <c r="J939" s="65" t="s">
        <v>52</v>
      </c>
      <c r="K939" s="65" t="s">
        <v>1923</v>
      </c>
      <c r="L939" s="67"/>
      <c r="M939" s="69" t="str">
        <f>IF(Main[[#This Row],[Tech Start Date]]&lt;1/1/1990,"",IF(Main[[#This Row],[Class]]="C",WORKDAY(Main[[#This Row],[Tech Start Date]],9),IF(Main[[#This Row],[Class]]="B", WORKDAY(Main[[#This Row],[Tech Start Date]],6),IF(Main[[#This Row],[Class]]="A",WORKDAY(Main[[#This Row],[Tech Start Date]],2),""))))</f>
        <v/>
      </c>
      <c r="N939" s="69" t="str">
        <f>IF(Main[[#This Row],[Tech Start Date]]&lt;1/1/1990,"",IF(Main[[#This Row],[Class]]="C",WORKDAY(Main[[#This Row],[Tech Start Date]],19),IF(Main[[#This Row],[Class]]="B", WORKDAY(Main[[#This Row],[Tech Start Date]],12),IF(Main[[#This Row],[Class]]="A",WORKDAY(Main[[#This Row],[Tech Start Date]],4),""))))</f>
        <v/>
      </c>
      <c r="O939" s="69" t="str">
        <f>IF(Main[[#This Row],[Tech Start Date]]&lt;1/1/1990,"",IF(Main[[#This Row],[Class]]="C",WORKDAY(Main[[#This Row],[Tech Start Date]],23),IF(Main[[#This Row],[Class]]="B", WORKDAY(Main[[#This Row],[Tech Start Date]],15),IF(Main[[#This Row],[Class]]="A",WORKDAY(Main[[#This Row],[Tech Start Date]],5),""))))</f>
        <v/>
      </c>
      <c r="P939" s="69" t="str">
        <f>IF(Main[[#This Row],[Tech Start Date]]&lt;1/1/1990,"",IF(Main[[#This Row],[Class]]="C",WORKDAY(Main[[#This Row],[Tech Start Date]],28),IF(Main[[#This Row],[Class]]="B", WORKDAY(Main[[#This Row],[Tech Start Date]],19),IF(Main[[#This Row],[Class]]="A",WORKDAY(Main[[#This Row],[Tech Start Date]],9),""))))</f>
        <v/>
      </c>
      <c r="Q939" s="67">
        <v>40847</v>
      </c>
      <c r="R939" s="67"/>
      <c r="S939" s="65" t="s">
        <v>6</v>
      </c>
      <c r="T939" s="70" t="s">
        <v>4</v>
      </c>
      <c r="U939" s="65" t="s">
        <v>29</v>
      </c>
      <c r="V939" s="65" t="s">
        <v>1917</v>
      </c>
      <c r="W939" s="65" t="s">
        <v>1918</v>
      </c>
      <c r="X939" s="65" t="s">
        <v>30</v>
      </c>
      <c r="Y939" s="65" t="s">
        <v>2940</v>
      </c>
      <c r="Z939" s="65" t="s">
        <v>30</v>
      </c>
      <c r="AA939" s="65" t="s">
        <v>30</v>
      </c>
    </row>
    <row r="940" spans="1:27" ht="17.45" hidden="1" customHeight="1">
      <c r="A940" s="100" t="str">
        <f>IF(priority(Main[[#This Row],[Comments]])&lt;&gt;0, priority(Main[[#This Row],[Comments]]),"")</f>
        <v/>
      </c>
      <c r="B940" s="77" t="s">
        <v>2409</v>
      </c>
      <c r="C940" s="65" t="s">
        <v>4</v>
      </c>
      <c r="D940" s="66" t="s">
        <v>2410</v>
      </c>
      <c r="E940" s="67">
        <v>40843.719166666669</v>
      </c>
      <c r="F940" s="67"/>
      <c r="G940" s="64" t="str">
        <f>IF(stdProdLT(Main[[#This Row],[Comments]])=0.1,"N/A",IF(stdProdLT(Main[[#This Row],[Comments]])=0,"",stdProdLT(Main[[#This Row],[Comments]])))</f>
        <v/>
      </c>
      <c r="H940" s="68" t="str">
        <f>IF(AND(Main[[#This Row],[In Stock Date]]&lt;&gt;"",Main[[#This Row],[Revised Due Date]]&lt;&gt;""),Main[[#This Row],[In Stock Date]]-Main[[#This Row],[Revised Due Date]],"")</f>
        <v/>
      </c>
      <c r="I940" s="65" t="s">
        <v>4</v>
      </c>
      <c r="J940" s="65" t="s">
        <v>51</v>
      </c>
      <c r="K940" s="71" t="s">
        <v>4</v>
      </c>
      <c r="L940" s="67"/>
      <c r="M940" s="69" t="str">
        <f>IF(Main[[#This Row],[Tech Start Date]]&lt;1/1/1990,"",IF(Main[[#This Row],[Class]]="C",WORKDAY(Main[[#This Row],[Tech Start Date]],9),IF(Main[[#This Row],[Class]]="B", WORKDAY(Main[[#This Row],[Tech Start Date]],6),IF(Main[[#This Row],[Class]]="A",WORKDAY(Main[[#This Row],[Tech Start Date]],2),""))))</f>
        <v/>
      </c>
      <c r="N940" s="69" t="str">
        <f>IF(Main[[#This Row],[Tech Start Date]]&lt;1/1/1990,"",IF(Main[[#This Row],[Class]]="C",WORKDAY(Main[[#This Row],[Tech Start Date]],19),IF(Main[[#This Row],[Class]]="B", WORKDAY(Main[[#This Row],[Tech Start Date]],12),IF(Main[[#This Row],[Class]]="A",WORKDAY(Main[[#This Row],[Tech Start Date]],4),""))))</f>
        <v/>
      </c>
      <c r="O940" s="69" t="str">
        <f>IF(Main[[#This Row],[Tech Start Date]]&lt;1/1/1990,"",IF(Main[[#This Row],[Class]]="C",WORKDAY(Main[[#This Row],[Tech Start Date]],23),IF(Main[[#This Row],[Class]]="B", WORKDAY(Main[[#This Row],[Tech Start Date]],15),IF(Main[[#This Row],[Class]]="A",WORKDAY(Main[[#This Row],[Tech Start Date]],5),""))))</f>
        <v/>
      </c>
      <c r="P940" s="69" t="str">
        <f>IF(Main[[#This Row],[Tech Start Date]]&lt;1/1/1990,"",IF(Main[[#This Row],[Class]]="C",WORKDAY(Main[[#This Row],[Tech Start Date]],28),IF(Main[[#This Row],[Class]]="B", WORKDAY(Main[[#This Row],[Tech Start Date]],19),IF(Main[[#This Row],[Class]]="A",WORKDAY(Main[[#This Row],[Tech Start Date]],9),""))))</f>
        <v/>
      </c>
      <c r="Q940" s="67"/>
      <c r="R940" s="67"/>
      <c r="S940" s="65" t="s">
        <v>6</v>
      </c>
      <c r="T940" s="70" t="s">
        <v>2411</v>
      </c>
      <c r="U940" s="65" t="s">
        <v>534</v>
      </c>
      <c r="V940" s="65" t="s">
        <v>1914</v>
      </c>
      <c r="W940" s="65" t="s">
        <v>1920</v>
      </c>
      <c r="X940" s="65" t="s">
        <v>306</v>
      </c>
      <c r="Y940" s="65" t="s">
        <v>4</v>
      </c>
      <c r="Z940" s="65" t="s">
        <v>4</v>
      </c>
      <c r="AA940" s="65" t="s">
        <v>2839</v>
      </c>
    </row>
    <row r="941" spans="1:27" ht="17.45" hidden="1" customHeight="1">
      <c r="A941" s="100" t="str">
        <f>IF(priority(Main[[#This Row],[Comments]])&lt;&gt;0, priority(Main[[#This Row],[Comments]]),"")</f>
        <v/>
      </c>
      <c r="B941" s="77" t="s">
        <v>2077</v>
      </c>
      <c r="C941" s="65" t="s">
        <v>4</v>
      </c>
      <c r="D941" s="66" t="s">
        <v>2078</v>
      </c>
      <c r="E941" s="67"/>
      <c r="F941" s="67"/>
      <c r="G941" s="64" t="str">
        <f>IF(stdProdLT(Main[[#This Row],[Comments]])=0.1,"N/A",IF(stdProdLT(Main[[#This Row],[Comments]])=0,"",stdProdLT(Main[[#This Row],[Comments]])))</f>
        <v/>
      </c>
      <c r="H941" s="68" t="str">
        <f>IF(AND(Main[[#This Row],[In Stock Date]]&lt;&gt;"",Main[[#This Row],[Revised Due Date]]&lt;&gt;""),Main[[#This Row],[In Stock Date]]-Main[[#This Row],[Revised Due Date]],"")</f>
        <v/>
      </c>
      <c r="I941" s="65" t="s">
        <v>4</v>
      </c>
      <c r="J941" s="65" t="s">
        <v>4</v>
      </c>
      <c r="K941" s="65" t="s">
        <v>4</v>
      </c>
      <c r="L941" s="67"/>
      <c r="M941" s="69" t="str">
        <f>IF(Main[[#This Row],[Tech Start Date]]&lt;1/1/1990,"",IF(Main[[#This Row],[Class]]="C",WORKDAY(Main[[#This Row],[Tech Start Date]],9),IF(Main[[#This Row],[Class]]="B", WORKDAY(Main[[#This Row],[Tech Start Date]],6),IF(Main[[#This Row],[Class]]="A",WORKDAY(Main[[#This Row],[Tech Start Date]],2),""))))</f>
        <v/>
      </c>
      <c r="N941" s="69" t="str">
        <f>IF(Main[[#This Row],[Tech Start Date]]&lt;1/1/1990,"",IF(Main[[#This Row],[Class]]="C",WORKDAY(Main[[#This Row],[Tech Start Date]],19),IF(Main[[#This Row],[Class]]="B", WORKDAY(Main[[#This Row],[Tech Start Date]],12),IF(Main[[#This Row],[Class]]="A",WORKDAY(Main[[#This Row],[Tech Start Date]],4),""))))</f>
        <v/>
      </c>
      <c r="O941" s="69" t="str">
        <f>IF(Main[[#This Row],[Tech Start Date]]&lt;1/1/1990,"",IF(Main[[#This Row],[Class]]="C",WORKDAY(Main[[#This Row],[Tech Start Date]],23),IF(Main[[#This Row],[Class]]="B", WORKDAY(Main[[#This Row],[Tech Start Date]],15),IF(Main[[#This Row],[Class]]="A",WORKDAY(Main[[#This Row],[Tech Start Date]],5),""))))</f>
        <v/>
      </c>
      <c r="P941" s="69" t="str">
        <f>IF(Main[[#This Row],[Tech Start Date]]&lt;1/1/1990,"",IF(Main[[#This Row],[Class]]="C",WORKDAY(Main[[#This Row],[Tech Start Date]],28),IF(Main[[#This Row],[Class]]="B", WORKDAY(Main[[#This Row],[Tech Start Date]],19),IF(Main[[#This Row],[Class]]="A",WORKDAY(Main[[#This Row],[Tech Start Date]],9),""))))</f>
        <v/>
      </c>
      <c r="Q941" s="67"/>
      <c r="R941" s="67"/>
      <c r="S941" s="65" t="s">
        <v>6</v>
      </c>
      <c r="T941" s="70" t="s">
        <v>4</v>
      </c>
      <c r="U941" s="65" t="s">
        <v>14</v>
      </c>
      <c r="V941" s="65" t="s">
        <v>1914</v>
      </c>
      <c r="W941" s="65" t="s">
        <v>1918</v>
      </c>
      <c r="X941" s="65" t="s">
        <v>306</v>
      </c>
      <c r="Y941" s="65" t="s">
        <v>4</v>
      </c>
      <c r="Z941" s="65" t="s">
        <v>4</v>
      </c>
      <c r="AA941" s="65" t="s">
        <v>4</v>
      </c>
    </row>
    <row r="942" spans="1:27" ht="17.45" hidden="1" customHeight="1">
      <c r="A942" s="100" t="str">
        <f>IF(priority(Main[[#This Row],[Comments]])&lt;&gt;0, priority(Main[[#This Row],[Comments]]),"")</f>
        <v/>
      </c>
      <c r="B942" s="77" t="s">
        <v>1758</v>
      </c>
      <c r="C942" s="65" t="s">
        <v>4</v>
      </c>
      <c r="D942" s="66" t="s">
        <v>2412</v>
      </c>
      <c r="E942" s="67">
        <v>40616.425347222219</v>
      </c>
      <c r="F942" s="67"/>
      <c r="G942" s="64" t="str">
        <f>IF(stdProdLT(Main[[#This Row],[Comments]])=0.1,"N/A",IF(stdProdLT(Main[[#This Row],[Comments]])=0,"",stdProdLT(Main[[#This Row],[Comments]])))</f>
        <v/>
      </c>
      <c r="H942" s="68" t="str">
        <f>IF(AND(Main[[#This Row],[In Stock Date]]&lt;&gt;"",Main[[#This Row],[Revised Due Date]]&lt;&gt;""),Main[[#This Row],[In Stock Date]]-Main[[#This Row],[Revised Due Date]],"")</f>
        <v/>
      </c>
      <c r="I942" s="65" t="s">
        <v>912</v>
      </c>
      <c r="J942" s="65" t="s">
        <v>52</v>
      </c>
      <c r="K942" s="65" t="s">
        <v>1923</v>
      </c>
      <c r="L942" s="67"/>
      <c r="M942" s="69" t="str">
        <f>IF(Main[[#This Row],[Tech Start Date]]&lt;1/1/1990,"",IF(Main[[#This Row],[Class]]="C",WORKDAY(Main[[#This Row],[Tech Start Date]],9),IF(Main[[#This Row],[Class]]="B", WORKDAY(Main[[#This Row],[Tech Start Date]],6),IF(Main[[#This Row],[Class]]="A",WORKDAY(Main[[#This Row],[Tech Start Date]],2),""))))</f>
        <v/>
      </c>
      <c r="N942" s="69" t="str">
        <f>IF(Main[[#This Row],[Tech Start Date]]&lt;1/1/1990,"",IF(Main[[#This Row],[Class]]="C",WORKDAY(Main[[#This Row],[Tech Start Date]],19),IF(Main[[#This Row],[Class]]="B", WORKDAY(Main[[#This Row],[Tech Start Date]],12),IF(Main[[#This Row],[Class]]="A",WORKDAY(Main[[#This Row],[Tech Start Date]],4),""))))</f>
        <v/>
      </c>
      <c r="O942" s="69" t="str">
        <f>IF(Main[[#This Row],[Tech Start Date]]&lt;1/1/1990,"",IF(Main[[#This Row],[Class]]="C",WORKDAY(Main[[#This Row],[Tech Start Date]],23),IF(Main[[#This Row],[Class]]="B", WORKDAY(Main[[#This Row],[Tech Start Date]],15),IF(Main[[#This Row],[Class]]="A",WORKDAY(Main[[#This Row],[Tech Start Date]],5),""))))</f>
        <v/>
      </c>
      <c r="P942" s="69" t="str">
        <f>IF(Main[[#This Row],[Tech Start Date]]&lt;1/1/1990,"",IF(Main[[#This Row],[Class]]="C",WORKDAY(Main[[#This Row],[Tech Start Date]],28),IF(Main[[#This Row],[Class]]="B", WORKDAY(Main[[#This Row],[Tech Start Date]],19),IF(Main[[#This Row],[Class]]="A",WORKDAY(Main[[#This Row],[Tech Start Date]],9),""))))</f>
        <v/>
      </c>
      <c r="Q942" s="67"/>
      <c r="R942" s="67"/>
      <c r="S942" s="65" t="s">
        <v>6</v>
      </c>
      <c r="T942" s="70" t="s">
        <v>4</v>
      </c>
      <c r="U942" s="65" t="s">
        <v>29</v>
      </c>
      <c r="V942" s="65" t="s">
        <v>1914</v>
      </c>
      <c r="W942" s="65" t="s">
        <v>1918</v>
      </c>
      <c r="X942" s="65" t="s">
        <v>2903</v>
      </c>
      <c r="Y942" s="65" t="s">
        <v>3083</v>
      </c>
      <c r="Z942" s="65" t="s">
        <v>530</v>
      </c>
      <c r="AA942" s="65" t="s">
        <v>2903</v>
      </c>
    </row>
    <row r="943" spans="1:27" ht="17.45" hidden="1" customHeight="1">
      <c r="A943" s="100" t="str">
        <f>IF(priority(Main[[#This Row],[Comments]])&lt;&gt;0, priority(Main[[#This Row],[Comments]]),"")</f>
        <v/>
      </c>
      <c r="B943" s="77" t="s">
        <v>2266</v>
      </c>
      <c r="C943" s="65" t="s">
        <v>4</v>
      </c>
      <c r="D943" s="66" t="s">
        <v>2267</v>
      </c>
      <c r="E943" s="67">
        <v>40808.345057870371</v>
      </c>
      <c r="F943" s="67"/>
      <c r="G943" s="64" t="str">
        <f>IF(stdProdLT(Main[[#This Row],[Comments]])=0.1,"N/A",IF(stdProdLT(Main[[#This Row],[Comments]])=0,"",stdProdLT(Main[[#This Row],[Comments]])))</f>
        <v/>
      </c>
      <c r="H943" s="68" t="str">
        <f>IF(AND(Main[[#This Row],[In Stock Date]]&lt;&gt;"",Main[[#This Row],[Revised Due Date]]&lt;&gt;""),Main[[#This Row],[In Stock Date]]-Main[[#This Row],[Revised Due Date]],"")</f>
        <v/>
      </c>
      <c r="I943" s="65" t="s">
        <v>4</v>
      </c>
      <c r="J943" s="65" t="s">
        <v>4</v>
      </c>
      <c r="K943" s="65" t="s">
        <v>4</v>
      </c>
      <c r="L943" s="67"/>
      <c r="M943" s="69" t="str">
        <f>IF(Main[[#This Row],[Tech Start Date]]&lt;1/1/1990,"",IF(Main[[#This Row],[Class]]="C",WORKDAY(Main[[#This Row],[Tech Start Date]],9),IF(Main[[#This Row],[Class]]="B", WORKDAY(Main[[#This Row],[Tech Start Date]],6),IF(Main[[#This Row],[Class]]="A",WORKDAY(Main[[#This Row],[Tech Start Date]],2),""))))</f>
        <v/>
      </c>
      <c r="N943" s="69" t="str">
        <f>IF(Main[[#This Row],[Tech Start Date]]&lt;1/1/1990,"",IF(Main[[#This Row],[Class]]="C",WORKDAY(Main[[#This Row],[Tech Start Date]],19),IF(Main[[#This Row],[Class]]="B", WORKDAY(Main[[#This Row],[Tech Start Date]],12),IF(Main[[#This Row],[Class]]="A",WORKDAY(Main[[#This Row],[Tech Start Date]],4),""))))</f>
        <v/>
      </c>
      <c r="O943" s="69" t="str">
        <f>IF(Main[[#This Row],[Tech Start Date]]&lt;1/1/1990,"",IF(Main[[#This Row],[Class]]="C",WORKDAY(Main[[#This Row],[Tech Start Date]],23),IF(Main[[#This Row],[Class]]="B", WORKDAY(Main[[#This Row],[Tech Start Date]],15),IF(Main[[#This Row],[Class]]="A",WORKDAY(Main[[#This Row],[Tech Start Date]],5),""))))</f>
        <v/>
      </c>
      <c r="P943" s="69" t="str">
        <f>IF(Main[[#This Row],[Tech Start Date]]&lt;1/1/1990,"",IF(Main[[#This Row],[Class]]="C",WORKDAY(Main[[#This Row],[Tech Start Date]],28),IF(Main[[#This Row],[Class]]="B", WORKDAY(Main[[#This Row],[Tech Start Date]],19),IF(Main[[#This Row],[Class]]="A",WORKDAY(Main[[#This Row],[Tech Start Date]],9),""))))</f>
        <v/>
      </c>
      <c r="Q943" s="67"/>
      <c r="R943" s="67"/>
      <c r="S943" s="65" t="s">
        <v>17</v>
      </c>
      <c r="T943" s="70" t="s">
        <v>4</v>
      </c>
      <c r="U943" s="65" t="s">
        <v>7</v>
      </c>
      <c r="V943" s="65" t="s">
        <v>1924</v>
      </c>
      <c r="W943" s="65" t="s">
        <v>1916</v>
      </c>
      <c r="X943" s="65" t="s">
        <v>2866</v>
      </c>
      <c r="Y943" s="65" t="s">
        <v>3000</v>
      </c>
      <c r="Z943" s="65" t="s">
        <v>4</v>
      </c>
      <c r="AA943" s="65" t="s">
        <v>2866</v>
      </c>
    </row>
    <row r="944" spans="1:27" ht="17.45" hidden="1" customHeight="1">
      <c r="A944" s="100" t="str">
        <f>IF(priority(Main[[#This Row],[Comments]])&lt;&gt;0, priority(Main[[#This Row],[Comments]]),"")</f>
        <v/>
      </c>
      <c r="B944" s="77" t="s">
        <v>2238</v>
      </c>
      <c r="C944" s="65" t="s">
        <v>4</v>
      </c>
      <c r="D944" s="66" t="s">
        <v>2239</v>
      </c>
      <c r="E944" s="67"/>
      <c r="F944" s="67"/>
      <c r="G944" s="64" t="str">
        <f>IF(stdProdLT(Main[[#This Row],[Comments]])=0.1,"N/A",IF(stdProdLT(Main[[#This Row],[Comments]])=0,"",stdProdLT(Main[[#This Row],[Comments]])))</f>
        <v/>
      </c>
      <c r="H944" s="68" t="str">
        <f>IF(AND(Main[[#This Row],[In Stock Date]]&lt;&gt;"",Main[[#This Row],[Revised Due Date]]&lt;&gt;""),Main[[#This Row],[In Stock Date]]-Main[[#This Row],[Revised Due Date]],"")</f>
        <v/>
      </c>
      <c r="I944" s="65" t="s">
        <v>4</v>
      </c>
      <c r="J944" s="65" t="s">
        <v>4</v>
      </c>
      <c r="K944" s="65" t="s">
        <v>4</v>
      </c>
      <c r="L944" s="67"/>
      <c r="M944" s="69" t="str">
        <f>IF(Main[[#This Row],[Tech Start Date]]&lt;1/1/1990,"",IF(Main[[#This Row],[Class]]="C",WORKDAY(Main[[#This Row],[Tech Start Date]],9),IF(Main[[#This Row],[Class]]="B", WORKDAY(Main[[#This Row],[Tech Start Date]],6),IF(Main[[#This Row],[Class]]="A",WORKDAY(Main[[#This Row],[Tech Start Date]],2),""))))</f>
        <v/>
      </c>
      <c r="N944" s="69" t="str">
        <f>IF(Main[[#This Row],[Tech Start Date]]&lt;1/1/1990,"",IF(Main[[#This Row],[Class]]="C",WORKDAY(Main[[#This Row],[Tech Start Date]],19),IF(Main[[#This Row],[Class]]="B", WORKDAY(Main[[#This Row],[Tech Start Date]],12),IF(Main[[#This Row],[Class]]="A",WORKDAY(Main[[#This Row],[Tech Start Date]],4),""))))</f>
        <v/>
      </c>
      <c r="O944" s="69" t="str">
        <f>IF(Main[[#This Row],[Tech Start Date]]&lt;1/1/1990,"",IF(Main[[#This Row],[Class]]="C",WORKDAY(Main[[#This Row],[Tech Start Date]],23),IF(Main[[#This Row],[Class]]="B", WORKDAY(Main[[#This Row],[Tech Start Date]],15),IF(Main[[#This Row],[Class]]="A",WORKDAY(Main[[#This Row],[Tech Start Date]],5),""))))</f>
        <v/>
      </c>
      <c r="P944" s="69" t="str">
        <f>IF(Main[[#This Row],[Tech Start Date]]&lt;1/1/1990,"",IF(Main[[#This Row],[Class]]="C",WORKDAY(Main[[#This Row],[Tech Start Date]],28),IF(Main[[#This Row],[Class]]="B", WORKDAY(Main[[#This Row],[Tech Start Date]],19),IF(Main[[#This Row],[Class]]="A",WORKDAY(Main[[#This Row],[Tech Start Date]],9),""))))</f>
        <v/>
      </c>
      <c r="Q944" s="67"/>
      <c r="R944" s="67"/>
      <c r="S944" s="65" t="s">
        <v>6</v>
      </c>
      <c r="T944" s="70" t="s">
        <v>4</v>
      </c>
      <c r="U944" s="65" t="s">
        <v>14</v>
      </c>
      <c r="V944" s="65" t="s">
        <v>1917</v>
      </c>
      <c r="W944" s="65" t="s">
        <v>1918</v>
      </c>
      <c r="X944" s="65" t="s">
        <v>102</v>
      </c>
      <c r="Y944" s="65" t="s">
        <v>4</v>
      </c>
      <c r="Z944" s="65" t="s">
        <v>4</v>
      </c>
      <c r="AA944" s="65" t="s">
        <v>3453</v>
      </c>
    </row>
    <row r="945" spans="1:27" ht="17.45" hidden="1" customHeight="1">
      <c r="A945" s="100" t="str">
        <f>IF(priority(Main[[#This Row],[Comments]])&lt;&gt;0, priority(Main[[#This Row],[Comments]]),"")</f>
        <v/>
      </c>
      <c r="B945" s="77" t="s">
        <v>2240</v>
      </c>
      <c r="C945" s="65" t="s">
        <v>4</v>
      </c>
      <c r="D945" s="66" t="s">
        <v>2241</v>
      </c>
      <c r="E945" s="67">
        <v>40801.476770833331</v>
      </c>
      <c r="F945" s="67"/>
      <c r="G945" s="64" t="str">
        <f>IF(stdProdLT(Main[[#This Row],[Comments]])=0.1,"N/A",IF(stdProdLT(Main[[#This Row],[Comments]])=0,"",stdProdLT(Main[[#This Row],[Comments]])))</f>
        <v/>
      </c>
      <c r="H945" s="68" t="str">
        <f>IF(AND(Main[[#This Row],[In Stock Date]]&lt;&gt;"",Main[[#This Row],[Revised Due Date]]&lt;&gt;""),Main[[#This Row],[In Stock Date]]-Main[[#This Row],[Revised Due Date]],"")</f>
        <v/>
      </c>
      <c r="I945" s="65" t="s">
        <v>4</v>
      </c>
      <c r="J945" s="65" t="s">
        <v>4</v>
      </c>
      <c r="K945" s="65" t="s">
        <v>4</v>
      </c>
      <c r="L945" s="67"/>
      <c r="M945" s="69" t="str">
        <f>IF(Main[[#This Row],[Tech Start Date]]&lt;1/1/1990,"",IF(Main[[#This Row],[Class]]="C",WORKDAY(Main[[#This Row],[Tech Start Date]],9),IF(Main[[#This Row],[Class]]="B", WORKDAY(Main[[#This Row],[Tech Start Date]],6),IF(Main[[#This Row],[Class]]="A",WORKDAY(Main[[#This Row],[Tech Start Date]],2),""))))</f>
        <v/>
      </c>
      <c r="N945" s="69" t="str">
        <f>IF(Main[[#This Row],[Tech Start Date]]&lt;1/1/1990,"",IF(Main[[#This Row],[Class]]="C",WORKDAY(Main[[#This Row],[Tech Start Date]],19),IF(Main[[#This Row],[Class]]="B", WORKDAY(Main[[#This Row],[Tech Start Date]],12),IF(Main[[#This Row],[Class]]="A",WORKDAY(Main[[#This Row],[Tech Start Date]],4),""))))</f>
        <v/>
      </c>
      <c r="O945" s="69" t="str">
        <f>IF(Main[[#This Row],[Tech Start Date]]&lt;1/1/1990,"",IF(Main[[#This Row],[Class]]="C",WORKDAY(Main[[#This Row],[Tech Start Date]],23),IF(Main[[#This Row],[Class]]="B", WORKDAY(Main[[#This Row],[Tech Start Date]],15),IF(Main[[#This Row],[Class]]="A",WORKDAY(Main[[#This Row],[Tech Start Date]],5),""))))</f>
        <v/>
      </c>
      <c r="P945" s="69" t="str">
        <f>IF(Main[[#This Row],[Tech Start Date]]&lt;1/1/1990,"",IF(Main[[#This Row],[Class]]="C",WORKDAY(Main[[#This Row],[Tech Start Date]],28),IF(Main[[#This Row],[Class]]="B", WORKDAY(Main[[#This Row],[Tech Start Date]],19),IF(Main[[#This Row],[Class]]="A",WORKDAY(Main[[#This Row],[Tech Start Date]],9),""))))</f>
        <v/>
      </c>
      <c r="Q945" s="67">
        <v>40828</v>
      </c>
      <c r="R945" s="67"/>
      <c r="S945" s="65" t="s">
        <v>6</v>
      </c>
      <c r="T945" s="70" t="s">
        <v>4</v>
      </c>
      <c r="U945" s="65" t="s">
        <v>7</v>
      </c>
      <c r="V945" s="65" t="s">
        <v>1914</v>
      </c>
      <c r="W945" s="65" t="s">
        <v>1922</v>
      </c>
      <c r="X945" s="65" t="s">
        <v>2821</v>
      </c>
      <c r="Y945" s="65" t="s">
        <v>2936</v>
      </c>
      <c r="Z945" s="65" t="s">
        <v>4</v>
      </c>
      <c r="AA945" s="65" t="s">
        <v>2821</v>
      </c>
    </row>
    <row r="946" spans="1:27" ht="17.45" hidden="1" customHeight="1">
      <c r="A946" s="100" t="str">
        <f>IF(priority(Main[[#This Row],[Comments]])&lt;&gt;0, priority(Main[[#This Row],[Comments]]),"")</f>
        <v/>
      </c>
      <c r="B946" s="77" t="s">
        <v>1174</v>
      </c>
      <c r="C946" s="65" t="s">
        <v>4</v>
      </c>
      <c r="D946" s="66" t="s">
        <v>229</v>
      </c>
      <c r="E946" s="67">
        <v>40847.6950462963</v>
      </c>
      <c r="F946" s="67"/>
      <c r="G946" s="64" t="str">
        <f>IF(stdProdLT(Main[[#This Row],[Comments]])=0.1,"N/A",IF(stdProdLT(Main[[#This Row],[Comments]])=0,"",stdProdLT(Main[[#This Row],[Comments]])))</f>
        <v/>
      </c>
      <c r="H946" s="68" t="str">
        <f>IF(AND(Main[[#This Row],[In Stock Date]]&lt;&gt;"",Main[[#This Row],[Revised Due Date]]&lt;&gt;""),Main[[#This Row],[In Stock Date]]-Main[[#This Row],[Revised Due Date]],"")</f>
        <v/>
      </c>
      <c r="I946" s="65" t="s">
        <v>4</v>
      </c>
      <c r="J946" s="65" t="s">
        <v>4</v>
      </c>
      <c r="K946" s="65" t="s">
        <v>4</v>
      </c>
      <c r="L946" s="67"/>
      <c r="M946" s="69" t="str">
        <f>IF(Main[[#This Row],[Tech Start Date]]&lt;1/1/1990,"",IF(Main[[#This Row],[Class]]="C",WORKDAY(Main[[#This Row],[Tech Start Date]],9),IF(Main[[#This Row],[Class]]="B", WORKDAY(Main[[#This Row],[Tech Start Date]],6),IF(Main[[#This Row],[Class]]="A",WORKDAY(Main[[#This Row],[Tech Start Date]],2),""))))</f>
        <v/>
      </c>
      <c r="N946" s="69" t="str">
        <f>IF(Main[[#This Row],[Tech Start Date]]&lt;1/1/1990,"",IF(Main[[#This Row],[Class]]="C",WORKDAY(Main[[#This Row],[Tech Start Date]],19),IF(Main[[#This Row],[Class]]="B", WORKDAY(Main[[#This Row],[Tech Start Date]],12),IF(Main[[#This Row],[Class]]="A",WORKDAY(Main[[#This Row],[Tech Start Date]],4),""))))</f>
        <v/>
      </c>
      <c r="O946" s="69" t="str">
        <f>IF(Main[[#This Row],[Tech Start Date]]&lt;1/1/1990,"",IF(Main[[#This Row],[Class]]="C",WORKDAY(Main[[#This Row],[Tech Start Date]],23),IF(Main[[#This Row],[Class]]="B", WORKDAY(Main[[#This Row],[Tech Start Date]],15),IF(Main[[#This Row],[Class]]="A",WORKDAY(Main[[#This Row],[Tech Start Date]],5),""))))</f>
        <v/>
      </c>
      <c r="P946" s="69" t="str">
        <f>IF(Main[[#This Row],[Tech Start Date]]&lt;1/1/1990,"",IF(Main[[#This Row],[Class]]="C",WORKDAY(Main[[#This Row],[Tech Start Date]],28),IF(Main[[#This Row],[Class]]="B", WORKDAY(Main[[#This Row],[Tech Start Date]],19),IF(Main[[#This Row],[Class]]="A",WORKDAY(Main[[#This Row],[Tech Start Date]],9),""))))</f>
        <v/>
      </c>
      <c r="Q946" s="67"/>
      <c r="R946" s="67"/>
      <c r="S946" s="65" t="s">
        <v>49</v>
      </c>
      <c r="T946" s="70" t="s">
        <v>4</v>
      </c>
      <c r="U946" s="65" t="s">
        <v>7</v>
      </c>
      <c r="V946" s="65" t="s">
        <v>1914</v>
      </c>
      <c r="W946" s="65" t="s">
        <v>1918</v>
      </c>
      <c r="X946" s="65" t="s">
        <v>907</v>
      </c>
      <c r="Y946" s="65" t="s">
        <v>3017</v>
      </c>
      <c r="Z946" s="65" t="s">
        <v>4</v>
      </c>
      <c r="AA946" s="65" t="s">
        <v>907</v>
      </c>
    </row>
    <row r="947" spans="1:27" ht="17.45" hidden="1" customHeight="1">
      <c r="A947" s="100" t="str">
        <f>IF(priority(Main[[#This Row],[Comments]])&lt;&gt;0, priority(Main[[#This Row],[Comments]]),"")</f>
        <v/>
      </c>
      <c r="B947" s="77" t="s">
        <v>1631</v>
      </c>
      <c r="C947" s="65" t="s">
        <v>79</v>
      </c>
      <c r="D947" s="66" t="s">
        <v>704</v>
      </c>
      <c r="E947" s="67">
        <v>40610.683993055558</v>
      </c>
      <c r="F947" s="67"/>
      <c r="G947" s="64" t="str">
        <f>IF(stdProdLT(Main[[#This Row],[Comments]])=0.1,"N/A",IF(stdProdLT(Main[[#This Row],[Comments]])=0,"",stdProdLT(Main[[#This Row],[Comments]])))</f>
        <v/>
      </c>
      <c r="H947" s="68" t="str">
        <f>IF(AND(Main[[#This Row],[In Stock Date]]&lt;&gt;"",Main[[#This Row],[Revised Due Date]]&lt;&gt;""),Main[[#This Row],[In Stock Date]]-Main[[#This Row],[Revised Due Date]],"")</f>
        <v/>
      </c>
      <c r="I947" s="65" t="s">
        <v>530</v>
      </c>
      <c r="J947" s="65" t="s">
        <v>28</v>
      </c>
      <c r="K947" s="65" t="s">
        <v>1926</v>
      </c>
      <c r="L947" s="67"/>
      <c r="M947" s="69" t="str">
        <f>IF(Main[[#This Row],[Tech Start Date]]&lt;1/1/1990,"",IF(Main[[#This Row],[Class]]="C",WORKDAY(Main[[#This Row],[Tech Start Date]],9),IF(Main[[#This Row],[Class]]="B", WORKDAY(Main[[#This Row],[Tech Start Date]],6),IF(Main[[#This Row],[Class]]="A",WORKDAY(Main[[#This Row],[Tech Start Date]],2),""))))</f>
        <v/>
      </c>
      <c r="N947" s="69" t="str">
        <f>IF(Main[[#This Row],[Tech Start Date]]&lt;1/1/1990,"",IF(Main[[#This Row],[Class]]="C",WORKDAY(Main[[#This Row],[Tech Start Date]],19),IF(Main[[#This Row],[Class]]="B", WORKDAY(Main[[#This Row],[Tech Start Date]],12),IF(Main[[#This Row],[Class]]="A",WORKDAY(Main[[#This Row],[Tech Start Date]],4),""))))</f>
        <v/>
      </c>
      <c r="O947" s="69" t="str">
        <f>IF(Main[[#This Row],[Tech Start Date]]&lt;1/1/1990,"",IF(Main[[#This Row],[Class]]="C",WORKDAY(Main[[#This Row],[Tech Start Date]],23),IF(Main[[#This Row],[Class]]="B", WORKDAY(Main[[#This Row],[Tech Start Date]],15),IF(Main[[#This Row],[Class]]="A",WORKDAY(Main[[#This Row],[Tech Start Date]],5),""))))</f>
        <v/>
      </c>
      <c r="P947" s="69" t="str">
        <f>IF(Main[[#This Row],[Tech Start Date]]&lt;1/1/1990,"",IF(Main[[#This Row],[Class]]="C",WORKDAY(Main[[#This Row],[Tech Start Date]],28),IF(Main[[#This Row],[Class]]="B", WORKDAY(Main[[#This Row],[Tech Start Date]],19),IF(Main[[#This Row],[Class]]="A",WORKDAY(Main[[#This Row],[Tech Start Date]],9),""))))</f>
        <v/>
      </c>
      <c r="Q947" s="67">
        <v>40725</v>
      </c>
      <c r="R947" s="67"/>
      <c r="S947" s="65" t="s">
        <v>6</v>
      </c>
      <c r="T947" s="70" t="s">
        <v>4</v>
      </c>
      <c r="U947" s="65" t="s">
        <v>29</v>
      </c>
      <c r="V947" s="65" t="s">
        <v>1917</v>
      </c>
      <c r="W947" s="65" t="s">
        <v>1916</v>
      </c>
      <c r="X947" s="65" t="s">
        <v>553</v>
      </c>
      <c r="Y947" s="65" t="s">
        <v>2952</v>
      </c>
      <c r="Z947" s="65" t="s">
        <v>30</v>
      </c>
      <c r="AA947" s="65" t="s">
        <v>553</v>
      </c>
    </row>
    <row r="948" spans="1:27" ht="17.45" hidden="1" customHeight="1">
      <c r="A948" s="100" t="str">
        <f>IF(priority(Main[[#This Row],[Comments]])&lt;&gt;0, priority(Main[[#This Row],[Comments]]),"")</f>
        <v/>
      </c>
      <c r="B948" s="77" t="s">
        <v>1171</v>
      </c>
      <c r="C948" s="65" t="s">
        <v>4</v>
      </c>
      <c r="D948" s="66" t="s">
        <v>2421</v>
      </c>
      <c r="E948" s="67">
        <v>40567.661041666666</v>
      </c>
      <c r="F948" s="67">
        <v>40602</v>
      </c>
      <c r="G948" s="64" t="str">
        <f>IF(stdProdLT(Main[[#This Row],[Comments]])=0.1,"N/A",IF(stdProdLT(Main[[#This Row],[Comments]])=0,"",stdProdLT(Main[[#This Row],[Comments]])))</f>
        <v/>
      </c>
      <c r="H948" s="68" t="str">
        <f>IF(AND(Main[[#This Row],[In Stock Date]]&lt;&gt;"",Main[[#This Row],[Revised Due Date]]&lt;&gt;""),Main[[#This Row],[In Stock Date]]-Main[[#This Row],[Revised Due Date]],"")</f>
        <v/>
      </c>
      <c r="I948" s="65" t="s">
        <v>912</v>
      </c>
      <c r="J948" s="65" t="s">
        <v>52</v>
      </c>
      <c r="K948" s="65" t="s">
        <v>1923</v>
      </c>
      <c r="L948" s="67"/>
      <c r="M948" s="69" t="str">
        <f>IF(Main[[#This Row],[Tech Start Date]]&lt;1/1/1990,"",IF(Main[[#This Row],[Class]]="C",WORKDAY(Main[[#This Row],[Tech Start Date]],9),IF(Main[[#This Row],[Class]]="B", WORKDAY(Main[[#This Row],[Tech Start Date]],6),IF(Main[[#This Row],[Class]]="A",WORKDAY(Main[[#This Row],[Tech Start Date]],2),""))))</f>
        <v/>
      </c>
      <c r="N948" s="69" t="str">
        <f>IF(Main[[#This Row],[Tech Start Date]]&lt;1/1/1990,"",IF(Main[[#This Row],[Class]]="C",WORKDAY(Main[[#This Row],[Tech Start Date]],19),IF(Main[[#This Row],[Class]]="B", WORKDAY(Main[[#This Row],[Tech Start Date]],12),IF(Main[[#This Row],[Class]]="A",WORKDAY(Main[[#This Row],[Tech Start Date]],4),""))))</f>
        <v/>
      </c>
      <c r="O948" s="69" t="str">
        <f>IF(Main[[#This Row],[Tech Start Date]]&lt;1/1/1990,"",IF(Main[[#This Row],[Class]]="C",WORKDAY(Main[[#This Row],[Tech Start Date]],23),IF(Main[[#This Row],[Class]]="B", WORKDAY(Main[[#This Row],[Tech Start Date]],15),IF(Main[[#This Row],[Class]]="A",WORKDAY(Main[[#This Row],[Tech Start Date]],5),""))))</f>
        <v/>
      </c>
      <c r="P948" s="69" t="str">
        <f>IF(Main[[#This Row],[Tech Start Date]]&lt;1/1/1990,"",IF(Main[[#This Row],[Class]]="C",WORKDAY(Main[[#This Row],[Tech Start Date]],28),IF(Main[[#This Row],[Class]]="B", WORKDAY(Main[[#This Row],[Tech Start Date]],19),IF(Main[[#This Row],[Class]]="A",WORKDAY(Main[[#This Row],[Tech Start Date]],9),""))))</f>
        <v/>
      </c>
      <c r="Q948" s="67">
        <v>40602</v>
      </c>
      <c r="R948" s="67"/>
      <c r="S948" s="65" t="s">
        <v>6</v>
      </c>
      <c r="T948" s="70" t="s">
        <v>4</v>
      </c>
      <c r="U948" s="65" t="s">
        <v>29</v>
      </c>
      <c r="V948" s="65" t="s">
        <v>1914</v>
      </c>
      <c r="W948" s="65" t="s">
        <v>1916</v>
      </c>
      <c r="X948" s="65" t="s">
        <v>2818</v>
      </c>
      <c r="Y948" s="65" t="s">
        <v>2929</v>
      </c>
      <c r="Z948" s="65" t="s">
        <v>129</v>
      </c>
      <c r="AA948" s="65" t="s">
        <v>2818</v>
      </c>
    </row>
    <row r="949" spans="1:27" ht="17.45" hidden="1" customHeight="1">
      <c r="A949" s="100" t="str">
        <f>IF(priority(Main[[#This Row],[Comments]])&lt;&gt;0, priority(Main[[#This Row],[Comments]]),"")</f>
        <v/>
      </c>
      <c r="B949" s="77" t="s">
        <v>1573</v>
      </c>
      <c r="C949" s="65" t="s">
        <v>4</v>
      </c>
      <c r="D949" s="66" t="s">
        <v>2422</v>
      </c>
      <c r="E949" s="67">
        <v>40463.34134259259</v>
      </c>
      <c r="F949" s="67"/>
      <c r="G949" s="64" t="str">
        <f>IF(stdProdLT(Main[[#This Row],[Comments]])=0.1,"N/A",IF(stdProdLT(Main[[#This Row],[Comments]])=0,"",stdProdLT(Main[[#This Row],[Comments]])))</f>
        <v/>
      </c>
      <c r="H949" s="68" t="str">
        <f>IF(AND(Main[[#This Row],[In Stock Date]]&lt;&gt;"",Main[[#This Row],[Revised Due Date]]&lt;&gt;""),Main[[#This Row],[In Stock Date]]-Main[[#This Row],[Revised Due Date]],"")</f>
        <v/>
      </c>
      <c r="I949" s="65" t="s">
        <v>912</v>
      </c>
      <c r="J949" s="65" t="s">
        <v>52</v>
      </c>
      <c r="K949" s="71" t="s">
        <v>4</v>
      </c>
      <c r="L949" s="67"/>
      <c r="M949" s="69" t="str">
        <f>IF(Main[[#This Row],[Tech Start Date]]&lt;1/1/1990,"",IF(Main[[#This Row],[Class]]="C",WORKDAY(Main[[#This Row],[Tech Start Date]],9),IF(Main[[#This Row],[Class]]="B", WORKDAY(Main[[#This Row],[Tech Start Date]],6),IF(Main[[#This Row],[Class]]="A",WORKDAY(Main[[#This Row],[Tech Start Date]],2),""))))</f>
        <v/>
      </c>
      <c r="N949" s="69" t="str">
        <f>IF(Main[[#This Row],[Tech Start Date]]&lt;1/1/1990,"",IF(Main[[#This Row],[Class]]="C",WORKDAY(Main[[#This Row],[Tech Start Date]],19),IF(Main[[#This Row],[Class]]="B", WORKDAY(Main[[#This Row],[Tech Start Date]],12),IF(Main[[#This Row],[Class]]="A",WORKDAY(Main[[#This Row],[Tech Start Date]],4),""))))</f>
        <v/>
      </c>
      <c r="O949" s="69" t="str">
        <f>IF(Main[[#This Row],[Tech Start Date]]&lt;1/1/1990,"",IF(Main[[#This Row],[Class]]="C",WORKDAY(Main[[#This Row],[Tech Start Date]],23),IF(Main[[#This Row],[Class]]="B", WORKDAY(Main[[#This Row],[Tech Start Date]],15),IF(Main[[#This Row],[Class]]="A",WORKDAY(Main[[#This Row],[Tech Start Date]],5),""))))</f>
        <v/>
      </c>
      <c r="P949" s="69" t="str">
        <f>IF(Main[[#This Row],[Tech Start Date]]&lt;1/1/1990,"",IF(Main[[#This Row],[Class]]="C",WORKDAY(Main[[#This Row],[Tech Start Date]],28),IF(Main[[#This Row],[Class]]="B", WORKDAY(Main[[#This Row],[Tech Start Date]],19),IF(Main[[#This Row],[Class]]="A",WORKDAY(Main[[#This Row],[Tech Start Date]],9),""))))</f>
        <v/>
      </c>
      <c r="Q949" s="67">
        <v>40497</v>
      </c>
      <c r="R949" s="67"/>
      <c r="S949" s="65" t="s">
        <v>6</v>
      </c>
      <c r="T949" s="70" t="s">
        <v>4</v>
      </c>
      <c r="U949" s="65" t="s">
        <v>29</v>
      </c>
      <c r="V949" s="65" t="s">
        <v>1914</v>
      </c>
      <c r="W949" s="65" t="s">
        <v>1918</v>
      </c>
      <c r="X949" s="65" t="s">
        <v>2818</v>
      </c>
      <c r="Y949" s="65" t="s">
        <v>2929</v>
      </c>
      <c r="Z949" s="65" t="s">
        <v>129</v>
      </c>
      <c r="AA949" s="65" t="s">
        <v>2818</v>
      </c>
    </row>
    <row r="950" spans="1:27" ht="17.45" hidden="1" customHeight="1">
      <c r="A950" s="100" t="str">
        <f>IF(priority(Main[[#This Row],[Comments]])&lt;&gt;0, priority(Main[[#This Row],[Comments]]),"")</f>
        <v/>
      </c>
      <c r="B950" s="77" t="s">
        <v>2423</v>
      </c>
      <c r="C950" s="65" t="s">
        <v>4</v>
      </c>
      <c r="D950" s="66" t="s">
        <v>2424</v>
      </c>
      <c r="E950" s="67">
        <v>40833.65898148148</v>
      </c>
      <c r="F950" s="67"/>
      <c r="G950" s="64" t="str">
        <f>IF(stdProdLT(Main[[#This Row],[Comments]])=0.1,"N/A",IF(stdProdLT(Main[[#This Row],[Comments]])=0,"",stdProdLT(Main[[#This Row],[Comments]])))</f>
        <v/>
      </c>
      <c r="H950" s="68" t="str">
        <f>IF(AND(Main[[#This Row],[In Stock Date]]&lt;&gt;"",Main[[#This Row],[Revised Due Date]]&lt;&gt;""),Main[[#This Row],[In Stock Date]]-Main[[#This Row],[Revised Due Date]],"")</f>
        <v/>
      </c>
      <c r="I950" s="65" t="s">
        <v>530</v>
      </c>
      <c r="J950" s="65" t="s">
        <v>28</v>
      </c>
      <c r="K950" s="71" t="s">
        <v>1923</v>
      </c>
      <c r="L950" s="67"/>
      <c r="M950" s="69" t="str">
        <f>IF(Main[[#This Row],[Tech Start Date]]&lt;1/1/1990,"",IF(Main[[#This Row],[Class]]="C",WORKDAY(Main[[#This Row],[Tech Start Date]],9),IF(Main[[#This Row],[Class]]="B", WORKDAY(Main[[#This Row],[Tech Start Date]],6),IF(Main[[#This Row],[Class]]="A",WORKDAY(Main[[#This Row],[Tech Start Date]],2),""))))</f>
        <v/>
      </c>
      <c r="N950" s="69" t="str">
        <f>IF(Main[[#This Row],[Tech Start Date]]&lt;1/1/1990,"",IF(Main[[#This Row],[Class]]="C",WORKDAY(Main[[#This Row],[Tech Start Date]],19),IF(Main[[#This Row],[Class]]="B", WORKDAY(Main[[#This Row],[Tech Start Date]],12),IF(Main[[#This Row],[Class]]="A",WORKDAY(Main[[#This Row],[Tech Start Date]],4),""))))</f>
        <v/>
      </c>
      <c r="O950" s="69" t="str">
        <f>IF(Main[[#This Row],[Tech Start Date]]&lt;1/1/1990,"",IF(Main[[#This Row],[Class]]="C",WORKDAY(Main[[#This Row],[Tech Start Date]],23),IF(Main[[#This Row],[Class]]="B", WORKDAY(Main[[#This Row],[Tech Start Date]],15),IF(Main[[#This Row],[Class]]="A",WORKDAY(Main[[#This Row],[Tech Start Date]],5),""))))</f>
        <v/>
      </c>
      <c r="P950" s="69" t="str">
        <f>IF(Main[[#This Row],[Tech Start Date]]&lt;1/1/1990,"",IF(Main[[#This Row],[Class]]="C",WORKDAY(Main[[#This Row],[Tech Start Date]],28),IF(Main[[#This Row],[Class]]="B", WORKDAY(Main[[#This Row],[Tech Start Date]],19),IF(Main[[#This Row],[Class]]="A",WORKDAY(Main[[#This Row],[Tech Start Date]],9),""))))</f>
        <v/>
      </c>
      <c r="Q950" s="67">
        <v>40923</v>
      </c>
      <c r="R950" s="67"/>
      <c r="S950" s="65" t="s">
        <v>6</v>
      </c>
      <c r="T950" s="70" t="s">
        <v>4</v>
      </c>
      <c r="U950" s="65" t="s">
        <v>29</v>
      </c>
      <c r="V950" s="65" t="s">
        <v>1917</v>
      </c>
      <c r="W950" s="65" t="s">
        <v>1918</v>
      </c>
      <c r="X950" s="65" t="s">
        <v>553</v>
      </c>
      <c r="Y950" s="65" t="s">
        <v>2952</v>
      </c>
      <c r="Z950" s="65" t="s">
        <v>30</v>
      </c>
      <c r="AA950" s="65" t="s">
        <v>553</v>
      </c>
    </row>
    <row r="951" spans="1:27" ht="17.45" hidden="1" customHeight="1">
      <c r="A951" s="100" t="str">
        <f>IF(priority(Main[[#This Row],[Comments]])&lt;&gt;0, priority(Main[[#This Row],[Comments]]),"")</f>
        <v/>
      </c>
      <c r="B951" s="77" t="s">
        <v>1765</v>
      </c>
      <c r="C951" s="65" t="s">
        <v>4</v>
      </c>
      <c r="D951" s="66" t="s">
        <v>2311</v>
      </c>
      <c r="E951" s="67">
        <v>40660.402291666665</v>
      </c>
      <c r="F951" s="67"/>
      <c r="G951" s="64" t="str">
        <f>IF(stdProdLT(Main[[#This Row],[Comments]])=0.1,"N/A",IF(stdProdLT(Main[[#This Row],[Comments]])=0,"",stdProdLT(Main[[#This Row],[Comments]])))</f>
        <v/>
      </c>
      <c r="H951" s="68" t="str">
        <f>IF(AND(Main[[#This Row],[In Stock Date]]&lt;&gt;"",Main[[#This Row],[Revised Due Date]]&lt;&gt;""),Main[[#This Row],[In Stock Date]]-Main[[#This Row],[Revised Due Date]],"")</f>
        <v/>
      </c>
      <c r="I951" s="65" t="s">
        <v>561</v>
      </c>
      <c r="J951" s="65" t="s">
        <v>21</v>
      </c>
      <c r="K951" s="65" t="s">
        <v>4</v>
      </c>
      <c r="L951" s="67"/>
      <c r="M951" s="69" t="str">
        <f>IF(Main[[#This Row],[Tech Start Date]]&lt;1/1/1990,"",IF(Main[[#This Row],[Class]]="C",WORKDAY(Main[[#This Row],[Tech Start Date]],9),IF(Main[[#This Row],[Class]]="B", WORKDAY(Main[[#This Row],[Tech Start Date]],6),IF(Main[[#This Row],[Class]]="A",WORKDAY(Main[[#This Row],[Tech Start Date]],2),""))))</f>
        <v/>
      </c>
      <c r="N951" s="69" t="str">
        <f>IF(Main[[#This Row],[Tech Start Date]]&lt;1/1/1990,"",IF(Main[[#This Row],[Class]]="C",WORKDAY(Main[[#This Row],[Tech Start Date]],19),IF(Main[[#This Row],[Class]]="B", WORKDAY(Main[[#This Row],[Tech Start Date]],12),IF(Main[[#This Row],[Class]]="A",WORKDAY(Main[[#This Row],[Tech Start Date]],4),""))))</f>
        <v/>
      </c>
      <c r="O951" s="69" t="str">
        <f>IF(Main[[#This Row],[Tech Start Date]]&lt;1/1/1990,"",IF(Main[[#This Row],[Class]]="C",WORKDAY(Main[[#This Row],[Tech Start Date]],23),IF(Main[[#This Row],[Class]]="B", WORKDAY(Main[[#This Row],[Tech Start Date]],15),IF(Main[[#This Row],[Class]]="A",WORKDAY(Main[[#This Row],[Tech Start Date]],5),""))))</f>
        <v/>
      </c>
      <c r="P951" s="69" t="str">
        <f>IF(Main[[#This Row],[Tech Start Date]]&lt;1/1/1990,"",IF(Main[[#This Row],[Class]]="C",WORKDAY(Main[[#This Row],[Tech Start Date]],28),IF(Main[[#This Row],[Class]]="B", WORKDAY(Main[[#This Row],[Tech Start Date]],19),IF(Main[[#This Row],[Class]]="A",WORKDAY(Main[[#This Row],[Tech Start Date]],9),""))))</f>
        <v/>
      </c>
      <c r="Q951" s="67">
        <v>40676</v>
      </c>
      <c r="R951" s="67"/>
      <c r="S951" s="65" t="s">
        <v>6</v>
      </c>
      <c r="T951" s="70" t="s">
        <v>4</v>
      </c>
      <c r="U951" s="65" t="s">
        <v>29</v>
      </c>
      <c r="V951" s="65" t="s">
        <v>1914</v>
      </c>
      <c r="W951" s="65" t="s">
        <v>1918</v>
      </c>
      <c r="X951" s="65" t="s">
        <v>2821</v>
      </c>
      <c r="Y951" s="65" t="s">
        <v>2936</v>
      </c>
      <c r="Z951" s="65" t="s">
        <v>4</v>
      </c>
      <c r="AA951" s="65" t="s">
        <v>2821</v>
      </c>
    </row>
    <row r="952" spans="1:27" ht="17.45" hidden="1" customHeight="1">
      <c r="A952" s="100" t="str">
        <f>IF(priority(Main[[#This Row],[Comments]])&lt;&gt;0, priority(Main[[#This Row],[Comments]]),"")</f>
        <v/>
      </c>
      <c r="B952" s="77" t="s">
        <v>2497</v>
      </c>
      <c r="C952" s="65" t="s">
        <v>4</v>
      </c>
      <c r="D952" s="66" t="s">
        <v>2498</v>
      </c>
      <c r="E952" s="67"/>
      <c r="F952" s="67"/>
      <c r="G952" s="64" t="str">
        <f>IF(stdProdLT(Main[[#This Row],[Comments]])=0.1,"N/A",IF(stdProdLT(Main[[#This Row],[Comments]])=0,"",stdProdLT(Main[[#This Row],[Comments]])))</f>
        <v/>
      </c>
      <c r="H952" s="68" t="str">
        <f>IF(AND(Main[[#This Row],[In Stock Date]]&lt;&gt;"",Main[[#This Row],[Revised Due Date]]&lt;&gt;""),Main[[#This Row],[In Stock Date]]-Main[[#This Row],[Revised Due Date]],"")</f>
        <v/>
      </c>
      <c r="I952" s="65" t="s">
        <v>530</v>
      </c>
      <c r="J952" s="65" t="s">
        <v>28</v>
      </c>
      <c r="K952" s="65" t="s">
        <v>1923</v>
      </c>
      <c r="L952" s="67"/>
      <c r="M952" s="69" t="str">
        <f>IF(Main[[#This Row],[Tech Start Date]]&lt;1/1/1990,"",IF(Main[[#This Row],[Class]]="C",WORKDAY(Main[[#This Row],[Tech Start Date]],9),IF(Main[[#This Row],[Class]]="B", WORKDAY(Main[[#This Row],[Tech Start Date]],6),IF(Main[[#This Row],[Class]]="A",WORKDAY(Main[[#This Row],[Tech Start Date]],2),""))))</f>
        <v/>
      </c>
      <c r="N952" s="69" t="str">
        <f>IF(Main[[#This Row],[Tech Start Date]]&lt;1/1/1990,"",IF(Main[[#This Row],[Class]]="C",WORKDAY(Main[[#This Row],[Tech Start Date]],19),IF(Main[[#This Row],[Class]]="B", WORKDAY(Main[[#This Row],[Tech Start Date]],12),IF(Main[[#This Row],[Class]]="A",WORKDAY(Main[[#This Row],[Tech Start Date]],4),""))))</f>
        <v/>
      </c>
      <c r="O952" s="69" t="str">
        <f>IF(Main[[#This Row],[Tech Start Date]]&lt;1/1/1990,"",IF(Main[[#This Row],[Class]]="C",WORKDAY(Main[[#This Row],[Tech Start Date]],23),IF(Main[[#This Row],[Class]]="B", WORKDAY(Main[[#This Row],[Tech Start Date]],15),IF(Main[[#This Row],[Class]]="A",WORKDAY(Main[[#This Row],[Tech Start Date]],5),""))))</f>
        <v/>
      </c>
      <c r="P952" s="69" t="str">
        <f>IF(Main[[#This Row],[Tech Start Date]]&lt;1/1/1990,"",IF(Main[[#This Row],[Class]]="C",WORKDAY(Main[[#This Row],[Tech Start Date]],28),IF(Main[[#This Row],[Class]]="B", WORKDAY(Main[[#This Row],[Tech Start Date]],19),IF(Main[[#This Row],[Class]]="A",WORKDAY(Main[[#This Row],[Tech Start Date]],9),""))))</f>
        <v/>
      </c>
      <c r="Q952" s="67">
        <v>40939</v>
      </c>
      <c r="R952" s="67"/>
      <c r="S952" s="65" t="s">
        <v>6</v>
      </c>
      <c r="T952" s="70" t="s">
        <v>4</v>
      </c>
      <c r="U952" s="65" t="s">
        <v>14</v>
      </c>
      <c r="V952" s="65" t="s">
        <v>1917</v>
      </c>
      <c r="W952" s="65" t="s">
        <v>1918</v>
      </c>
      <c r="X952" s="65" t="s">
        <v>553</v>
      </c>
      <c r="Y952" s="65" t="s">
        <v>2952</v>
      </c>
      <c r="Z952" s="65" t="s">
        <v>30</v>
      </c>
      <c r="AA952" s="65" t="s">
        <v>553</v>
      </c>
    </row>
    <row r="953" spans="1:27" ht="17.45" hidden="1" customHeight="1">
      <c r="A953" s="100" t="str">
        <f>IF(priority(Main[[#This Row],[Comments]])&lt;&gt;0, priority(Main[[#This Row],[Comments]]),"")</f>
        <v/>
      </c>
      <c r="B953" s="77" t="s">
        <v>2224</v>
      </c>
      <c r="C953" s="65" t="s">
        <v>4</v>
      </c>
      <c r="D953" s="66" t="s">
        <v>2225</v>
      </c>
      <c r="E953" s="67">
        <v>40802.356851851851</v>
      </c>
      <c r="F953" s="67"/>
      <c r="G953" s="64" t="str">
        <f>IF(stdProdLT(Main[[#This Row],[Comments]])=0.1,"N/A",IF(stdProdLT(Main[[#This Row],[Comments]])=0,"",stdProdLT(Main[[#This Row],[Comments]])))</f>
        <v/>
      </c>
      <c r="H953" s="68" t="str">
        <f>IF(AND(Main[[#This Row],[In Stock Date]]&lt;&gt;"",Main[[#This Row],[Revised Due Date]]&lt;&gt;""),Main[[#This Row],[In Stock Date]]-Main[[#This Row],[Revised Due Date]],"")</f>
        <v/>
      </c>
      <c r="I953" s="65" t="s">
        <v>102</v>
      </c>
      <c r="J953" s="65" t="s">
        <v>75</v>
      </c>
      <c r="K953" s="65" t="s">
        <v>1927</v>
      </c>
      <c r="L953" s="67"/>
      <c r="M953" s="69" t="str">
        <f>IF(Main[[#This Row],[Tech Start Date]]&lt;1/1/1990,"",IF(Main[[#This Row],[Class]]="C",WORKDAY(Main[[#This Row],[Tech Start Date]],9),IF(Main[[#This Row],[Class]]="B", WORKDAY(Main[[#This Row],[Tech Start Date]],6),IF(Main[[#This Row],[Class]]="A",WORKDAY(Main[[#This Row],[Tech Start Date]],2),""))))</f>
        <v/>
      </c>
      <c r="N953" s="69" t="str">
        <f>IF(Main[[#This Row],[Tech Start Date]]&lt;1/1/1990,"",IF(Main[[#This Row],[Class]]="C",WORKDAY(Main[[#This Row],[Tech Start Date]],19),IF(Main[[#This Row],[Class]]="B", WORKDAY(Main[[#This Row],[Tech Start Date]],12),IF(Main[[#This Row],[Class]]="A",WORKDAY(Main[[#This Row],[Tech Start Date]],4),""))))</f>
        <v/>
      </c>
      <c r="O953" s="69" t="str">
        <f>IF(Main[[#This Row],[Tech Start Date]]&lt;1/1/1990,"",IF(Main[[#This Row],[Class]]="C",WORKDAY(Main[[#This Row],[Tech Start Date]],23),IF(Main[[#This Row],[Class]]="B", WORKDAY(Main[[#This Row],[Tech Start Date]],15),IF(Main[[#This Row],[Class]]="A",WORKDAY(Main[[#This Row],[Tech Start Date]],5),""))))</f>
        <v/>
      </c>
      <c r="P953" s="69" t="str">
        <f>IF(Main[[#This Row],[Tech Start Date]]&lt;1/1/1990,"",IF(Main[[#This Row],[Class]]="C",WORKDAY(Main[[#This Row],[Tech Start Date]],28),IF(Main[[#This Row],[Class]]="B", WORKDAY(Main[[#This Row],[Tech Start Date]],19),IF(Main[[#This Row],[Class]]="A",WORKDAY(Main[[#This Row],[Tech Start Date]],9),""))))</f>
        <v/>
      </c>
      <c r="Q953" s="67"/>
      <c r="R953" s="67"/>
      <c r="S953" s="65" t="s">
        <v>6</v>
      </c>
      <c r="T953" s="70" t="s">
        <v>4</v>
      </c>
      <c r="U953" s="65" t="s">
        <v>29</v>
      </c>
      <c r="V953" s="65" t="s">
        <v>1917</v>
      </c>
      <c r="W953" s="65" t="s">
        <v>1918</v>
      </c>
      <c r="X953" s="65" t="s">
        <v>102</v>
      </c>
      <c r="Y953" s="65" t="s">
        <v>3122</v>
      </c>
      <c r="Z953" s="65" t="s">
        <v>306</v>
      </c>
      <c r="AA953" s="65" t="s">
        <v>3446</v>
      </c>
    </row>
    <row r="954" spans="1:27" ht="17.45" hidden="1" customHeight="1">
      <c r="A954" s="100" t="str">
        <f>IF(priority(Main[[#This Row],[Comments]])&lt;&gt;0, priority(Main[[#This Row],[Comments]]),"")</f>
        <v/>
      </c>
      <c r="B954" s="77" t="s">
        <v>3301</v>
      </c>
      <c r="C954" s="65" t="s">
        <v>4</v>
      </c>
      <c r="D954" s="66" t="s">
        <v>3302</v>
      </c>
      <c r="E954" s="67">
        <v>40933.366932870369</v>
      </c>
      <c r="F954" s="67"/>
      <c r="G954" s="64" t="str">
        <f>IF(stdProdLT(Main[[#This Row],[Comments]])=0.1,"N/A",IF(stdProdLT(Main[[#This Row],[Comments]])=0,"",stdProdLT(Main[[#This Row],[Comments]])))</f>
        <v/>
      </c>
      <c r="H954" s="68" t="str">
        <f>IF(AND(Main[[#This Row],[In Stock Date]]&lt;&gt;"",Main[[#This Row],[Revised Due Date]]&lt;&gt;""),Main[[#This Row],[In Stock Date]]-Main[[#This Row],[Revised Due Date]],"")</f>
        <v/>
      </c>
      <c r="I954" s="65" t="s">
        <v>44</v>
      </c>
      <c r="J954" s="65" t="s">
        <v>52</v>
      </c>
      <c r="K954" s="65" t="s">
        <v>1923</v>
      </c>
      <c r="L954" s="67"/>
      <c r="M954" s="69" t="str">
        <f>IF(Main[[#This Row],[Tech Start Date]]&lt;1/1/1990,"",IF(Main[[#This Row],[Class]]="C",WORKDAY(Main[[#This Row],[Tech Start Date]],9),IF(Main[[#This Row],[Class]]="B", WORKDAY(Main[[#This Row],[Tech Start Date]],6),IF(Main[[#This Row],[Class]]="A",WORKDAY(Main[[#This Row],[Tech Start Date]],2),""))))</f>
        <v/>
      </c>
      <c r="N954" s="69" t="str">
        <f>IF(Main[[#This Row],[Tech Start Date]]&lt;1/1/1990,"",IF(Main[[#This Row],[Class]]="C",WORKDAY(Main[[#This Row],[Tech Start Date]],19),IF(Main[[#This Row],[Class]]="B", WORKDAY(Main[[#This Row],[Tech Start Date]],12),IF(Main[[#This Row],[Class]]="A",WORKDAY(Main[[#This Row],[Tech Start Date]],4),""))))</f>
        <v/>
      </c>
      <c r="O954" s="69" t="str">
        <f>IF(Main[[#This Row],[Tech Start Date]]&lt;1/1/1990,"",IF(Main[[#This Row],[Class]]="C",WORKDAY(Main[[#This Row],[Tech Start Date]],23),IF(Main[[#This Row],[Class]]="B", WORKDAY(Main[[#This Row],[Tech Start Date]],15),IF(Main[[#This Row],[Class]]="A",WORKDAY(Main[[#This Row],[Tech Start Date]],5),""))))</f>
        <v/>
      </c>
      <c r="P954" s="69" t="str">
        <f>IF(Main[[#This Row],[Tech Start Date]]&lt;1/1/1990,"",IF(Main[[#This Row],[Class]]="C",WORKDAY(Main[[#This Row],[Tech Start Date]],28),IF(Main[[#This Row],[Class]]="B", WORKDAY(Main[[#This Row],[Tech Start Date]],19),IF(Main[[#This Row],[Class]]="A",WORKDAY(Main[[#This Row],[Tech Start Date]],9),""))))</f>
        <v/>
      </c>
      <c r="Q954" s="67"/>
      <c r="R954" s="67"/>
      <c r="S954" s="65" t="s">
        <v>6</v>
      </c>
      <c r="T954" s="70" t="s">
        <v>4</v>
      </c>
      <c r="U954" s="65" t="s">
        <v>29</v>
      </c>
      <c r="V954" s="65" t="s">
        <v>1917</v>
      </c>
      <c r="W954" s="65" t="s">
        <v>1918</v>
      </c>
      <c r="X954" s="65" t="s">
        <v>2866</v>
      </c>
      <c r="Y954" s="65" t="s">
        <v>3000</v>
      </c>
      <c r="Z954" s="65" t="s">
        <v>30</v>
      </c>
      <c r="AA954" s="65" t="s">
        <v>2866</v>
      </c>
    </row>
    <row r="955" spans="1:27" ht="17.45" hidden="1" customHeight="1">
      <c r="A955" s="100" t="str">
        <f>IF(priority(Main[[#This Row],[Comments]])&lt;&gt;0, priority(Main[[#This Row],[Comments]]),"")</f>
        <v/>
      </c>
      <c r="B955" s="77" t="s">
        <v>1841</v>
      </c>
      <c r="C955" s="65" t="s">
        <v>4</v>
      </c>
      <c r="D955" s="66" t="s">
        <v>897</v>
      </c>
      <c r="E955" s="67">
        <v>40080.410775462966</v>
      </c>
      <c r="F955" s="67"/>
      <c r="G955" s="64" t="str">
        <f>IF(stdProdLT(Main[[#This Row],[Comments]])=0.1,"N/A",IF(stdProdLT(Main[[#This Row],[Comments]])=0,"",stdProdLT(Main[[#This Row],[Comments]])))</f>
        <v/>
      </c>
      <c r="H955" s="68" t="str">
        <f>IF(AND(Main[[#This Row],[In Stock Date]]&lt;&gt;"",Main[[#This Row],[Revised Due Date]]&lt;&gt;""),Main[[#This Row],[In Stock Date]]-Main[[#This Row],[Revised Due Date]],"")</f>
        <v/>
      </c>
      <c r="I955" s="65" t="s">
        <v>898</v>
      </c>
      <c r="J955" s="65" t="s">
        <v>28</v>
      </c>
      <c r="K955" s="65" t="s">
        <v>1923</v>
      </c>
      <c r="L955" s="67"/>
      <c r="M955" s="69" t="str">
        <f>IF(Main[[#This Row],[Tech Start Date]]&lt;1/1/1990,"",IF(Main[[#This Row],[Class]]="C",WORKDAY(Main[[#This Row],[Tech Start Date]],9),IF(Main[[#This Row],[Class]]="B", WORKDAY(Main[[#This Row],[Tech Start Date]],6),IF(Main[[#This Row],[Class]]="A",WORKDAY(Main[[#This Row],[Tech Start Date]],2),""))))</f>
        <v/>
      </c>
      <c r="N955" s="69" t="str">
        <f>IF(Main[[#This Row],[Tech Start Date]]&lt;1/1/1990,"",IF(Main[[#This Row],[Class]]="C",WORKDAY(Main[[#This Row],[Tech Start Date]],19),IF(Main[[#This Row],[Class]]="B", WORKDAY(Main[[#This Row],[Tech Start Date]],12),IF(Main[[#This Row],[Class]]="A",WORKDAY(Main[[#This Row],[Tech Start Date]],4),""))))</f>
        <v/>
      </c>
      <c r="O955" s="69" t="str">
        <f>IF(Main[[#This Row],[Tech Start Date]]&lt;1/1/1990,"",IF(Main[[#This Row],[Class]]="C",WORKDAY(Main[[#This Row],[Tech Start Date]],23),IF(Main[[#This Row],[Class]]="B", WORKDAY(Main[[#This Row],[Tech Start Date]],15),IF(Main[[#This Row],[Class]]="A",WORKDAY(Main[[#This Row],[Tech Start Date]],5),""))))</f>
        <v/>
      </c>
      <c r="P955" s="69" t="str">
        <f>IF(Main[[#This Row],[Tech Start Date]]&lt;1/1/1990,"",IF(Main[[#This Row],[Class]]="C",WORKDAY(Main[[#This Row],[Tech Start Date]],28),IF(Main[[#This Row],[Class]]="B", WORKDAY(Main[[#This Row],[Tech Start Date]],19),IF(Main[[#This Row],[Class]]="A",WORKDAY(Main[[#This Row],[Tech Start Date]],9),""))))</f>
        <v/>
      </c>
      <c r="Q955" s="67"/>
      <c r="R955" s="67">
        <v>40494</v>
      </c>
      <c r="S955" s="65" t="s">
        <v>6</v>
      </c>
      <c r="T955" s="70" t="s">
        <v>4</v>
      </c>
      <c r="U955" s="65" t="s">
        <v>29</v>
      </c>
      <c r="V955" s="65" t="s">
        <v>1917</v>
      </c>
      <c r="W955" s="65" t="s">
        <v>1918</v>
      </c>
      <c r="X955" s="65" t="s">
        <v>2887</v>
      </c>
      <c r="Y955" s="65" t="s">
        <v>3043</v>
      </c>
      <c r="Z955" s="65" t="s">
        <v>415</v>
      </c>
      <c r="AA955" s="65" t="s">
        <v>2887</v>
      </c>
    </row>
    <row r="956" spans="1:27" ht="17.45" hidden="1" customHeight="1">
      <c r="A956" s="100" t="str">
        <f>IF(priority(Main[[#This Row],[Comments]])&lt;&gt;0, priority(Main[[#This Row],[Comments]]),"")</f>
        <v/>
      </c>
      <c r="B956" s="77" t="s">
        <v>1795</v>
      </c>
      <c r="C956" s="65" t="s">
        <v>4</v>
      </c>
      <c r="D956" s="66" t="s">
        <v>839</v>
      </c>
      <c r="E956" s="67">
        <v>40639.681793981479</v>
      </c>
      <c r="F956" s="67"/>
      <c r="G956" s="64" t="str">
        <f>IF(stdProdLT(Main[[#This Row],[Comments]])=0.1,"N/A",IF(stdProdLT(Main[[#This Row],[Comments]])=0,"",stdProdLT(Main[[#This Row],[Comments]])))</f>
        <v/>
      </c>
      <c r="H956" s="68" t="str">
        <f>IF(AND(Main[[#This Row],[In Stock Date]]&lt;&gt;"",Main[[#This Row],[Revised Due Date]]&lt;&gt;""),Main[[#This Row],[In Stock Date]]-Main[[#This Row],[Revised Due Date]],"")</f>
        <v/>
      </c>
      <c r="I956" s="65" t="s">
        <v>130</v>
      </c>
      <c r="J956" s="65" t="s">
        <v>70</v>
      </c>
      <c r="K956" s="65" t="s">
        <v>1923</v>
      </c>
      <c r="L956" s="67"/>
      <c r="M956" s="69" t="str">
        <f>IF(Main[[#This Row],[Tech Start Date]]&lt;1/1/1990,"",IF(Main[[#This Row],[Class]]="C",WORKDAY(Main[[#This Row],[Tech Start Date]],9),IF(Main[[#This Row],[Class]]="B", WORKDAY(Main[[#This Row],[Tech Start Date]],6),IF(Main[[#This Row],[Class]]="A",WORKDAY(Main[[#This Row],[Tech Start Date]],2),""))))</f>
        <v/>
      </c>
      <c r="N956" s="69" t="str">
        <f>IF(Main[[#This Row],[Tech Start Date]]&lt;1/1/1990,"",IF(Main[[#This Row],[Class]]="C",WORKDAY(Main[[#This Row],[Tech Start Date]],19),IF(Main[[#This Row],[Class]]="B", WORKDAY(Main[[#This Row],[Tech Start Date]],12),IF(Main[[#This Row],[Class]]="A",WORKDAY(Main[[#This Row],[Tech Start Date]],4),""))))</f>
        <v/>
      </c>
      <c r="O956" s="69" t="str">
        <f>IF(Main[[#This Row],[Tech Start Date]]&lt;1/1/1990,"",IF(Main[[#This Row],[Class]]="C",WORKDAY(Main[[#This Row],[Tech Start Date]],23),IF(Main[[#This Row],[Class]]="B", WORKDAY(Main[[#This Row],[Tech Start Date]],15),IF(Main[[#This Row],[Class]]="A",WORKDAY(Main[[#This Row],[Tech Start Date]],5),""))))</f>
        <v/>
      </c>
      <c r="P956" s="69" t="str">
        <f>IF(Main[[#This Row],[Tech Start Date]]&lt;1/1/1990,"",IF(Main[[#This Row],[Class]]="C",WORKDAY(Main[[#This Row],[Tech Start Date]],28),IF(Main[[#This Row],[Class]]="B", WORKDAY(Main[[#This Row],[Tech Start Date]],19),IF(Main[[#This Row],[Class]]="A",WORKDAY(Main[[#This Row],[Tech Start Date]],9),""))))</f>
        <v/>
      </c>
      <c r="Q956" s="67">
        <v>40669</v>
      </c>
      <c r="R956" s="67"/>
      <c r="S956" s="65" t="s">
        <v>6</v>
      </c>
      <c r="T956" s="70" t="s">
        <v>4</v>
      </c>
      <c r="U956" s="65" t="s">
        <v>29</v>
      </c>
      <c r="V956" s="65" t="s">
        <v>1917</v>
      </c>
      <c r="W956" s="65" t="s">
        <v>1918</v>
      </c>
      <c r="X956" s="65" t="s">
        <v>2819</v>
      </c>
      <c r="Y956" s="65" t="s">
        <v>2932</v>
      </c>
      <c r="Z956" s="65" t="s">
        <v>530</v>
      </c>
      <c r="AA956" s="65" t="s">
        <v>2819</v>
      </c>
    </row>
    <row r="957" spans="1:27" ht="17.45" hidden="1" customHeight="1">
      <c r="A957" s="100" t="str">
        <f>IF(priority(Main[[#This Row],[Comments]])&lt;&gt;0, priority(Main[[#This Row],[Comments]]),"")</f>
        <v/>
      </c>
      <c r="B957" s="77" t="s">
        <v>1891</v>
      </c>
      <c r="C957" s="65" t="s">
        <v>116</v>
      </c>
      <c r="D957" s="66" t="s">
        <v>2313</v>
      </c>
      <c r="E957" s="67">
        <v>40673.421898148146</v>
      </c>
      <c r="F957" s="67"/>
      <c r="G957" s="64" t="str">
        <f>IF(stdProdLT(Main[[#This Row],[Comments]])=0.1,"N/A",IF(stdProdLT(Main[[#This Row],[Comments]])=0,"",stdProdLT(Main[[#This Row],[Comments]])))</f>
        <v/>
      </c>
      <c r="H957" s="68" t="str">
        <f>IF(AND(Main[[#This Row],[In Stock Date]]&lt;&gt;"",Main[[#This Row],[Revised Due Date]]&lt;&gt;""),Main[[#This Row],[In Stock Date]]-Main[[#This Row],[Revised Due Date]],"")</f>
        <v/>
      </c>
      <c r="I957" s="65" t="s">
        <v>937</v>
      </c>
      <c r="J957" s="65" t="s">
        <v>28</v>
      </c>
      <c r="K957" s="65" t="s">
        <v>1926</v>
      </c>
      <c r="L957" s="67"/>
      <c r="M957" s="69" t="str">
        <f>IF(Main[[#This Row],[Tech Start Date]]&lt;1/1/1990,"",IF(Main[[#This Row],[Class]]="C",WORKDAY(Main[[#This Row],[Tech Start Date]],9),IF(Main[[#This Row],[Class]]="B", WORKDAY(Main[[#This Row],[Tech Start Date]],6),IF(Main[[#This Row],[Class]]="A",WORKDAY(Main[[#This Row],[Tech Start Date]],2),""))))</f>
        <v/>
      </c>
      <c r="N957" s="69" t="str">
        <f>IF(Main[[#This Row],[Tech Start Date]]&lt;1/1/1990,"",IF(Main[[#This Row],[Class]]="C",WORKDAY(Main[[#This Row],[Tech Start Date]],19),IF(Main[[#This Row],[Class]]="B", WORKDAY(Main[[#This Row],[Tech Start Date]],12),IF(Main[[#This Row],[Class]]="A",WORKDAY(Main[[#This Row],[Tech Start Date]],4),""))))</f>
        <v/>
      </c>
      <c r="O957" s="69" t="str">
        <f>IF(Main[[#This Row],[Tech Start Date]]&lt;1/1/1990,"",IF(Main[[#This Row],[Class]]="C",WORKDAY(Main[[#This Row],[Tech Start Date]],23),IF(Main[[#This Row],[Class]]="B", WORKDAY(Main[[#This Row],[Tech Start Date]],15),IF(Main[[#This Row],[Class]]="A",WORKDAY(Main[[#This Row],[Tech Start Date]],5),""))))</f>
        <v/>
      </c>
      <c r="P957" s="69" t="str">
        <f>IF(Main[[#This Row],[Tech Start Date]]&lt;1/1/1990,"",IF(Main[[#This Row],[Class]]="C",WORKDAY(Main[[#This Row],[Tech Start Date]],28),IF(Main[[#This Row],[Class]]="B", WORKDAY(Main[[#This Row],[Tech Start Date]],19),IF(Main[[#This Row],[Class]]="A",WORKDAY(Main[[#This Row],[Tech Start Date]],9),""))))</f>
        <v/>
      </c>
      <c r="Q957" s="67">
        <v>40724</v>
      </c>
      <c r="R957" s="67">
        <v>40847</v>
      </c>
      <c r="S957" s="65" t="s">
        <v>6</v>
      </c>
      <c r="T957" s="70" t="s">
        <v>2413</v>
      </c>
      <c r="U957" s="65" t="s">
        <v>29</v>
      </c>
      <c r="V957" s="65" t="s">
        <v>1914</v>
      </c>
      <c r="W957" s="65" t="s">
        <v>1918</v>
      </c>
      <c r="X957" s="65" t="s">
        <v>912</v>
      </c>
      <c r="Y957" s="65" t="s">
        <v>3057</v>
      </c>
      <c r="Z957" s="65" t="s">
        <v>129</v>
      </c>
      <c r="AA957" s="65" t="s">
        <v>912</v>
      </c>
    </row>
    <row r="958" spans="1:27" ht="17.45" hidden="1" customHeight="1">
      <c r="A958" s="100" t="str">
        <f>IF(priority(Main[[#This Row],[Comments]])&lt;&gt;0, priority(Main[[#This Row],[Comments]]),"")</f>
        <v/>
      </c>
      <c r="B958" s="77" t="s">
        <v>2414</v>
      </c>
      <c r="C958" s="65" t="s">
        <v>213</v>
      </c>
      <c r="D958" s="66" t="s">
        <v>2415</v>
      </c>
      <c r="E958" s="67">
        <v>40861.655509259261</v>
      </c>
      <c r="F958" s="67"/>
      <c r="G958" s="64" t="str">
        <f>IF(stdProdLT(Main[[#This Row],[Comments]])=0.1,"N/A",IF(stdProdLT(Main[[#This Row],[Comments]])=0,"",stdProdLT(Main[[#This Row],[Comments]])))</f>
        <v/>
      </c>
      <c r="H958" s="68" t="str">
        <f>IF(AND(Main[[#This Row],[In Stock Date]]&lt;&gt;"",Main[[#This Row],[Revised Due Date]]&lt;&gt;""),Main[[#This Row],[In Stock Date]]-Main[[#This Row],[Revised Due Date]],"")</f>
        <v/>
      </c>
      <c r="I958" s="65" t="s">
        <v>4</v>
      </c>
      <c r="J958" s="65" t="s">
        <v>4</v>
      </c>
      <c r="K958" s="65" t="s">
        <v>4</v>
      </c>
      <c r="L958" s="67"/>
      <c r="M958" s="69" t="str">
        <f>IF(Main[[#This Row],[Tech Start Date]]&lt;1/1/1990,"",IF(Main[[#This Row],[Class]]="C",WORKDAY(Main[[#This Row],[Tech Start Date]],9),IF(Main[[#This Row],[Class]]="B", WORKDAY(Main[[#This Row],[Tech Start Date]],6),IF(Main[[#This Row],[Class]]="A",WORKDAY(Main[[#This Row],[Tech Start Date]],2),""))))</f>
        <v/>
      </c>
      <c r="N958" s="69" t="str">
        <f>IF(Main[[#This Row],[Tech Start Date]]&lt;1/1/1990,"",IF(Main[[#This Row],[Class]]="C",WORKDAY(Main[[#This Row],[Tech Start Date]],19),IF(Main[[#This Row],[Class]]="B", WORKDAY(Main[[#This Row],[Tech Start Date]],12),IF(Main[[#This Row],[Class]]="A",WORKDAY(Main[[#This Row],[Tech Start Date]],4),""))))</f>
        <v/>
      </c>
      <c r="O958" s="69" t="str">
        <f>IF(Main[[#This Row],[Tech Start Date]]&lt;1/1/1990,"",IF(Main[[#This Row],[Class]]="C",WORKDAY(Main[[#This Row],[Tech Start Date]],23),IF(Main[[#This Row],[Class]]="B", WORKDAY(Main[[#This Row],[Tech Start Date]],15),IF(Main[[#This Row],[Class]]="A",WORKDAY(Main[[#This Row],[Tech Start Date]],5),""))))</f>
        <v/>
      </c>
      <c r="P958" s="69" t="str">
        <f>IF(Main[[#This Row],[Tech Start Date]]&lt;1/1/1990,"",IF(Main[[#This Row],[Class]]="C",WORKDAY(Main[[#This Row],[Tech Start Date]],28),IF(Main[[#This Row],[Class]]="B", WORKDAY(Main[[#This Row],[Tech Start Date]],19),IF(Main[[#This Row],[Class]]="A",WORKDAY(Main[[#This Row],[Tech Start Date]],9),""))))</f>
        <v/>
      </c>
      <c r="Q958" s="67">
        <v>40967</v>
      </c>
      <c r="R958" s="67"/>
      <c r="S958" s="65" t="s">
        <v>17</v>
      </c>
      <c r="T958" s="70" t="s">
        <v>4</v>
      </c>
      <c r="U958" s="65" t="s">
        <v>7</v>
      </c>
      <c r="V958" s="65" t="s">
        <v>1924</v>
      </c>
      <c r="W958" s="65" t="s">
        <v>1919</v>
      </c>
      <c r="X958" s="65" t="s">
        <v>431</v>
      </c>
      <c r="Y958" s="65" t="s">
        <v>3123</v>
      </c>
      <c r="Z958" s="65" t="s">
        <v>4</v>
      </c>
      <c r="AA958" s="65" t="s">
        <v>431</v>
      </c>
    </row>
    <row r="959" spans="1:27" ht="17.45" hidden="1" customHeight="1">
      <c r="A959" s="100" t="str">
        <f>IF(priority(Main[[#This Row],[Comments]])&lt;&gt;0, priority(Main[[#This Row],[Comments]]),"")</f>
        <v/>
      </c>
      <c r="B959" s="77" t="s">
        <v>2277</v>
      </c>
      <c r="C959" s="65" t="s">
        <v>2278</v>
      </c>
      <c r="D959" s="66" t="s">
        <v>2279</v>
      </c>
      <c r="E959" s="67"/>
      <c r="F959" s="67">
        <v>40816</v>
      </c>
      <c r="G959" s="64" t="str">
        <f>IF(stdProdLT(Main[[#This Row],[Comments]])=0.1,"N/A",IF(stdProdLT(Main[[#This Row],[Comments]])=0,"",stdProdLT(Main[[#This Row],[Comments]])))</f>
        <v/>
      </c>
      <c r="H959" s="68" t="str">
        <f>IF(AND(Main[[#This Row],[In Stock Date]]&lt;&gt;"",Main[[#This Row],[Revised Due Date]]&lt;&gt;""),Main[[#This Row],[In Stock Date]]-Main[[#This Row],[Revised Due Date]],"")</f>
        <v/>
      </c>
      <c r="I959" s="65" t="s">
        <v>4</v>
      </c>
      <c r="J959" s="65" t="s">
        <v>4</v>
      </c>
      <c r="K959" s="65" t="s">
        <v>4</v>
      </c>
      <c r="L959" s="67"/>
      <c r="M959" s="69" t="str">
        <f>IF(Main[[#This Row],[Tech Start Date]]&lt;1/1/1990,"",IF(Main[[#This Row],[Class]]="C",WORKDAY(Main[[#This Row],[Tech Start Date]],9),IF(Main[[#This Row],[Class]]="B", WORKDAY(Main[[#This Row],[Tech Start Date]],6),IF(Main[[#This Row],[Class]]="A",WORKDAY(Main[[#This Row],[Tech Start Date]],2),""))))</f>
        <v/>
      </c>
      <c r="N959" s="69" t="str">
        <f>IF(Main[[#This Row],[Tech Start Date]]&lt;1/1/1990,"",IF(Main[[#This Row],[Class]]="C",WORKDAY(Main[[#This Row],[Tech Start Date]],19),IF(Main[[#This Row],[Class]]="B", WORKDAY(Main[[#This Row],[Tech Start Date]],12),IF(Main[[#This Row],[Class]]="A",WORKDAY(Main[[#This Row],[Tech Start Date]],4),""))))</f>
        <v/>
      </c>
      <c r="O959" s="69" t="str">
        <f>IF(Main[[#This Row],[Tech Start Date]]&lt;1/1/1990,"",IF(Main[[#This Row],[Class]]="C",WORKDAY(Main[[#This Row],[Tech Start Date]],23),IF(Main[[#This Row],[Class]]="B", WORKDAY(Main[[#This Row],[Tech Start Date]],15),IF(Main[[#This Row],[Class]]="A",WORKDAY(Main[[#This Row],[Tech Start Date]],5),""))))</f>
        <v/>
      </c>
      <c r="P959" s="69" t="str">
        <f>IF(Main[[#This Row],[Tech Start Date]]&lt;1/1/1990,"",IF(Main[[#This Row],[Class]]="C",WORKDAY(Main[[#This Row],[Tech Start Date]],28),IF(Main[[#This Row],[Class]]="B", WORKDAY(Main[[#This Row],[Tech Start Date]],19),IF(Main[[#This Row],[Class]]="A",WORKDAY(Main[[#This Row],[Tech Start Date]],9),""))))</f>
        <v/>
      </c>
      <c r="Q959" s="67">
        <v>40816</v>
      </c>
      <c r="R959" s="67"/>
      <c r="S959" s="65" t="s">
        <v>296</v>
      </c>
      <c r="T959" s="70" t="s">
        <v>4</v>
      </c>
      <c r="U959" s="65" t="s">
        <v>14</v>
      </c>
      <c r="V959" s="65" t="s">
        <v>1924</v>
      </c>
      <c r="W959" s="65" t="s">
        <v>1922</v>
      </c>
      <c r="X959" s="65" t="s">
        <v>2910</v>
      </c>
      <c r="Y959" s="65" t="s">
        <v>3124</v>
      </c>
      <c r="Z959" s="65" t="s">
        <v>4</v>
      </c>
      <c r="AA959" s="65" t="s">
        <v>3450</v>
      </c>
    </row>
    <row r="960" spans="1:27" ht="17.45" hidden="1" customHeight="1">
      <c r="A960" s="100">
        <f>IF(priority(Main[[#This Row],[Comments]])&lt;&gt;0, priority(Main[[#This Row],[Comments]]),"")</f>
        <v>1</v>
      </c>
      <c r="B960" s="77" t="s">
        <v>1045</v>
      </c>
      <c r="C960" s="65" t="s">
        <v>72</v>
      </c>
      <c r="D960" s="66" t="s">
        <v>73</v>
      </c>
      <c r="E960" s="67">
        <v>40461.12232638889</v>
      </c>
      <c r="F960" s="67"/>
      <c r="G960" s="64" t="str">
        <f>IF(stdProdLT(Main[[#This Row],[Comments]])=0.1,"N/A",IF(stdProdLT(Main[[#This Row],[Comments]])=0,"",stdProdLT(Main[[#This Row],[Comments]])))</f>
        <v/>
      </c>
      <c r="H960" s="68" t="str">
        <f>IF(AND(Main[[#This Row],[In Stock Date]]&lt;&gt;"",Main[[#This Row],[Revised Due Date]]&lt;&gt;""),Main[[#This Row],[In Stock Date]]-Main[[#This Row],[Revised Due Date]],"")</f>
        <v/>
      </c>
      <c r="I960" s="65" t="s">
        <v>74</v>
      </c>
      <c r="J960" s="65" t="s">
        <v>75</v>
      </c>
      <c r="K960" s="65" t="s">
        <v>1926</v>
      </c>
      <c r="L960" s="67"/>
      <c r="M960" s="69" t="str">
        <f>IF(Main[[#This Row],[Tech Start Date]]&lt;1/1/1990,"",IF(Main[[#This Row],[Class]]="C",WORKDAY(Main[[#This Row],[Tech Start Date]],9),IF(Main[[#This Row],[Class]]="B", WORKDAY(Main[[#This Row],[Tech Start Date]],6),IF(Main[[#This Row],[Class]]="A",WORKDAY(Main[[#This Row],[Tech Start Date]],2),""))))</f>
        <v/>
      </c>
      <c r="N960" s="69" t="str">
        <f>IF(Main[[#This Row],[Tech Start Date]]&lt;1/1/1990,"",IF(Main[[#This Row],[Class]]="C",WORKDAY(Main[[#This Row],[Tech Start Date]],19),IF(Main[[#This Row],[Class]]="B", WORKDAY(Main[[#This Row],[Tech Start Date]],12),IF(Main[[#This Row],[Class]]="A",WORKDAY(Main[[#This Row],[Tech Start Date]],4),""))))</f>
        <v/>
      </c>
      <c r="O960" s="69" t="str">
        <f>IF(Main[[#This Row],[Tech Start Date]]&lt;1/1/1990,"",IF(Main[[#This Row],[Class]]="C",WORKDAY(Main[[#This Row],[Tech Start Date]],23),IF(Main[[#This Row],[Class]]="B", WORKDAY(Main[[#This Row],[Tech Start Date]],15),IF(Main[[#This Row],[Class]]="A",WORKDAY(Main[[#This Row],[Tech Start Date]],5),""))))</f>
        <v/>
      </c>
      <c r="P960" s="69" t="str">
        <f>IF(Main[[#This Row],[Tech Start Date]]&lt;1/1/1990,"",IF(Main[[#This Row],[Class]]="C",WORKDAY(Main[[#This Row],[Tech Start Date]],28),IF(Main[[#This Row],[Class]]="B", WORKDAY(Main[[#This Row],[Tech Start Date]],19),IF(Main[[#This Row],[Class]]="A",WORKDAY(Main[[#This Row],[Tech Start Date]],9),""))))</f>
        <v/>
      </c>
      <c r="Q960" s="67"/>
      <c r="R960" s="67">
        <v>40849</v>
      </c>
      <c r="S960" s="65" t="s">
        <v>17</v>
      </c>
      <c r="T960" s="70" t="s">
        <v>76</v>
      </c>
      <c r="U960" s="65" t="s">
        <v>29</v>
      </c>
      <c r="V960" s="65" t="s">
        <v>1917</v>
      </c>
      <c r="W960" s="65" t="s">
        <v>1922</v>
      </c>
      <c r="X960" s="65" t="s">
        <v>2847</v>
      </c>
      <c r="Y960" s="65" t="s">
        <v>2978</v>
      </c>
      <c r="Z960" s="65" t="s">
        <v>415</v>
      </c>
      <c r="AA960" s="65" t="s">
        <v>2847</v>
      </c>
    </row>
    <row r="961" spans="1:27" ht="17.45" hidden="1" customHeight="1">
      <c r="A961" s="100" t="str">
        <f>IF(priority(Main[[#This Row],[Comments]])&lt;&gt;0, priority(Main[[#This Row],[Comments]]),"")</f>
        <v/>
      </c>
      <c r="B961" s="77" t="s">
        <v>2416</v>
      </c>
      <c r="C961" s="65" t="s">
        <v>4</v>
      </c>
      <c r="D961" s="66" t="s">
        <v>2417</v>
      </c>
      <c r="E961" s="67">
        <v>40826.139097222222</v>
      </c>
      <c r="F961" s="67"/>
      <c r="G961" s="64" t="str">
        <f>IF(stdProdLT(Main[[#This Row],[Comments]])=0.1,"N/A",IF(stdProdLT(Main[[#This Row],[Comments]])=0,"",stdProdLT(Main[[#This Row],[Comments]])))</f>
        <v/>
      </c>
      <c r="H961" s="68" t="str">
        <f>IF(AND(Main[[#This Row],[In Stock Date]]&lt;&gt;"",Main[[#This Row],[Revised Due Date]]&lt;&gt;""),Main[[#This Row],[In Stock Date]]-Main[[#This Row],[Revised Due Date]],"")</f>
        <v/>
      </c>
      <c r="I961" s="65" t="s">
        <v>4</v>
      </c>
      <c r="J961" s="65" t="s">
        <v>4</v>
      </c>
      <c r="K961" s="65" t="s">
        <v>4</v>
      </c>
      <c r="L961" s="67"/>
      <c r="M961" s="69" t="str">
        <f>IF(Main[[#This Row],[Tech Start Date]]&lt;1/1/1990,"",IF(Main[[#This Row],[Class]]="C",WORKDAY(Main[[#This Row],[Tech Start Date]],9),IF(Main[[#This Row],[Class]]="B", WORKDAY(Main[[#This Row],[Tech Start Date]],6),IF(Main[[#This Row],[Class]]="A",WORKDAY(Main[[#This Row],[Tech Start Date]],2),""))))</f>
        <v/>
      </c>
      <c r="N961" s="69" t="str">
        <f>IF(Main[[#This Row],[Tech Start Date]]&lt;1/1/1990,"",IF(Main[[#This Row],[Class]]="C",WORKDAY(Main[[#This Row],[Tech Start Date]],19),IF(Main[[#This Row],[Class]]="B", WORKDAY(Main[[#This Row],[Tech Start Date]],12),IF(Main[[#This Row],[Class]]="A",WORKDAY(Main[[#This Row],[Tech Start Date]],4),""))))</f>
        <v/>
      </c>
      <c r="O961" s="69" t="str">
        <f>IF(Main[[#This Row],[Tech Start Date]]&lt;1/1/1990,"",IF(Main[[#This Row],[Class]]="C",WORKDAY(Main[[#This Row],[Tech Start Date]],23),IF(Main[[#This Row],[Class]]="B", WORKDAY(Main[[#This Row],[Tech Start Date]],15),IF(Main[[#This Row],[Class]]="A",WORKDAY(Main[[#This Row],[Tech Start Date]],5),""))))</f>
        <v/>
      </c>
      <c r="P961" s="69" t="str">
        <f>IF(Main[[#This Row],[Tech Start Date]]&lt;1/1/1990,"",IF(Main[[#This Row],[Class]]="C",WORKDAY(Main[[#This Row],[Tech Start Date]],28),IF(Main[[#This Row],[Class]]="B", WORKDAY(Main[[#This Row],[Tech Start Date]],19),IF(Main[[#This Row],[Class]]="A",WORKDAY(Main[[#This Row],[Tech Start Date]],9),""))))</f>
        <v/>
      </c>
      <c r="Q961" s="67">
        <v>40847</v>
      </c>
      <c r="R961" s="67"/>
      <c r="S961" s="65" t="s">
        <v>6</v>
      </c>
      <c r="T961" s="70" t="s">
        <v>4</v>
      </c>
      <c r="U961" s="65" t="s">
        <v>7</v>
      </c>
      <c r="V961" s="65" t="s">
        <v>1914</v>
      </c>
      <c r="W961" s="65" t="s">
        <v>4</v>
      </c>
      <c r="X961" s="65" t="s">
        <v>2851</v>
      </c>
      <c r="Y961" s="65" t="s">
        <v>2986</v>
      </c>
      <c r="Z961" s="65" t="s">
        <v>4</v>
      </c>
      <c r="AA961" s="65" t="s">
        <v>2851</v>
      </c>
    </row>
    <row r="962" spans="1:27" ht="17.45" hidden="1" customHeight="1">
      <c r="A962" s="100">
        <f>IF(priority(Main[[#This Row],[Comments]])&lt;&gt;0, priority(Main[[#This Row],[Comments]]),"")</f>
        <v>18</v>
      </c>
      <c r="B962" s="77" t="s">
        <v>2780</v>
      </c>
      <c r="C962" s="65" t="s">
        <v>2721</v>
      </c>
      <c r="D962" s="66" t="s">
        <v>2781</v>
      </c>
      <c r="E962" s="67">
        <v>40968.365127314813</v>
      </c>
      <c r="F962" s="67">
        <v>41061</v>
      </c>
      <c r="G962" s="64">
        <f>IF(stdProdLT(Main[[#This Row],[Comments]])=0.1,"N/A",IF(stdProdLT(Main[[#This Row],[Comments]])=0,"",stdProdLT(Main[[#This Row],[Comments]])))</f>
        <v>168</v>
      </c>
      <c r="H962" s="68" t="str">
        <f>IF(AND(Main[[#This Row],[In Stock Date]]&lt;&gt;"",Main[[#This Row],[Revised Due Date]]&lt;&gt;""),Main[[#This Row],[In Stock Date]]-Main[[#This Row],[Revised Due Date]],"")</f>
        <v/>
      </c>
      <c r="I962" s="65" t="s">
        <v>4</v>
      </c>
      <c r="J962" s="65" t="s">
        <v>4</v>
      </c>
      <c r="K962" s="65" t="s">
        <v>4</v>
      </c>
      <c r="L962" s="67"/>
      <c r="M962" s="69" t="str">
        <f>IF(Main[[#This Row],[Tech Start Date]]&lt;1/1/1990,"",IF(Main[[#This Row],[Class]]="C",WORKDAY(Main[[#This Row],[Tech Start Date]],9),IF(Main[[#This Row],[Class]]="B", WORKDAY(Main[[#This Row],[Tech Start Date]],6),IF(Main[[#This Row],[Class]]="A",WORKDAY(Main[[#This Row],[Tech Start Date]],2),""))))</f>
        <v/>
      </c>
      <c r="N962" s="69" t="str">
        <f>IF(Main[[#This Row],[Tech Start Date]]&lt;1/1/1990,"",IF(Main[[#This Row],[Class]]="C",WORKDAY(Main[[#This Row],[Tech Start Date]],19),IF(Main[[#This Row],[Class]]="B", WORKDAY(Main[[#This Row],[Tech Start Date]],12),IF(Main[[#This Row],[Class]]="A",WORKDAY(Main[[#This Row],[Tech Start Date]],4),""))))</f>
        <v/>
      </c>
      <c r="O962" s="69" t="str">
        <f>IF(Main[[#This Row],[Tech Start Date]]&lt;1/1/1990,"",IF(Main[[#This Row],[Class]]="C",WORKDAY(Main[[#This Row],[Tech Start Date]],23),IF(Main[[#This Row],[Class]]="B", WORKDAY(Main[[#This Row],[Tech Start Date]],15),IF(Main[[#This Row],[Class]]="A",WORKDAY(Main[[#This Row],[Tech Start Date]],5),""))))</f>
        <v/>
      </c>
      <c r="P962" s="69" t="str">
        <f>IF(Main[[#This Row],[Tech Start Date]]&lt;1/1/1990,"",IF(Main[[#This Row],[Class]]="C",WORKDAY(Main[[#This Row],[Tech Start Date]],28),IF(Main[[#This Row],[Class]]="B", WORKDAY(Main[[#This Row],[Tech Start Date]],19),IF(Main[[#This Row],[Class]]="A",WORKDAY(Main[[#This Row],[Tech Start Date]],9),""))))</f>
        <v/>
      </c>
      <c r="Q962" s="67"/>
      <c r="R962" s="67"/>
      <c r="S962" s="65" t="s">
        <v>11</v>
      </c>
      <c r="T962" s="70" t="s">
        <v>3941</v>
      </c>
      <c r="U962" s="65" t="s">
        <v>7</v>
      </c>
      <c r="V962" s="65" t="s">
        <v>1917</v>
      </c>
      <c r="W962" s="65" t="s">
        <v>1919</v>
      </c>
      <c r="X962" s="65" t="s">
        <v>2893</v>
      </c>
      <c r="Y962" s="65" t="s">
        <v>3055</v>
      </c>
      <c r="Z962" s="65" t="s">
        <v>4</v>
      </c>
      <c r="AA962" s="65" t="s">
        <v>2893</v>
      </c>
    </row>
    <row r="963" spans="1:27" ht="17.45" hidden="1" customHeight="1">
      <c r="A963" s="100" t="str">
        <f>IF(priority(Main[[#This Row],[Comments]])&lt;&gt;0, priority(Main[[#This Row],[Comments]]),"")</f>
        <v/>
      </c>
      <c r="B963" s="77" t="s">
        <v>2392</v>
      </c>
      <c r="C963" s="65" t="s">
        <v>4</v>
      </c>
      <c r="D963" s="66" t="s">
        <v>2393</v>
      </c>
      <c r="E963" s="67"/>
      <c r="F963" s="67"/>
      <c r="G963" s="64" t="str">
        <f>IF(stdProdLT(Main[[#This Row],[Comments]])=0.1,"N/A",IF(stdProdLT(Main[[#This Row],[Comments]])=0,"",stdProdLT(Main[[#This Row],[Comments]])))</f>
        <v/>
      </c>
      <c r="H963" s="68" t="str">
        <f>IF(AND(Main[[#This Row],[In Stock Date]]&lt;&gt;"",Main[[#This Row],[Revised Due Date]]&lt;&gt;""),Main[[#This Row],[In Stock Date]]-Main[[#This Row],[Revised Due Date]],"")</f>
        <v/>
      </c>
      <c r="I963" s="65" t="s">
        <v>4</v>
      </c>
      <c r="J963" s="65" t="s">
        <v>4</v>
      </c>
      <c r="K963" s="71" t="s">
        <v>4</v>
      </c>
      <c r="L963" s="67"/>
      <c r="M963" s="69" t="str">
        <f>IF(Main[[#This Row],[Tech Start Date]]&lt;1/1/1990,"",IF(Main[[#This Row],[Class]]="C",WORKDAY(Main[[#This Row],[Tech Start Date]],9),IF(Main[[#This Row],[Class]]="B", WORKDAY(Main[[#This Row],[Tech Start Date]],6),IF(Main[[#This Row],[Class]]="A",WORKDAY(Main[[#This Row],[Tech Start Date]],2),""))))</f>
        <v/>
      </c>
      <c r="N963" s="69" t="str">
        <f>IF(Main[[#This Row],[Tech Start Date]]&lt;1/1/1990,"",IF(Main[[#This Row],[Class]]="C",WORKDAY(Main[[#This Row],[Tech Start Date]],19),IF(Main[[#This Row],[Class]]="B", WORKDAY(Main[[#This Row],[Tech Start Date]],12),IF(Main[[#This Row],[Class]]="A",WORKDAY(Main[[#This Row],[Tech Start Date]],4),""))))</f>
        <v/>
      </c>
      <c r="O963" s="69" t="str">
        <f>IF(Main[[#This Row],[Tech Start Date]]&lt;1/1/1990,"",IF(Main[[#This Row],[Class]]="C",WORKDAY(Main[[#This Row],[Tech Start Date]],23),IF(Main[[#This Row],[Class]]="B", WORKDAY(Main[[#This Row],[Tech Start Date]],15),IF(Main[[#This Row],[Class]]="A",WORKDAY(Main[[#This Row],[Tech Start Date]],5),""))))</f>
        <v/>
      </c>
      <c r="P963" s="69" t="str">
        <f>IF(Main[[#This Row],[Tech Start Date]]&lt;1/1/1990,"",IF(Main[[#This Row],[Class]]="C",WORKDAY(Main[[#This Row],[Tech Start Date]],28),IF(Main[[#This Row],[Class]]="B", WORKDAY(Main[[#This Row],[Tech Start Date]],19),IF(Main[[#This Row],[Class]]="A",WORKDAY(Main[[#This Row],[Tech Start Date]],9),""))))</f>
        <v/>
      </c>
      <c r="Q963" s="67"/>
      <c r="R963" s="67"/>
      <c r="S963" s="65" t="s">
        <v>6</v>
      </c>
      <c r="T963" s="70" t="s">
        <v>4</v>
      </c>
      <c r="U963" s="65" t="s">
        <v>14</v>
      </c>
      <c r="V963" s="65" t="s">
        <v>1914</v>
      </c>
      <c r="W963" s="65" t="s">
        <v>1918</v>
      </c>
      <c r="X963" s="65" t="s">
        <v>399</v>
      </c>
      <c r="Y963" s="65" t="s">
        <v>4</v>
      </c>
      <c r="Z963" s="65" t="s">
        <v>4</v>
      </c>
      <c r="AA963" s="65" t="s">
        <v>3454</v>
      </c>
    </row>
    <row r="964" spans="1:27" ht="17.45" hidden="1" customHeight="1">
      <c r="A964" s="100" t="str">
        <f>IF(priority(Main[[#This Row],[Comments]])&lt;&gt;0, priority(Main[[#This Row],[Comments]]),"")</f>
        <v/>
      </c>
      <c r="B964" s="77" t="s">
        <v>3624</v>
      </c>
      <c r="C964" s="65" t="s">
        <v>3625</v>
      </c>
      <c r="D964" s="66" t="s">
        <v>3626</v>
      </c>
      <c r="E964" s="67">
        <v>40956.576782407406</v>
      </c>
      <c r="F964" s="67"/>
      <c r="G964" s="64" t="str">
        <f>IF(stdProdLT(Main[[#This Row],[Comments]])=0.1,"N/A",IF(stdProdLT(Main[[#This Row],[Comments]])=0,"",stdProdLT(Main[[#This Row],[Comments]])))</f>
        <v>N/A</v>
      </c>
      <c r="H964" s="68" t="str">
        <f>IF(AND(Main[[#This Row],[In Stock Date]]&lt;&gt;"",Main[[#This Row],[Revised Due Date]]&lt;&gt;""),Main[[#This Row],[In Stock Date]]-Main[[#This Row],[Revised Due Date]],"")</f>
        <v/>
      </c>
      <c r="I964" s="65" t="s">
        <v>941</v>
      </c>
      <c r="J964" s="65" t="s">
        <v>28</v>
      </c>
      <c r="K964" s="71" t="s">
        <v>1921</v>
      </c>
      <c r="L964" s="67"/>
      <c r="M964" s="69" t="str">
        <f>IF(Main[[#This Row],[Tech Start Date]]&lt;1/1/1990,"",IF(Main[[#This Row],[Class]]="C",WORKDAY(Main[[#This Row],[Tech Start Date]],9),IF(Main[[#This Row],[Class]]="B", WORKDAY(Main[[#This Row],[Tech Start Date]],6),IF(Main[[#This Row],[Class]]="A",WORKDAY(Main[[#This Row],[Tech Start Date]],2),""))))</f>
        <v/>
      </c>
      <c r="N964" s="69" t="str">
        <f>IF(Main[[#This Row],[Tech Start Date]]&lt;1/1/1990,"",IF(Main[[#This Row],[Class]]="C",WORKDAY(Main[[#This Row],[Tech Start Date]],19),IF(Main[[#This Row],[Class]]="B", WORKDAY(Main[[#This Row],[Tech Start Date]],12),IF(Main[[#This Row],[Class]]="A",WORKDAY(Main[[#This Row],[Tech Start Date]],4),""))))</f>
        <v/>
      </c>
      <c r="O964" s="69" t="str">
        <f>IF(Main[[#This Row],[Tech Start Date]]&lt;1/1/1990,"",IF(Main[[#This Row],[Class]]="C",WORKDAY(Main[[#This Row],[Tech Start Date]],23),IF(Main[[#This Row],[Class]]="B", WORKDAY(Main[[#This Row],[Tech Start Date]],15),IF(Main[[#This Row],[Class]]="A",WORKDAY(Main[[#This Row],[Tech Start Date]],5),""))))</f>
        <v/>
      </c>
      <c r="P964" s="69" t="str">
        <f>IF(Main[[#This Row],[Tech Start Date]]&lt;1/1/1990,"",IF(Main[[#This Row],[Class]]="C",WORKDAY(Main[[#This Row],[Tech Start Date]],28),IF(Main[[#This Row],[Class]]="B", WORKDAY(Main[[#This Row],[Tech Start Date]],19),IF(Main[[#This Row],[Class]]="A",WORKDAY(Main[[#This Row],[Tech Start Date]],9),""))))</f>
        <v/>
      </c>
      <c r="Q964" s="67"/>
      <c r="R964" s="67"/>
      <c r="S964" s="65" t="s">
        <v>6</v>
      </c>
      <c r="T964" s="70" t="s">
        <v>3234</v>
      </c>
      <c r="U964" s="65" t="s">
        <v>29</v>
      </c>
      <c r="V964" s="65" t="s">
        <v>1915</v>
      </c>
      <c r="W964" s="65" t="s">
        <v>1918</v>
      </c>
      <c r="X964" s="65" t="s">
        <v>2816</v>
      </c>
      <c r="Y964" s="65" t="s">
        <v>2993</v>
      </c>
      <c r="Z964" s="65" t="s">
        <v>2053</v>
      </c>
      <c r="AA964" s="65" t="s">
        <v>3627</v>
      </c>
    </row>
    <row r="965" spans="1:27" ht="17.45" hidden="1" customHeight="1">
      <c r="A965" s="100" t="str">
        <f>IF(priority(Main[[#This Row],[Comments]])&lt;&gt;0, priority(Main[[#This Row],[Comments]]),"")</f>
        <v/>
      </c>
      <c r="B965" s="77" t="s">
        <v>3628</v>
      </c>
      <c r="C965" s="65" t="s">
        <v>4</v>
      </c>
      <c r="D965" s="66" t="s">
        <v>3629</v>
      </c>
      <c r="E965" s="67">
        <v>40953.403587962966</v>
      </c>
      <c r="F965" s="67"/>
      <c r="G965" s="64" t="str">
        <f>IF(stdProdLT(Main[[#This Row],[Comments]])=0.1,"N/A",IF(stdProdLT(Main[[#This Row],[Comments]])=0,"",stdProdLT(Main[[#This Row],[Comments]])))</f>
        <v/>
      </c>
      <c r="H965" s="68" t="str">
        <f>IF(AND(Main[[#This Row],[In Stock Date]]&lt;&gt;"",Main[[#This Row],[Revised Due Date]]&lt;&gt;""),Main[[#This Row],[In Stock Date]]-Main[[#This Row],[Revised Due Date]],"")</f>
        <v/>
      </c>
      <c r="I965" s="65" t="s">
        <v>530</v>
      </c>
      <c r="J965" s="65" t="s">
        <v>28</v>
      </c>
      <c r="K965" s="71" t="s">
        <v>1923</v>
      </c>
      <c r="L965" s="67"/>
      <c r="M965" s="69" t="str">
        <f>IF(Main[[#This Row],[Tech Start Date]]&lt;1/1/1990,"",IF(Main[[#This Row],[Class]]="C",WORKDAY(Main[[#This Row],[Tech Start Date]],9),IF(Main[[#This Row],[Class]]="B", WORKDAY(Main[[#This Row],[Tech Start Date]],6),IF(Main[[#This Row],[Class]]="A",WORKDAY(Main[[#This Row],[Tech Start Date]],2),""))))</f>
        <v/>
      </c>
      <c r="N965" s="69" t="str">
        <f>IF(Main[[#This Row],[Tech Start Date]]&lt;1/1/1990,"",IF(Main[[#This Row],[Class]]="C",WORKDAY(Main[[#This Row],[Tech Start Date]],19),IF(Main[[#This Row],[Class]]="B", WORKDAY(Main[[#This Row],[Tech Start Date]],12),IF(Main[[#This Row],[Class]]="A",WORKDAY(Main[[#This Row],[Tech Start Date]],4),""))))</f>
        <v/>
      </c>
      <c r="O965" s="69" t="str">
        <f>IF(Main[[#This Row],[Tech Start Date]]&lt;1/1/1990,"",IF(Main[[#This Row],[Class]]="C",WORKDAY(Main[[#This Row],[Tech Start Date]],23),IF(Main[[#This Row],[Class]]="B", WORKDAY(Main[[#This Row],[Tech Start Date]],15),IF(Main[[#This Row],[Class]]="A",WORKDAY(Main[[#This Row],[Tech Start Date]],5),""))))</f>
        <v/>
      </c>
      <c r="P965" s="69" t="str">
        <f>IF(Main[[#This Row],[Tech Start Date]]&lt;1/1/1990,"",IF(Main[[#This Row],[Class]]="C",WORKDAY(Main[[#This Row],[Tech Start Date]],28),IF(Main[[#This Row],[Class]]="B", WORKDAY(Main[[#This Row],[Tech Start Date]],19),IF(Main[[#This Row],[Class]]="A",WORKDAY(Main[[#This Row],[Tech Start Date]],9),""))))</f>
        <v/>
      </c>
      <c r="Q965" s="67"/>
      <c r="R965" s="67"/>
      <c r="S965" s="65" t="s">
        <v>6</v>
      </c>
      <c r="T965" s="70" t="s">
        <v>4</v>
      </c>
      <c r="U965" s="65" t="s">
        <v>29</v>
      </c>
      <c r="V965" s="65" t="s">
        <v>1917</v>
      </c>
      <c r="W965" s="65" t="s">
        <v>1916</v>
      </c>
      <c r="X965" s="65" t="s">
        <v>530</v>
      </c>
      <c r="Y965" s="65" t="s">
        <v>3144</v>
      </c>
      <c r="Z965" s="65" t="s">
        <v>30</v>
      </c>
      <c r="AA965" s="65" t="s">
        <v>530</v>
      </c>
    </row>
    <row r="966" spans="1:27" ht="17.45" hidden="1" customHeight="1">
      <c r="A966" s="100" t="str">
        <f>IF(priority(Main[[#This Row],[Comments]])&lt;&gt;0, priority(Main[[#This Row],[Comments]]),"")</f>
        <v/>
      </c>
      <c r="B966" s="77" t="s">
        <v>1907</v>
      </c>
      <c r="C966" s="65" t="s">
        <v>4</v>
      </c>
      <c r="D966" s="66" t="s">
        <v>957</v>
      </c>
      <c r="E966" s="67">
        <v>40140.581273148149</v>
      </c>
      <c r="F966" s="67"/>
      <c r="G966" s="64" t="str">
        <f>IF(stdProdLT(Main[[#This Row],[Comments]])=0.1,"N/A",IF(stdProdLT(Main[[#This Row],[Comments]])=0,"",stdProdLT(Main[[#This Row],[Comments]])))</f>
        <v/>
      </c>
      <c r="H966" s="68" t="str">
        <f>IF(AND(Main[[#This Row],[In Stock Date]]&lt;&gt;"",Main[[#This Row],[Revised Due Date]]&lt;&gt;""),Main[[#This Row],[In Stock Date]]-Main[[#This Row],[Revised Due Date]],"")</f>
        <v/>
      </c>
      <c r="I966" s="65" t="s">
        <v>431</v>
      </c>
      <c r="J966" s="65" t="s">
        <v>28</v>
      </c>
      <c r="K966" s="65" t="s">
        <v>1926</v>
      </c>
      <c r="L966" s="67"/>
      <c r="M966" s="69" t="str">
        <f>IF(Main[[#This Row],[Tech Start Date]]&lt;1/1/1990,"",IF(Main[[#This Row],[Class]]="C",WORKDAY(Main[[#This Row],[Tech Start Date]],9),IF(Main[[#This Row],[Class]]="B", WORKDAY(Main[[#This Row],[Tech Start Date]],6),IF(Main[[#This Row],[Class]]="A",WORKDAY(Main[[#This Row],[Tech Start Date]],2),""))))</f>
        <v/>
      </c>
      <c r="N966" s="69" t="str">
        <f>IF(Main[[#This Row],[Tech Start Date]]&lt;1/1/1990,"",IF(Main[[#This Row],[Class]]="C",WORKDAY(Main[[#This Row],[Tech Start Date]],19),IF(Main[[#This Row],[Class]]="B", WORKDAY(Main[[#This Row],[Tech Start Date]],12),IF(Main[[#This Row],[Class]]="A",WORKDAY(Main[[#This Row],[Tech Start Date]],4),""))))</f>
        <v/>
      </c>
      <c r="O966" s="69" t="str">
        <f>IF(Main[[#This Row],[Tech Start Date]]&lt;1/1/1990,"",IF(Main[[#This Row],[Class]]="C",WORKDAY(Main[[#This Row],[Tech Start Date]],23),IF(Main[[#This Row],[Class]]="B", WORKDAY(Main[[#This Row],[Tech Start Date]],15),IF(Main[[#This Row],[Class]]="A",WORKDAY(Main[[#This Row],[Tech Start Date]],5),""))))</f>
        <v/>
      </c>
      <c r="P966" s="69" t="str">
        <f>IF(Main[[#This Row],[Tech Start Date]]&lt;1/1/1990,"",IF(Main[[#This Row],[Class]]="C",WORKDAY(Main[[#This Row],[Tech Start Date]],28),IF(Main[[#This Row],[Class]]="B", WORKDAY(Main[[#This Row],[Tech Start Date]],19),IF(Main[[#This Row],[Class]]="A",WORKDAY(Main[[#This Row],[Tech Start Date]],9),""))))</f>
        <v/>
      </c>
      <c r="Q966" s="67">
        <v>40326</v>
      </c>
      <c r="R966" s="67">
        <v>40966</v>
      </c>
      <c r="S966" s="65" t="s">
        <v>17</v>
      </c>
      <c r="T966" s="70" t="s">
        <v>4</v>
      </c>
      <c r="U966" s="65" t="s">
        <v>29</v>
      </c>
      <c r="V966" s="65" t="s">
        <v>1917</v>
      </c>
      <c r="W966" s="65" t="s">
        <v>1919</v>
      </c>
      <c r="X966" s="65" t="s">
        <v>415</v>
      </c>
      <c r="Y966" s="65" t="s">
        <v>2975</v>
      </c>
      <c r="Z966" s="65" t="s">
        <v>415</v>
      </c>
      <c r="AA966" s="65" t="s">
        <v>415</v>
      </c>
    </row>
    <row r="967" spans="1:27" ht="17.45" hidden="1" customHeight="1">
      <c r="A967" s="100" t="str">
        <f>IF(priority(Main[[#This Row],[Comments]])&lt;&gt;0, priority(Main[[#This Row],[Comments]]),"")</f>
        <v/>
      </c>
      <c r="B967" s="77" t="s">
        <v>2124</v>
      </c>
      <c r="C967" s="65" t="s">
        <v>4</v>
      </c>
      <c r="D967" s="66" t="s">
        <v>2419</v>
      </c>
      <c r="E967" s="67"/>
      <c r="F967" s="67"/>
      <c r="G967" s="64" t="str">
        <f>IF(stdProdLT(Main[[#This Row],[Comments]])=0.1,"N/A",IF(stdProdLT(Main[[#This Row],[Comments]])=0,"",stdProdLT(Main[[#This Row],[Comments]])))</f>
        <v/>
      </c>
      <c r="H967" s="68" t="str">
        <f>IF(AND(Main[[#This Row],[In Stock Date]]&lt;&gt;"",Main[[#This Row],[Revised Due Date]]&lt;&gt;""),Main[[#This Row],[In Stock Date]]-Main[[#This Row],[Revised Due Date]],"")</f>
        <v/>
      </c>
      <c r="I967" s="65" t="s">
        <v>2051</v>
      </c>
      <c r="J967" s="65" t="s">
        <v>28</v>
      </c>
      <c r="K967" s="65" t="s">
        <v>1923</v>
      </c>
      <c r="L967" s="67"/>
      <c r="M967" s="69" t="str">
        <f>IF(Main[[#This Row],[Tech Start Date]]&lt;1/1/1990,"",IF(Main[[#This Row],[Class]]="C",WORKDAY(Main[[#This Row],[Tech Start Date]],9),IF(Main[[#This Row],[Class]]="B", WORKDAY(Main[[#This Row],[Tech Start Date]],6),IF(Main[[#This Row],[Class]]="A",WORKDAY(Main[[#This Row],[Tech Start Date]],2),""))))</f>
        <v/>
      </c>
      <c r="N967" s="69" t="str">
        <f>IF(Main[[#This Row],[Tech Start Date]]&lt;1/1/1990,"",IF(Main[[#This Row],[Class]]="C",WORKDAY(Main[[#This Row],[Tech Start Date]],19),IF(Main[[#This Row],[Class]]="B", WORKDAY(Main[[#This Row],[Tech Start Date]],12),IF(Main[[#This Row],[Class]]="A",WORKDAY(Main[[#This Row],[Tech Start Date]],4),""))))</f>
        <v/>
      </c>
      <c r="O967" s="69" t="str">
        <f>IF(Main[[#This Row],[Tech Start Date]]&lt;1/1/1990,"",IF(Main[[#This Row],[Class]]="C",WORKDAY(Main[[#This Row],[Tech Start Date]],23),IF(Main[[#This Row],[Class]]="B", WORKDAY(Main[[#This Row],[Tech Start Date]],15),IF(Main[[#This Row],[Class]]="A",WORKDAY(Main[[#This Row],[Tech Start Date]],5),""))))</f>
        <v/>
      </c>
      <c r="P967" s="69" t="str">
        <f>IF(Main[[#This Row],[Tech Start Date]]&lt;1/1/1990,"",IF(Main[[#This Row],[Class]]="C",WORKDAY(Main[[#This Row],[Tech Start Date]],28),IF(Main[[#This Row],[Class]]="B", WORKDAY(Main[[#This Row],[Tech Start Date]],19),IF(Main[[#This Row],[Class]]="A",WORKDAY(Main[[#This Row],[Tech Start Date]],9),""))))</f>
        <v/>
      </c>
      <c r="Q967" s="67">
        <v>40816</v>
      </c>
      <c r="R967" s="67"/>
      <c r="S967" s="65" t="s">
        <v>6</v>
      </c>
      <c r="T967" s="70" t="s">
        <v>4</v>
      </c>
      <c r="U967" s="65" t="s">
        <v>14</v>
      </c>
      <c r="V967" s="65" t="s">
        <v>1924</v>
      </c>
      <c r="W967" s="65" t="s">
        <v>1918</v>
      </c>
      <c r="X967" s="65" t="s">
        <v>2903</v>
      </c>
      <c r="Y967" s="65" t="s">
        <v>3083</v>
      </c>
      <c r="Z967" s="65" t="s">
        <v>44</v>
      </c>
      <c r="AA967" s="65" t="s">
        <v>2903</v>
      </c>
    </row>
    <row r="968" spans="1:27" ht="17.45" hidden="1" customHeight="1">
      <c r="A968" s="100" t="str">
        <f>IF(priority(Main[[#This Row],[Comments]])&lt;&gt;0, priority(Main[[#This Row],[Comments]]),"")</f>
        <v/>
      </c>
      <c r="B968" s="77" t="s">
        <v>2460</v>
      </c>
      <c r="C968" s="65" t="s">
        <v>95</v>
      </c>
      <c r="D968" s="66" t="s">
        <v>2687</v>
      </c>
      <c r="E968" s="67">
        <v>40876.601030092592</v>
      </c>
      <c r="F968" s="67"/>
      <c r="G968" s="64" t="str">
        <f>IF(stdProdLT(Main[[#This Row],[Comments]])=0.1,"N/A",IF(stdProdLT(Main[[#This Row],[Comments]])=0,"",stdProdLT(Main[[#This Row],[Comments]])))</f>
        <v/>
      </c>
      <c r="H968" s="68" t="str">
        <f>IF(AND(Main[[#This Row],[In Stock Date]]&lt;&gt;"",Main[[#This Row],[Revised Due Date]]&lt;&gt;""),Main[[#This Row],[In Stock Date]]-Main[[#This Row],[Revised Due Date]],"")</f>
        <v/>
      </c>
      <c r="I968" s="65" t="s">
        <v>530</v>
      </c>
      <c r="J968" s="65" t="s">
        <v>28</v>
      </c>
      <c r="K968" s="65" t="s">
        <v>1923</v>
      </c>
      <c r="L968" s="67"/>
      <c r="M968" s="69" t="str">
        <f>IF(Main[[#This Row],[Tech Start Date]]&lt;1/1/1990,"",IF(Main[[#This Row],[Class]]="C",WORKDAY(Main[[#This Row],[Tech Start Date]],9),IF(Main[[#This Row],[Class]]="B", WORKDAY(Main[[#This Row],[Tech Start Date]],6),IF(Main[[#This Row],[Class]]="A",WORKDAY(Main[[#This Row],[Tech Start Date]],2),""))))</f>
        <v/>
      </c>
      <c r="N968" s="69" t="str">
        <f>IF(Main[[#This Row],[Tech Start Date]]&lt;1/1/1990,"",IF(Main[[#This Row],[Class]]="C",WORKDAY(Main[[#This Row],[Tech Start Date]],19),IF(Main[[#This Row],[Class]]="B", WORKDAY(Main[[#This Row],[Tech Start Date]],12),IF(Main[[#This Row],[Class]]="A",WORKDAY(Main[[#This Row],[Tech Start Date]],4),""))))</f>
        <v/>
      </c>
      <c r="O968" s="69" t="str">
        <f>IF(Main[[#This Row],[Tech Start Date]]&lt;1/1/1990,"",IF(Main[[#This Row],[Class]]="C",WORKDAY(Main[[#This Row],[Tech Start Date]],23),IF(Main[[#This Row],[Class]]="B", WORKDAY(Main[[#This Row],[Tech Start Date]],15),IF(Main[[#This Row],[Class]]="A",WORKDAY(Main[[#This Row],[Tech Start Date]],5),""))))</f>
        <v/>
      </c>
      <c r="P968" s="69" t="str">
        <f>IF(Main[[#This Row],[Tech Start Date]]&lt;1/1/1990,"",IF(Main[[#This Row],[Class]]="C",WORKDAY(Main[[#This Row],[Tech Start Date]],28),IF(Main[[#This Row],[Class]]="B", WORKDAY(Main[[#This Row],[Tech Start Date]],19),IF(Main[[#This Row],[Class]]="A",WORKDAY(Main[[#This Row],[Tech Start Date]],9),""))))</f>
        <v/>
      </c>
      <c r="Q968" s="67">
        <v>40900</v>
      </c>
      <c r="R968" s="67"/>
      <c r="S968" s="65" t="s">
        <v>6</v>
      </c>
      <c r="T968" s="70" t="s">
        <v>4</v>
      </c>
      <c r="U968" s="65" t="s">
        <v>29</v>
      </c>
      <c r="V968" s="65" t="s">
        <v>1924</v>
      </c>
      <c r="W968" s="65" t="s">
        <v>1922</v>
      </c>
      <c r="X968" s="65" t="s">
        <v>883</v>
      </c>
      <c r="Y968" s="65" t="s">
        <v>2963</v>
      </c>
      <c r="Z968" s="65" t="s">
        <v>30</v>
      </c>
      <c r="AA968" s="65" t="s">
        <v>883</v>
      </c>
    </row>
    <row r="969" spans="1:27" ht="17.45" hidden="1" customHeight="1">
      <c r="A969" s="100">
        <f>IF(priority(Main[[#This Row],[Comments]])&lt;&gt;0, priority(Main[[#This Row],[Comments]]),"")</f>
        <v>13</v>
      </c>
      <c r="B969" s="77" t="s">
        <v>2742</v>
      </c>
      <c r="C969" s="65" t="s">
        <v>2743</v>
      </c>
      <c r="D969" s="66" t="s">
        <v>2744</v>
      </c>
      <c r="E969" s="67"/>
      <c r="F969" s="67">
        <v>41000</v>
      </c>
      <c r="G969" s="64">
        <f>IF(stdProdLT(Main[[#This Row],[Comments]])=0.1,"N/A",IF(stdProdLT(Main[[#This Row],[Comments]])=0,"",stdProdLT(Main[[#This Row],[Comments]])))</f>
        <v>140</v>
      </c>
      <c r="H969" s="68" t="str">
        <f>IF(AND(Main[[#This Row],[In Stock Date]]&lt;&gt;"",Main[[#This Row],[Revised Due Date]]&lt;&gt;""),Main[[#This Row],[In Stock Date]]-Main[[#This Row],[Revised Due Date]],"")</f>
        <v/>
      </c>
      <c r="I969" s="65" t="s">
        <v>561</v>
      </c>
      <c r="J969" s="65" t="s">
        <v>21</v>
      </c>
      <c r="K969" s="65" t="s">
        <v>4</v>
      </c>
      <c r="L969" s="67"/>
      <c r="M969" s="69" t="str">
        <f>IF(Main[[#This Row],[Tech Start Date]]&lt;1/1/1990,"",IF(Main[[#This Row],[Class]]="C",WORKDAY(Main[[#This Row],[Tech Start Date]],9),IF(Main[[#This Row],[Class]]="B", WORKDAY(Main[[#This Row],[Tech Start Date]],6),IF(Main[[#This Row],[Class]]="A",WORKDAY(Main[[#This Row],[Tech Start Date]],2),""))))</f>
        <v/>
      </c>
      <c r="N969" s="69" t="str">
        <f>IF(Main[[#This Row],[Tech Start Date]]&lt;1/1/1990,"",IF(Main[[#This Row],[Class]]="C",WORKDAY(Main[[#This Row],[Tech Start Date]],19),IF(Main[[#This Row],[Class]]="B", WORKDAY(Main[[#This Row],[Tech Start Date]],12),IF(Main[[#This Row],[Class]]="A",WORKDAY(Main[[#This Row],[Tech Start Date]],4),""))))</f>
        <v/>
      </c>
      <c r="O969" s="69" t="str">
        <f>IF(Main[[#This Row],[Tech Start Date]]&lt;1/1/1990,"",IF(Main[[#This Row],[Class]]="C",WORKDAY(Main[[#This Row],[Tech Start Date]],23),IF(Main[[#This Row],[Class]]="B", WORKDAY(Main[[#This Row],[Tech Start Date]],15),IF(Main[[#This Row],[Class]]="A",WORKDAY(Main[[#This Row],[Tech Start Date]],5),""))))</f>
        <v/>
      </c>
      <c r="P969" s="69" t="str">
        <f>IF(Main[[#This Row],[Tech Start Date]]&lt;1/1/1990,"",IF(Main[[#This Row],[Class]]="C",WORKDAY(Main[[#This Row],[Tech Start Date]],28),IF(Main[[#This Row],[Class]]="B", WORKDAY(Main[[#This Row],[Tech Start Date]],19),IF(Main[[#This Row],[Class]]="A",WORKDAY(Main[[#This Row],[Tech Start Date]],9),""))))</f>
        <v/>
      </c>
      <c r="Q969" s="67">
        <v>40964</v>
      </c>
      <c r="R969" s="67"/>
      <c r="S969" s="65" t="s">
        <v>11</v>
      </c>
      <c r="T969" s="70" t="s">
        <v>2745</v>
      </c>
      <c r="U969" s="65" t="s">
        <v>14</v>
      </c>
      <c r="V969" s="65" t="s">
        <v>1914</v>
      </c>
      <c r="W969" s="65" t="s">
        <v>1922</v>
      </c>
      <c r="X969" s="65" t="s">
        <v>2875</v>
      </c>
      <c r="Y969" s="65" t="s">
        <v>3021</v>
      </c>
      <c r="Z969" s="65" t="s">
        <v>4</v>
      </c>
      <c r="AA969" s="65" t="s">
        <v>2875</v>
      </c>
    </row>
    <row r="970" spans="1:27" ht="17.45" hidden="1" customHeight="1">
      <c r="A970" s="100" t="str">
        <f>IF(priority(Main[[#This Row],[Comments]])&lt;&gt;0, priority(Main[[#This Row],[Comments]]),"")</f>
        <v/>
      </c>
      <c r="B970" s="77" t="s">
        <v>3630</v>
      </c>
      <c r="C970" s="65" t="s">
        <v>2354</v>
      </c>
      <c r="D970" s="66" t="s">
        <v>3631</v>
      </c>
      <c r="E970" s="67">
        <v>40966.113449074073</v>
      </c>
      <c r="F970" s="67">
        <v>41014</v>
      </c>
      <c r="G970" s="64" t="str">
        <f>IF(stdProdLT(Main[[#This Row],[Comments]])=0.1,"N/A",IF(stdProdLT(Main[[#This Row],[Comments]])=0,"",stdProdLT(Main[[#This Row],[Comments]])))</f>
        <v/>
      </c>
      <c r="H970" s="68" t="str">
        <f>IF(AND(Main[[#This Row],[In Stock Date]]&lt;&gt;"",Main[[#This Row],[Revised Due Date]]&lt;&gt;""),Main[[#This Row],[In Stock Date]]-Main[[#This Row],[Revised Due Date]],"")</f>
        <v/>
      </c>
      <c r="I970" s="65" t="s">
        <v>4</v>
      </c>
      <c r="J970" s="65" t="s">
        <v>4</v>
      </c>
      <c r="K970" s="65" t="s">
        <v>4</v>
      </c>
      <c r="L970" s="67"/>
      <c r="M970" s="69" t="str">
        <f>IF(Main[[#This Row],[Tech Start Date]]&lt;1/1/1990,"",IF(Main[[#This Row],[Class]]="C",WORKDAY(Main[[#This Row],[Tech Start Date]],9),IF(Main[[#This Row],[Class]]="B", WORKDAY(Main[[#This Row],[Tech Start Date]],6),IF(Main[[#This Row],[Class]]="A",WORKDAY(Main[[#This Row],[Tech Start Date]],2),""))))</f>
        <v/>
      </c>
      <c r="N970" s="69" t="str">
        <f>IF(Main[[#This Row],[Tech Start Date]]&lt;1/1/1990,"",IF(Main[[#This Row],[Class]]="C",WORKDAY(Main[[#This Row],[Tech Start Date]],19),IF(Main[[#This Row],[Class]]="B", WORKDAY(Main[[#This Row],[Tech Start Date]],12),IF(Main[[#This Row],[Class]]="A",WORKDAY(Main[[#This Row],[Tech Start Date]],4),""))))</f>
        <v/>
      </c>
      <c r="O970" s="69" t="str">
        <f>IF(Main[[#This Row],[Tech Start Date]]&lt;1/1/1990,"",IF(Main[[#This Row],[Class]]="C",WORKDAY(Main[[#This Row],[Tech Start Date]],23),IF(Main[[#This Row],[Class]]="B", WORKDAY(Main[[#This Row],[Tech Start Date]],15),IF(Main[[#This Row],[Class]]="A",WORKDAY(Main[[#This Row],[Tech Start Date]],5),""))))</f>
        <v/>
      </c>
      <c r="P970" s="69" t="str">
        <f>IF(Main[[#This Row],[Tech Start Date]]&lt;1/1/1990,"",IF(Main[[#This Row],[Class]]="C",WORKDAY(Main[[#This Row],[Tech Start Date]],28),IF(Main[[#This Row],[Class]]="B", WORKDAY(Main[[#This Row],[Tech Start Date]],19),IF(Main[[#This Row],[Class]]="A",WORKDAY(Main[[#This Row],[Tech Start Date]],9),""))))</f>
        <v/>
      </c>
      <c r="Q970" s="67">
        <v>40916</v>
      </c>
      <c r="R970" s="67"/>
      <c r="S970" s="65" t="s">
        <v>11</v>
      </c>
      <c r="T970" s="70" t="s">
        <v>4</v>
      </c>
      <c r="U970" s="65" t="s">
        <v>694</v>
      </c>
      <c r="V970" s="65" t="s">
        <v>1924</v>
      </c>
      <c r="W970" s="65" t="s">
        <v>1922</v>
      </c>
      <c r="X970" s="65" t="s">
        <v>2843</v>
      </c>
      <c r="Y970" s="65" t="s">
        <v>4</v>
      </c>
      <c r="Z970" s="65" t="s">
        <v>4</v>
      </c>
      <c r="AA970" s="65" t="s">
        <v>2843</v>
      </c>
    </row>
    <row r="971" spans="1:27" ht="17.45" hidden="1" customHeight="1">
      <c r="A971" s="100" t="str">
        <f>IF(priority(Main[[#This Row],[Comments]])&lt;&gt;0, priority(Main[[#This Row],[Comments]]),"")</f>
        <v/>
      </c>
      <c r="B971" s="77" t="s">
        <v>3632</v>
      </c>
      <c r="C971" s="65" t="s">
        <v>4</v>
      </c>
      <c r="D971" s="66" t="s">
        <v>3633</v>
      </c>
      <c r="E971" s="67">
        <v>40959.588020833333</v>
      </c>
      <c r="F971" s="67"/>
      <c r="G971" s="64" t="str">
        <f>IF(stdProdLT(Main[[#This Row],[Comments]])=0.1,"N/A",IF(stdProdLT(Main[[#This Row],[Comments]])=0,"",stdProdLT(Main[[#This Row],[Comments]])))</f>
        <v/>
      </c>
      <c r="H971" s="68" t="str">
        <f>IF(AND(Main[[#This Row],[In Stock Date]]&lt;&gt;"",Main[[#This Row],[Revised Due Date]]&lt;&gt;""),Main[[#This Row],[In Stock Date]]-Main[[#This Row],[Revised Due Date]],"")</f>
        <v/>
      </c>
      <c r="I971" s="65" t="s">
        <v>4</v>
      </c>
      <c r="J971" s="65" t="s">
        <v>4</v>
      </c>
      <c r="K971" s="65" t="s">
        <v>4</v>
      </c>
      <c r="L971" s="67"/>
      <c r="M971" s="69" t="str">
        <f>IF(Main[[#This Row],[Tech Start Date]]&lt;1/1/1990,"",IF(Main[[#This Row],[Class]]="C",WORKDAY(Main[[#This Row],[Tech Start Date]],9),IF(Main[[#This Row],[Class]]="B", WORKDAY(Main[[#This Row],[Tech Start Date]],6),IF(Main[[#This Row],[Class]]="A",WORKDAY(Main[[#This Row],[Tech Start Date]],2),""))))</f>
        <v/>
      </c>
      <c r="N971" s="69" t="str">
        <f>IF(Main[[#This Row],[Tech Start Date]]&lt;1/1/1990,"",IF(Main[[#This Row],[Class]]="C",WORKDAY(Main[[#This Row],[Tech Start Date]],19),IF(Main[[#This Row],[Class]]="B", WORKDAY(Main[[#This Row],[Tech Start Date]],12),IF(Main[[#This Row],[Class]]="A",WORKDAY(Main[[#This Row],[Tech Start Date]],4),""))))</f>
        <v/>
      </c>
      <c r="O971" s="69" t="str">
        <f>IF(Main[[#This Row],[Tech Start Date]]&lt;1/1/1990,"",IF(Main[[#This Row],[Class]]="C",WORKDAY(Main[[#This Row],[Tech Start Date]],23),IF(Main[[#This Row],[Class]]="B", WORKDAY(Main[[#This Row],[Tech Start Date]],15),IF(Main[[#This Row],[Class]]="A",WORKDAY(Main[[#This Row],[Tech Start Date]],5),""))))</f>
        <v/>
      </c>
      <c r="P971" s="69" t="str">
        <f>IF(Main[[#This Row],[Tech Start Date]]&lt;1/1/1990,"",IF(Main[[#This Row],[Class]]="C",WORKDAY(Main[[#This Row],[Tech Start Date]],28),IF(Main[[#This Row],[Class]]="B", WORKDAY(Main[[#This Row],[Tech Start Date]],19),IF(Main[[#This Row],[Class]]="A",WORKDAY(Main[[#This Row],[Tech Start Date]],9),""))))</f>
        <v/>
      </c>
      <c r="Q971" s="67"/>
      <c r="R971" s="67"/>
      <c r="S971" s="65" t="s">
        <v>6</v>
      </c>
      <c r="T971" s="70" t="s">
        <v>4</v>
      </c>
      <c r="U971" s="65" t="s">
        <v>29</v>
      </c>
      <c r="V971" s="65" t="s">
        <v>1924</v>
      </c>
      <c r="W971" s="65" t="s">
        <v>4</v>
      </c>
      <c r="X971" s="65" t="s">
        <v>102</v>
      </c>
      <c r="Y971" s="65" t="s">
        <v>3125</v>
      </c>
      <c r="Z971" s="65" t="s">
        <v>4</v>
      </c>
      <c r="AA971" s="65" t="s">
        <v>3455</v>
      </c>
    </row>
    <row r="972" spans="1:27" ht="17.45" hidden="1" customHeight="1">
      <c r="A972" s="100" t="str">
        <f>IF(priority(Main[[#This Row],[Comments]])&lt;&gt;0, priority(Main[[#This Row],[Comments]]),"")</f>
        <v/>
      </c>
      <c r="B972" s="77" t="s">
        <v>3532</v>
      </c>
      <c r="C972" s="65" t="s">
        <v>4</v>
      </c>
      <c r="D972" s="66" t="s">
        <v>3533</v>
      </c>
      <c r="E972" s="67">
        <v>40947.470821759256</v>
      </c>
      <c r="F972" s="67"/>
      <c r="G972" s="64" t="str">
        <f>IF(stdProdLT(Main[[#This Row],[Comments]])=0.1,"N/A",IF(stdProdLT(Main[[#This Row],[Comments]])=0,"",stdProdLT(Main[[#This Row],[Comments]])))</f>
        <v/>
      </c>
      <c r="H972" s="68" t="str">
        <f>IF(AND(Main[[#This Row],[In Stock Date]]&lt;&gt;"",Main[[#This Row],[Revised Due Date]]&lt;&gt;""),Main[[#This Row],[In Stock Date]]-Main[[#This Row],[Revised Due Date]],"")</f>
        <v/>
      </c>
      <c r="I972" s="65" t="s">
        <v>4</v>
      </c>
      <c r="J972" s="65" t="s">
        <v>4</v>
      </c>
      <c r="K972" s="65" t="s">
        <v>4</v>
      </c>
      <c r="L972" s="67"/>
      <c r="M972" s="69" t="str">
        <f>IF(Main[[#This Row],[Tech Start Date]]&lt;1/1/1990,"",IF(Main[[#This Row],[Class]]="C",WORKDAY(Main[[#This Row],[Tech Start Date]],9),IF(Main[[#This Row],[Class]]="B", WORKDAY(Main[[#This Row],[Tech Start Date]],6),IF(Main[[#This Row],[Class]]="A",WORKDAY(Main[[#This Row],[Tech Start Date]],2),""))))</f>
        <v/>
      </c>
      <c r="N972" s="69" t="str">
        <f>IF(Main[[#This Row],[Tech Start Date]]&lt;1/1/1990,"",IF(Main[[#This Row],[Class]]="C",WORKDAY(Main[[#This Row],[Tech Start Date]],19),IF(Main[[#This Row],[Class]]="B", WORKDAY(Main[[#This Row],[Tech Start Date]],12),IF(Main[[#This Row],[Class]]="A",WORKDAY(Main[[#This Row],[Tech Start Date]],4),""))))</f>
        <v/>
      </c>
      <c r="O972" s="69" t="str">
        <f>IF(Main[[#This Row],[Tech Start Date]]&lt;1/1/1990,"",IF(Main[[#This Row],[Class]]="C",WORKDAY(Main[[#This Row],[Tech Start Date]],23),IF(Main[[#This Row],[Class]]="B", WORKDAY(Main[[#This Row],[Tech Start Date]],15),IF(Main[[#This Row],[Class]]="A",WORKDAY(Main[[#This Row],[Tech Start Date]],5),""))))</f>
        <v/>
      </c>
      <c r="P972" s="69" t="str">
        <f>IF(Main[[#This Row],[Tech Start Date]]&lt;1/1/1990,"",IF(Main[[#This Row],[Class]]="C",WORKDAY(Main[[#This Row],[Tech Start Date]],28),IF(Main[[#This Row],[Class]]="B", WORKDAY(Main[[#This Row],[Tech Start Date]],19),IF(Main[[#This Row],[Class]]="A",WORKDAY(Main[[#This Row],[Tech Start Date]],9),""))))</f>
        <v/>
      </c>
      <c r="Q972" s="67"/>
      <c r="R972" s="67"/>
      <c r="S972" s="65" t="s">
        <v>6</v>
      </c>
      <c r="T972" s="70" t="s">
        <v>4</v>
      </c>
      <c r="U972" s="65" t="s">
        <v>29</v>
      </c>
      <c r="V972" s="65" t="s">
        <v>1915</v>
      </c>
      <c r="W972" s="65" t="s">
        <v>1918</v>
      </c>
      <c r="X972" s="65" t="s">
        <v>306</v>
      </c>
      <c r="Y972" s="65" t="s">
        <v>4</v>
      </c>
      <c r="Z972" s="65" t="s">
        <v>4</v>
      </c>
      <c r="AA972" s="65" t="s">
        <v>4</v>
      </c>
    </row>
    <row r="973" spans="1:27" ht="17.45" hidden="1" customHeight="1">
      <c r="A973" s="100" t="str">
        <f>IF(priority(Main[[#This Row],[Comments]])&lt;&gt;0, priority(Main[[#This Row],[Comments]]),"")</f>
        <v/>
      </c>
      <c r="B973" s="77" t="s">
        <v>2572</v>
      </c>
      <c r="C973" s="65" t="s">
        <v>4</v>
      </c>
      <c r="D973" s="66" t="s">
        <v>2573</v>
      </c>
      <c r="E973" s="67"/>
      <c r="F973" s="67"/>
      <c r="G973" s="64" t="str">
        <f>IF(stdProdLT(Main[[#This Row],[Comments]])=0.1,"N/A",IF(stdProdLT(Main[[#This Row],[Comments]])=0,"",stdProdLT(Main[[#This Row],[Comments]])))</f>
        <v/>
      </c>
      <c r="H973" s="68" t="str">
        <f>IF(AND(Main[[#This Row],[In Stock Date]]&lt;&gt;"",Main[[#This Row],[Revised Due Date]]&lt;&gt;""),Main[[#This Row],[In Stock Date]]-Main[[#This Row],[Revised Due Date]],"")</f>
        <v/>
      </c>
      <c r="I973" s="65" t="s">
        <v>4</v>
      </c>
      <c r="J973" s="65" t="s">
        <v>4</v>
      </c>
      <c r="K973" s="65" t="s">
        <v>4</v>
      </c>
      <c r="L973" s="67"/>
      <c r="M973" s="69" t="str">
        <f>IF(Main[[#This Row],[Tech Start Date]]&lt;1/1/1990,"",IF(Main[[#This Row],[Class]]="C",WORKDAY(Main[[#This Row],[Tech Start Date]],9),IF(Main[[#This Row],[Class]]="B", WORKDAY(Main[[#This Row],[Tech Start Date]],6),IF(Main[[#This Row],[Class]]="A",WORKDAY(Main[[#This Row],[Tech Start Date]],2),""))))</f>
        <v/>
      </c>
      <c r="N973" s="69" t="str">
        <f>IF(Main[[#This Row],[Tech Start Date]]&lt;1/1/1990,"",IF(Main[[#This Row],[Class]]="C",WORKDAY(Main[[#This Row],[Tech Start Date]],19),IF(Main[[#This Row],[Class]]="B", WORKDAY(Main[[#This Row],[Tech Start Date]],12),IF(Main[[#This Row],[Class]]="A",WORKDAY(Main[[#This Row],[Tech Start Date]],4),""))))</f>
        <v/>
      </c>
      <c r="O973" s="69" t="str">
        <f>IF(Main[[#This Row],[Tech Start Date]]&lt;1/1/1990,"",IF(Main[[#This Row],[Class]]="C",WORKDAY(Main[[#This Row],[Tech Start Date]],23),IF(Main[[#This Row],[Class]]="B", WORKDAY(Main[[#This Row],[Tech Start Date]],15),IF(Main[[#This Row],[Class]]="A",WORKDAY(Main[[#This Row],[Tech Start Date]],5),""))))</f>
        <v/>
      </c>
      <c r="P973" s="69" t="str">
        <f>IF(Main[[#This Row],[Tech Start Date]]&lt;1/1/1990,"",IF(Main[[#This Row],[Class]]="C",WORKDAY(Main[[#This Row],[Tech Start Date]],28),IF(Main[[#This Row],[Class]]="B", WORKDAY(Main[[#This Row],[Tech Start Date]],19),IF(Main[[#This Row],[Class]]="A",WORKDAY(Main[[#This Row],[Tech Start Date]],9),""))))</f>
        <v/>
      </c>
      <c r="Q973" s="67"/>
      <c r="R973" s="67"/>
      <c r="S973" s="65" t="s">
        <v>6</v>
      </c>
      <c r="T973" s="70" t="s">
        <v>4</v>
      </c>
      <c r="U973" s="65" t="s">
        <v>14</v>
      </c>
      <c r="V973" s="65" t="s">
        <v>1917</v>
      </c>
      <c r="W973" s="65" t="s">
        <v>1918</v>
      </c>
      <c r="X973" s="65" t="s">
        <v>306</v>
      </c>
      <c r="Y973" s="65" t="s">
        <v>2941</v>
      </c>
      <c r="Z973" s="65" t="s">
        <v>4</v>
      </c>
      <c r="AA973" s="65" t="s">
        <v>306</v>
      </c>
    </row>
    <row r="974" spans="1:27" ht="17.45" hidden="1" customHeight="1">
      <c r="A974" s="100">
        <f>IF(priority(Main[[#This Row],[Comments]])&lt;&gt;0, priority(Main[[#This Row],[Comments]]),"")</f>
        <v>25</v>
      </c>
      <c r="B974" s="77" t="s">
        <v>3231</v>
      </c>
      <c r="C974" s="65" t="s">
        <v>2768</v>
      </c>
      <c r="D974" s="66" t="s">
        <v>2811</v>
      </c>
      <c r="E974" s="67"/>
      <c r="F974" s="67"/>
      <c r="G974" s="64">
        <f>IF(stdProdLT(Main[[#This Row],[Comments]])=0.1,"N/A",IF(stdProdLT(Main[[#This Row],[Comments]])=0,"",stdProdLT(Main[[#This Row],[Comments]])))</f>
        <v>98</v>
      </c>
      <c r="H974" s="68" t="str">
        <f>IF(AND(Main[[#This Row],[In Stock Date]]&lt;&gt;"",Main[[#This Row],[Revised Due Date]]&lt;&gt;""),Main[[#This Row],[In Stock Date]]-Main[[#This Row],[Revised Due Date]],"")</f>
        <v/>
      </c>
      <c r="I974" s="65" t="s">
        <v>4</v>
      </c>
      <c r="J974" s="65" t="s">
        <v>4</v>
      </c>
      <c r="K974" s="65" t="s">
        <v>4</v>
      </c>
      <c r="L974" s="67"/>
      <c r="M974" s="69" t="str">
        <f>IF(Main[[#This Row],[Tech Start Date]]&lt;1/1/1990,"",IF(Main[[#This Row],[Class]]="C",WORKDAY(Main[[#This Row],[Tech Start Date]],9),IF(Main[[#This Row],[Class]]="B", WORKDAY(Main[[#This Row],[Tech Start Date]],6),IF(Main[[#This Row],[Class]]="A",WORKDAY(Main[[#This Row],[Tech Start Date]],2),""))))</f>
        <v/>
      </c>
      <c r="N974" s="69" t="str">
        <f>IF(Main[[#This Row],[Tech Start Date]]&lt;1/1/1990,"",IF(Main[[#This Row],[Class]]="C",WORKDAY(Main[[#This Row],[Tech Start Date]],19),IF(Main[[#This Row],[Class]]="B", WORKDAY(Main[[#This Row],[Tech Start Date]],12),IF(Main[[#This Row],[Class]]="A",WORKDAY(Main[[#This Row],[Tech Start Date]],4),""))))</f>
        <v/>
      </c>
      <c r="O974" s="69" t="str">
        <f>IF(Main[[#This Row],[Tech Start Date]]&lt;1/1/1990,"",IF(Main[[#This Row],[Class]]="C",WORKDAY(Main[[#This Row],[Tech Start Date]],23),IF(Main[[#This Row],[Class]]="B", WORKDAY(Main[[#This Row],[Tech Start Date]],15),IF(Main[[#This Row],[Class]]="A",WORKDAY(Main[[#This Row],[Tech Start Date]],5),""))))</f>
        <v/>
      </c>
      <c r="P974" s="69" t="str">
        <f>IF(Main[[#This Row],[Tech Start Date]]&lt;1/1/1990,"",IF(Main[[#This Row],[Class]]="C",WORKDAY(Main[[#This Row],[Tech Start Date]],28),IF(Main[[#This Row],[Class]]="B", WORKDAY(Main[[#This Row],[Tech Start Date]],19),IF(Main[[#This Row],[Class]]="A",WORKDAY(Main[[#This Row],[Tech Start Date]],9),""))))</f>
        <v/>
      </c>
      <c r="Q974" s="67">
        <v>40889</v>
      </c>
      <c r="R974" s="67"/>
      <c r="S974" s="65" t="s">
        <v>11</v>
      </c>
      <c r="T974" s="70" t="s">
        <v>3224</v>
      </c>
      <c r="U974" s="65" t="s">
        <v>12</v>
      </c>
      <c r="V974" s="65" t="s">
        <v>1914</v>
      </c>
      <c r="W974" s="65" t="s">
        <v>1920</v>
      </c>
      <c r="X974" s="65" t="s">
        <v>3232</v>
      </c>
      <c r="Y974" s="65" t="s">
        <v>4</v>
      </c>
      <c r="Z974" s="65" t="s">
        <v>4</v>
      </c>
      <c r="AA974" s="65" t="s">
        <v>2854</v>
      </c>
    </row>
    <row r="975" spans="1:27" ht="17.45" hidden="1" customHeight="1">
      <c r="A975" s="100" t="str">
        <f>IF(priority(Main[[#This Row],[Comments]])&lt;&gt;0, priority(Main[[#This Row],[Comments]]),"")</f>
        <v/>
      </c>
      <c r="B975" s="77" t="s">
        <v>2272</v>
      </c>
      <c r="C975" s="65" t="s">
        <v>4</v>
      </c>
      <c r="D975" s="66" t="s">
        <v>2273</v>
      </c>
      <c r="E975" s="67">
        <v>40809.888067129628</v>
      </c>
      <c r="F975" s="67"/>
      <c r="G975" s="64" t="str">
        <f>IF(stdProdLT(Main[[#This Row],[Comments]])=0.1,"N/A",IF(stdProdLT(Main[[#This Row],[Comments]])=0,"",stdProdLT(Main[[#This Row],[Comments]])))</f>
        <v/>
      </c>
      <c r="H975" s="68" t="str">
        <f>IF(AND(Main[[#This Row],[In Stock Date]]&lt;&gt;"",Main[[#This Row],[Revised Due Date]]&lt;&gt;""),Main[[#This Row],[In Stock Date]]-Main[[#This Row],[Revised Due Date]],"")</f>
        <v/>
      </c>
      <c r="I975" s="65" t="s">
        <v>81</v>
      </c>
      <c r="J975" s="65" t="s">
        <v>52</v>
      </c>
      <c r="K975" s="65" t="s">
        <v>1923</v>
      </c>
      <c r="L975" s="67"/>
      <c r="M975" s="69" t="str">
        <f>IF(Main[[#This Row],[Tech Start Date]]&lt;1/1/1990,"",IF(Main[[#This Row],[Class]]="C",WORKDAY(Main[[#This Row],[Tech Start Date]],9),IF(Main[[#This Row],[Class]]="B", WORKDAY(Main[[#This Row],[Tech Start Date]],6),IF(Main[[#This Row],[Class]]="A",WORKDAY(Main[[#This Row],[Tech Start Date]],2),""))))</f>
        <v/>
      </c>
      <c r="N975" s="69" t="str">
        <f>IF(Main[[#This Row],[Tech Start Date]]&lt;1/1/1990,"",IF(Main[[#This Row],[Class]]="C",WORKDAY(Main[[#This Row],[Tech Start Date]],19),IF(Main[[#This Row],[Class]]="B", WORKDAY(Main[[#This Row],[Tech Start Date]],12),IF(Main[[#This Row],[Class]]="A",WORKDAY(Main[[#This Row],[Tech Start Date]],4),""))))</f>
        <v/>
      </c>
      <c r="O975" s="69" t="str">
        <f>IF(Main[[#This Row],[Tech Start Date]]&lt;1/1/1990,"",IF(Main[[#This Row],[Class]]="C",WORKDAY(Main[[#This Row],[Tech Start Date]],23),IF(Main[[#This Row],[Class]]="B", WORKDAY(Main[[#This Row],[Tech Start Date]],15),IF(Main[[#This Row],[Class]]="A",WORKDAY(Main[[#This Row],[Tech Start Date]],5),""))))</f>
        <v/>
      </c>
      <c r="P975" s="69" t="str">
        <f>IF(Main[[#This Row],[Tech Start Date]]&lt;1/1/1990,"",IF(Main[[#This Row],[Class]]="C",WORKDAY(Main[[#This Row],[Tech Start Date]],28),IF(Main[[#This Row],[Class]]="B", WORKDAY(Main[[#This Row],[Tech Start Date]],19),IF(Main[[#This Row],[Class]]="A",WORKDAY(Main[[#This Row],[Tech Start Date]],9),""))))</f>
        <v/>
      </c>
      <c r="Q975" s="67"/>
      <c r="R975" s="67"/>
      <c r="S975" s="65" t="s">
        <v>6</v>
      </c>
      <c r="T975" s="70" t="s">
        <v>4</v>
      </c>
      <c r="U975" s="65" t="s">
        <v>29</v>
      </c>
      <c r="V975" s="65" t="s">
        <v>1924</v>
      </c>
      <c r="W975" s="65" t="s">
        <v>1918</v>
      </c>
      <c r="X975" s="65" t="s">
        <v>2865</v>
      </c>
      <c r="Y975" s="65" t="s">
        <v>3010</v>
      </c>
      <c r="Z975" s="65" t="s">
        <v>30</v>
      </c>
      <c r="AA975" s="65" t="s">
        <v>2865</v>
      </c>
    </row>
    <row r="976" spans="1:27" ht="17.45" hidden="1" customHeight="1">
      <c r="A976" s="100" t="str">
        <f>IF(priority(Main[[#This Row],[Comments]])&lt;&gt;0, priority(Main[[#This Row],[Comments]]),"")</f>
        <v/>
      </c>
      <c r="B976" s="77" t="s">
        <v>2250</v>
      </c>
      <c r="C976" s="65" t="s">
        <v>4</v>
      </c>
      <c r="D976" s="66" t="s">
        <v>2251</v>
      </c>
      <c r="E976" s="67">
        <v>40806.354490740741</v>
      </c>
      <c r="F976" s="67"/>
      <c r="G976" s="64" t="str">
        <f>IF(stdProdLT(Main[[#This Row],[Comments]])=0.1,"N/A",IF(stdProdLT(Main[[#This Row],[Comments]])=0,"",stdProdLT(Main[[#This Row],[Comments]])))</f>
        <v/>
      </c>
      <c r="H976" s="68" t="str">
        <f>IF(AND(Main[[#This Row],[In Stock Date]]&lt;&gt;"",Main[[#This Row],[Revised Due Date]]&lt;&gt;""),Main[[#This Row],[In Stock Date]]-Main[[#This Row],[Revised Due Date]],"")</f>
        <v/>
      </c>
      <c r="I976" s="65" t="s">
        <v>4</v>
      </c>
      <c r="J976" s="65" t="s">
        <v>4</v>
      </c>
      <c r="K976" s="65" t="s">
        <v>4</v>
      </c>
      <c r="L976" s="67"/>
      <c r="M976" s="69" t="str">
        <f>IF(Main[[#This Row],[Tech Start Date]]&lt;1/1/1990,"",IF(Main[[#This Row],[Class]]="C",WORKDAY(Main[[#This Row],[Tech Start Date]],9),IF(Main[[#This Row],[Class]]="B", WORKDAY(Main[[#This Row],[Tech Start Date]],6),IF(Main[[#This Row],[Class]]="A",WORKDAY(Main[[#This Row],[Tech Start Date]],2),""))))</f>
        <v/>
      </c>
      <c r="N976" s="69" t="str">
        <f>IF(Main[[#This Row],[Tech Start Date]]&lt;1/1/1990,"",IF(Main[[#This Row],[Class]]="C",WORKDAY(Main[[#This Row],[Tech Start Date]],19),IF(Main[[#This Row],[Class]]="B", WORKDAY(Main[[#This Row],[Tech Start Date]],12),IF(Main[[#This Row],[Class]]="A",WORKDAY(Main[[#This Row],[Tech Start Date]],4),""))))</f>
        <v/>
      </c>
      <c r="O976" s="69" t="str">
        <f>IF(Main[[#This Row],[Tech Start Date]]&lt;1/1/1990,"",IF(Main[[#This Row],[Class]]="C",WORKDAY(Main[[#This Row],[Tech Start Date]],23),IF(Main[[#This Row],[Class]]="B", WORKDAY(Main[[#This Row],[Tech Start Date]],15),IF(Main[[#This Row],[Class]]="A",WORKDAY(Main[[#This Row],[Tech Start Date]],5),""))))</f>
        <v/>
      </c>
      <c r="P976" s="69" t="str">
        <f>IF(Main[[#This Row],[Tech Start Date]]&lt;1/1/1990,"",IF(Main[[#This Row],[Class]]="C",WORKDAY(Main[[#This Row],[Tech Start Date]],28),IF(Main[[#This Row],[Class]]="B", WORKDAY(Main[[#This Row],[Tech Start Date]],19),IF(Main[[#This Row],[Class]]="A",WORKDAY(Main[[#This Row],[Tech Start Date]],9),""))))</f>
        <v/>
      </c>
      <c r="Q976" s="67"/>
      <c r="R976" s="67"/>
      <c r="S976" s="65" t="s">
        <v>17</v>
      </c>
      <c r="T976" s="70" t="s">
        <v>4</v>
      </c>
      <c r="U976" s="65" t="s">
        <v>7</v>
      </c>
      <c r="V976" s="65" t="s">
        <v>1915</v>
      </c>
      <c r="W976" s="65" t="s">
        <v>1916</v>
      </c>
      <c r="X976" s="65" t="s">
        <v>2866</v>
      </c>
      <c r="Y976" s="65" t="s">
        <v>3000</v>
      </c>
      <c r="Z976" s="65" t="s">
        <v>4</v>
      </c>
      <c r="AA976" s="65" t="s">
        <v>2866</v>
      </c>
    </row>
    <row r="977" spans="1:27" ht="17.45" hidden="1" customHeight="1">
      <c r="A977" s="100" t="str">
        <f>IF(priority(Main[[#This Row],[Comments]])&lt;&gt;0, priority(Main[[#This Row],[Comments]]),"")</f>
        <v/>
      </c>
      <c r="B977" s="77" t="s">
        <v>2773</v>
      </c>
      <c r="C977" s="65" t="s">
        <v>2774</v>
      </c>
      <c r="D977" s="66" t="s">
        <v>3272</v>
      </c>
      <c r="E977" s="67"/>
      <c r="F977" s="67"/>
      <c r="G977" s="64">
        <f>IF(stdProdLT(Main[[#This Row],[Comments]])=0.1,"N/A",IF(stdProdLT(Main[[#This Row],[Comments]])=0,"",stdProdLT(Main[[#This Row],[Comments]])))</f>
        <v>112</v>
      </c>
      <c r="H977" s="68" t="str">
        <f>IF(AND(Main[[#This Row],[In Stock Date]]&lt;&gt;"",Main[[#This Row],[Revised Due Date]]&lt;&gt;""),Main[[#This Row],[In Stock Date]]-Main[[#This Row],[Revised Due Date]],"")</f>
        <v/>
      </c>
      <c r="I977" s="65" t="s">
        <v>4</v>
      </c>
      <c r="J977" s="65" t="s">
        <v>4</v>
      </c>
      <c r="K977" s="65" t="s">
        <v>4</v>
      </c>
      <c r="L977" s="67"/>
      <c r="M977" s="69" t="str">
        <f>IF(Main[[#This Row],[Tech Start Date]]&lt;1/1/1990,"",IF(Main[[#This Row],[Class]]="C",WORKDAY(Main[[#This Row],[Tech Start Date]],9),IF(Main[[#This Row],[Class]]="B", WORKDAY(Main[[#This Row],[Tech Start Date]],6),IF(Main[[#This Row],[Class]]="A",WORKDAY(Main[[#This Row],[Tech Start Date]],2),""))))</f>
        <v/>
      </c>
      <c r="N977" s="69" t="str">
        <f>IF(Main[[#This Row],[Tech Start Date]]&lt;1/1/1990,"",IF(Main[[#This Row],[Class]]="C",WORKDAY(Main[[#This Row],[Tech Start Date]],19),IF(Main[[#This Row],[Class]]="B", WORKDAY(Main[[#This Row],[Tech Start Date]],12),IF(Main[[#This Row],[Class]]="A",WORKDAY(Main[[#This Row],[Tech Start Date]],4),""))))</f>
        <v/>
      </c>
      <c r="O977" s="69" t="str">
        <f>IF(Main[[#This Row],[Tech Start Date]]&lt;1/1/1990,"",IF(Main[[#This Row],[Class]]="C",WORKDAY(Main[[#This Row],[Tech Start Date]],23),IF(Main[[#This Row],[Class]]="B", WORKDAY(Main[[#This Row],[Tech Start Date]],15),IF(Main[[#This Row],[Class]]="A",WORKDAY(Main[[#This Row],[Tech Start Date]],5),""))))</f>
        <v/>
      </c>
      <c r="P977" s="69" t="str">
        <f>IF(Main[[#This Row],[Tech Start Date]]&lt;1/1/1990,"",IF(Main[[#This Row],[Class]]="C",WORKDAY(Main[[#This Row],[Tech Start Date]],28),IF(Main[[#This Row],[Class]]="B", WORKDAY(Main[[#This Row],[Tech Start Date]],19),IF(Main[[#This Row],[Class]]="A",WORKDAY(Main[[#This Row],[Tech Start Date]],9),""))))</f>
        <v/>
      </c>
      <c r="Q977" s="67"/>
      <c r="R977" s="67"/>
      <c r="S977" s="65" t="s">
        <v>11</v>
      </c>
      <c r="T977" s="70" t="s">
        <v>3175</v>
      </c>
      <c r="U977" s="65" t="s">
        <v>14</v>
      </c>
      <c r="V977" s="65" t="s">
        <v>1917</v>
      </c>
      <c r="W977" s="65" t="s">
        <v>1922</v>
      </c>
      <c r="X977" s="65" t="s">
        <v>306</v>
      </c>
      <c r="Y977" s="65" t="s">
        <v>4</v>
      </c>
      <c r="Z977" s="65" t="s">
        <v>4</v>
      </c>
      <c r="AA977" s="65" t="s">
        <v>4</v>
      </c>
    </row>
    <row r="978" spans="1:27" ht="17.45" hidden="1" customHeight="1">
      <c r="A978" s="100" t="str">
        <f>IF(priority(Main[[#This Row],[Comments]])&lt;&gt;0, priority(Main[[#This Row],[Comments]]),"")</f>
        <v/>
      </c>
      <c r="B978" s="77" t="s">
        <v>2425</v>
      </c>
      <c r="C978" s="65" t="s">
        <v>4</v>
      </c>
      <c r="D978" s="66" t="s">
        <v>2426</v>
      </c>
      <c r="E978" s="67"/>
      <c r="F978" s="67"/>
      <c r="G978" s="64" t="str">
        <f>IF(stdProdLT(Main[[#This Row],[Comments]])=0.1,"N/A",IF(stdProdLT(Main[[#This Row],[Comments]])=0,"",stdProdLT(Main[[#This Row],[Comments]])))</f>
        <v/>
      </c>
      <c r="H978" s="68" t="str">
        <f>IF(AND(Main[[#This Row],[In Stock Date]]&lt;&gt;"",Main[[#This Row],[Revised Due Date]]&lt;&gt;""),Main[[#This Row],[In Stock Date]]-Main[[#This Row],[Revised Due Date]],"")</f>
        <v/>
      </c>
      <c r="I978" s="65" t="s">
        <v>4</v>
      </c>
      <c r="J978" s="65" t="s">
        <v>4</v>
      </c>
      <c r="K978" s="65" t="s">
        <v>4</v>
      </c>
      <c r="L978" s="67"/>
      <c r="M978" s="69" t="str">
        <f>IF(Main[[#This Row],[Tech Start Date]]&lt;1/1/1990,"",IF(Main[[#This Row],[Class]]="C",WORKDAY(Main[[#This Row],[Tech Start Date]],9),IF(Main[[#This Row],[Class]]="B", WORKDAY(Main[[#This Row],[Tech Start Date]],6),IF(Main[[#This Row],[Class]]="A",WORKDAY(Main[[#This Row],[Tech Start Date]],2),""))))</f>
        <v/>
      </c>
      <c r="N978" s="69" t="str">
        <f>IF(Main[[#This Row],[Tech Start Date]]&lt;1/1/1990,"",IF(Main[[#This Row],[Class]]="C",WORKDAY(Main[[#This Row],[Tech Start Date]],19),IF(Main[[#This Row],[Class]]="B", WORKDAY(Main[[#This Row],[Tech Start Date]],12),IF(Main[[#This Row],[Class]]="A",WORKDAY(Main[[#This Row],[Tech Start Date]],4),""))))</f>
        <v/>
      </c>
      <c r="O978" s="69" t="str">
        <f>IF(Main[[#This Row],[Tech Start Date]]&lt;1/1/1990,"",IF(Main[[#This Row],[Class]]="C",WORKDAY(Main[[#This Row],[Tech Start Date]],23),IF(Main[[#This Row],[Class]]="B", WORKDAY(Main[[#This Row],[Tech Start Date]],15),IF(Main[[#This Row],[Class]]="A",WORKDAY(Main[[#This Row],[Tech Start Date]],5),""))))</f>
        <v/>
      </c>
      <c r="P978" s="69" t="str">
        <f>IF(Main[[#This Row],[Tech Start Date]]&lt;1/1/1990,"",IF(Main[[#This Row],[Class]]="C",WORKDAY(Main[[#This Row],[Tech Start Date]],28),IF(Main[[#This Row],[Class]]="B", WORKDAY(Main[[#This Row],[Tech Start Date]],19),IF(Main[[#This Row],[Class]]="A",WORKDAY(Main[[#This Row],[Tech Start Date]],9),""))))</f>
        <v/>
      </c>
      <c r="Q978" s="67">
        <v>40907</v>
      </c>
      <c r="R978" s="67"/>
      <c r="S978" s="65" t="s">
        <v>6</v>
      </c>
      <c r="T978" s="70" t="s">
        <v>4</v>
      </c>
      <c r="U978" s="65" t="s">
        <v>14</v>
      </c>
      <c r="V978" s="65" t="s">
        <v>1914</v>
      </c>
      <c r="W978" s="65" t="s">
        <v>1918</v>
      </c>
      <c r="X978" s="65" t="s">
        <v>2821</v>
      </c>
      <c r="Y978" s="65" t="s">
        <v>2936</v>
      </c>
      <c r="Z978" s="65" t="s">
        <v>4</v>
      </c>
      <c r="AA978" s="65" t="s">
        <v>2821</v>
      </c>
    </row>
    <row r="979" spans="1:27" ht="17.45" hidden="1" customHeight="1">
      <c r="A979" s="100">
        <f>IF(priority(Main[[#This Row],[Comments]])&lt;&gt;0, priority(Main[[#This Row],[Comments]]),"")</f>
        <v>2</v>
      </c>
      <c r="B979" s="77" t="s">
        <v>1155</v>
      </c>
      <c r="C979" s="65" t="s">
        <v>19</v>
      </c>
      <c r="D979" s="66" t="s">
        <v>2427</v>
      </c>
      <c r="E979" s="67">
        <v>40487.363657407404</v>
      </c>
      <c r="F979" s="67"/>
      <c r="G979" s="64" t="str">
        <f>IF(stdProdLT(Main[[#This Row],[Comments]])=0.1,"N/A",IF(stdProdLT(Main[[#This Row],[Comments]])=0,"",stdProdLT(Main[[#This Row],[Comments]])))</f>
        <v/>
      </c>
      <c r="H979" s="68" t="str">
        <f>IF(AND(Main[[#This Row],[In Stock Date]]&lt;&gt;"",Main[[#This Row],[Revised Due Date]]&lt;&gt;""),Main[[#This Row],[In Stock Date]]-Main[[#This Row],[Revised Due Date]],"")</f>
        <v/>
      </c>
      <c r="I979" s="65" t="s">
        <v>2018</v>
      </c>
      <c r="J979" s="65" t="s">
        <v>28</v>
      </c>
      <c r="K979" s="65" t="s">
        <v>4</v>
      </c>
      <c r="L979" s="67"/>
      <c r="M979" s="69" t="str">
        <f>IF(Main[[#This Row],[Tech Start Date]]&lt;1/1/1990,"",IF(Main[[#This Row],[Class]]="C",WORKDAY(Main[[#This Row],[Tech Start Date]],9),IF(Main[[#This Row],[Class]]="B", WORKDAY(Main[[#This Row],[Tech Start Date]],6),IF(Main[[#This Row],[Class]]="A",WORKDAY(Main[[#This Row],[Tech Start Date]],2),""))))</f>
        <v/>
      </c>
      <c r="N979" s="69" t="str">
        <f>IF(Main[[#This Row],[Tech Start Date]]&lt;1/1/1990,"",IF(Main[[#This Row],[Class]]="C",WORKDAY(Main[[#This Row],[Tech Start Date]],19),IF(Main[[#This Row],[Class]]="B", WORKDAY(Main[[#This Row],[Tech Start Date]],12),IF(Main[[#This Row],[Class]]="A",WORKDAY(Main[[#This Row],[Tech Start Date]],4),""))))</f>
        <v/>
      </c>
      <c r="O979" s="69" t="str">
        <f>IF(Main[[#This Row],[Tech Start Date]]&lt;1/1/1990,"",IF(Main[[#This Row],[Class]]="C",WORKDAY(Main[[#This Row],[Tech Start Date]],23),IF(Main[[#This Row],[Class]]="B", WORKDAY(Main[[#This Row],[Tech Start Date]],15),IF(Main[[#This Row],[Class]]="A",WORKDAY(Main[[#This Row],[Tech Start Date]],5),""))))</f>
        <v/>
      </c>
      <c r="P979" s="69" t="str">
        <f>IF(Main[[#This Row],[Tech Start Date]]&lt;1/1/1990,"",IF(Main[[#This Row],[Class]]="C",WORKDAY(Main[[#This Row],[Tech Start Date]],28),IF(Main[[#This Row],[Class]]="B", WORKDAY(Main[[#This Row],[Tech Start Date]],19),IF(Main[[#This Row],[Class]]="A",WORKDAY(Main[[#This Row],[Tech Start Date]],9),""))))</f>
        <v/>
      </c>
      <c r="Q979" s="67">
        <v>40862</v>
      </c>
      <c r="R979" s="67">
        <v>40862</v>
      </c>
      <c r="S979" s="65" t="s">
        <v>17</v>
      </c>
      <c r="T979" s="70" t="s">
        <v>2428</v>
      </c>
      <c r="U979" s="65" t="s">
        <v>29</v>
      </c>
      <c r="V979" s="65" t="s">
        <v>1929</v>
      </c>
      <c r="W979" s="65" t="s">
        <v>1916</v>
      </c>
      <c r="X979" s="65" t="s">
        <v>129</v>
      </c>
      <c r="Y979" s="65" t="s">
        <v>2933</v>
      </c>
      <c r="Z979" s="65" t="s">
        <v>2211</v>
      </c>
      <c r="AA979" s="65" t="s">
        <v>129</v>
      </c>
    </row>
    <row r="980" spans="1:27" ht="17.45" hidden="1" customHeight="1">
      <c r="A980" s="100">
        <f>IF(priority(Main[[#This Row],[Comments]])&lt;&gt;0, priority(Main[[#This Row],[Comments]]),"")</f>
        <v>14</v>
      </c>
      <c r="B980" s="77" t="s">
        <v>2752</v>
      </c>
      <c r="C980" s="65" t="s">
        <v>2753</v>
      </c>
      <c r="D980" s="66" t="s">
        <v>2754</v>
      </c>
      <c r="E980" s="67"/>
      <c r="F980" s="67">
        <v>41005</v>
      </c>
      <c r="G980" s="64">
        <f>IF(stdProdLT(Main[[#This Row],[Comments]])=0.1,"N/A",IF(stdProdLT(Main[[#This Row],[Comments]])=0,"",stdProdLT(Main[[#This Row],[Comments]])))</f>
        <v>112</v>
      </c>
      <c r="H980" s="68" t="str">
        <f>IF(AND(Main[[#This Row],[In Stock Date]]&lt;&gt;"",Main[[#This Row],[Revised Due Date]]&lt;&gt;""),Main[[#This Row],[In Stock Date]]-Main[[#This Row],[Revised Due Date]],"")</f>
        <v/>
      </c>
      <c r="I980" s="65" t="s">
        <v>126</v>
      </c>
      <c r="J980" s="65" t="s">
        <v>28</v>
      </c>
      <c r="K980" s="65" t="s">
        <v>1921</v>
      </c>
      <c r="L980" s="67"/>
      <c r="M980" s="69" t="str">
        <f>IF(Main[[#This Row],[Tech Start Date]]&lt;1/1/1990,"",IF(Main[[#This Row],[Class]]="C",WORKDAY(Main[[#This Row],[Tech Start Date]],9),IF(Main[[#This Row],[Class]]="B", WORKDAY(Main[[#This Row],[Tech Start Date]],6),IF(Main[[#This Row],[Class]]="A",WORKDAY(Main[[#This Row],[Tech Start Date]],2),""))))</f>
        <v/>
      </c>
      <c r="N980" s="69" t="str">
        <f>IF(Main[[#This Row],[Tech Start Date]]&lt;1/1/1990,"",IF(Main[[#This Row],[Class]]="C",WORKDAY(Main[[#This Row],[Tech Start Date]],19),IF(Main[[#This Row],[Class]]="B", WORKDAY(Main[[#This Row],[Tech Start Date]],12),IF(Main[[#This Row],[Class]]="A",WORKDAY(Main[[#This Row],[Tech Start Date]],4),""))))</f>
        <v/>
      </c>
      <c r="O980" s="69" t="str">
        <f>IF(Main[[#This Row],[Tech Start Date]]&lt;1/1/1990,"",IF(Main[[#This Row],[Class]]="C",WORKDAY(Main[[#This Row],[Tech Start Date]],23),IF(Main[[#This Row],[Class]]="B", WORKDAY(Main[[#This Row],[Tech Start Date]],15),IF(Main[[#This Row],[Class]]="A",WORKDAY(Main[[#This Row],[Tech Start Date]],5),""))))</f>
        <v/>
      </c>
      <c r="P980" s="69" t="str">
        <f>IF(Main[[#This Row],[Tech Start Date]]&lt;1/1/1990,"",IF(Main[[#This Row],[Class]]="C",WORKDAY(Main[[#This Row],[Tech Start Date]],28),IF(Main[[#This Row],[Class]]="B", WORKDAY(Main[[#This Row],[Tech Start Date]],19),IF(Main[[#This Row],[Class]]="A",WORKDAY(Main[[#This Row],[Tech Start Date]],9),""))))</f>
        <v/>
      </c>
      <c r="Q980" s="67">
        <v>40946</v>
      </c>
      <c r="R980" s="67"/>
      <c r="S980" s="65" t="s">
        <v>11</v>
      </c>
      <c r="T980" s="70" t="s">
        <v>2755</v>
      </c>
      <c r="U980" s="65" t="s">
        <v>14</v>
      </c>
      <c r="V980" s="65" t="s">
        <v>1914</v>
      </c>
      <c r="W980" s="65" t="s">
        <v>1922</v>
      </c>
      <c r="X980" s="65" t="s">
        <v>2857</v>
      </c>
      <c r="Y980" s="65" t="s">
        <v>2998</v>
      </c>
      <c r="Z980" s="65" t="s">
        <v>912</v>
      </c>
      <c r="AA980" s="65" t="s">
        <v>2857</v>
      </c>
    </row>
    <row r="981" spans="1:27" ht="17.45" hidden="1" customHeight="1">
      <c r="A981" s="100" t="str">
        <f>IF(priority(Main[[#This Row],[Comments]])&lt;&gt;0, priority(Main[[#This Row],[Comments]]),"")</f>
        <v/>
      </c>
      <c r="B981" s="77" t="s">
        <v>2117</v>
      </c>
      <c r="C981" s="65" t="s">
        <v>4</v>
      </c>
      <c r="D981" s="66" t="s">
        <v>3512</v>
      </c>
      <c r="E981" s="67">
        <v>40780.253831018519</v>
      </c>
      <c r="F981" s="67"/>
      <c r="G981" s="64" t="str">
        <f>IF(stdProdLT(Main[[#This Row],[Comments]])=0.1,"N/A",IF(stdProdLT(Main[[#This Row],[Comments]])=0,"",stdProdLT(Main[[#This Row],[Comments]])))</f>
        <v/>
      </c>
      <c r="H981" s="68" t="str">
        <f>IF(AND(Main[[#This Row],[In Stock Date]]&lt;&gt;"",Main[[#This Row],[Revised Due Date]]&lt;&gt;""),Main[[#This Row],[In Stock Date]]-Main[[#This Row],[Revised Due Date]],"")</f>
        <v/>
      </c>
      <c r="I981" s="65" t="s">
        <v>2051</v>
      </c>
      <c r="J981" s="65" t="s">
        <v>52</v>
      </c>
      <c r="K981" s="65" t="s">
        <v>1923</v>
      </c>
      <c r="L981" s="67"/>
      <c r="M981" s="69" t="str">
        <f>IF(Main[[#This Row],[Tech Start Date]]&lt;1/1/1990,"",IF(Main[[#This Row],[Class]]="C",WORKDAY(Main[[#This Row],[Tech Start Date]],9),IF(Main[[#This Row],[Class]]="B", WORKDAY(Main[[#This Row],[Tech Start Date]],6),IF(Main[[#This Row],[Class]]="A",WORKDAY(Main[[#This Row],[Tech Start Date]],2),""))))</f>
        <v/>
      </c>
      <c r="N981" s="69" t="str">
        <f>IF(Main[[#This Row],[Tech Start Date]]&lt;1/1/1990,"",IF(Main[[#This Row],[Class]]="C",WORKDAY(Main[[#This Row],[Tech Start Date]],19),IF(Main[[#This Row],[Class]]="B", WORKDAY(Main[[#This Row],[Tech Start Date]],12),IF(Main[[#This Row],[Class]]="A",WORKDAY(Main[[#This Row],[Tech Start Date]],4),""))))</f>
        <v/>
      </c>
      <c r="O981" s="69" t="str">
        <f>IF(Main[[#This Row],[Tech Start Date]]&lt;1/1/1990,"",IF(Main[[#This Row],[Class]]="C",WORKDAY(Main[[#This Row],[Tech Start Date]],23),IF(Main[[#This Row],[Class]]="B", WORKDAY(Main[[#This Row],[Tech Start Date]],15),IF(Main[[#This Row],[Class]]="A",WORKDAY(Main[[#This Row],[Tech Start Date]],5),""))))</f>
        <v/>
      </c>
      <c r="P981" s="69" t="str">
        <f>IF(Main[[#This Row],[Tech Start Date]]&lt;1/1/1990,"",IF(Main[[#This Row],[Class]]="C",WORKDAY(Main[[#This Row],[Tech Start Date]],28),IF(Main[[#This Row],[Class]]="B", WORKDAY(Main[[#This Row],[Tech Start Date]],19),IF(Main[[#This Row],[Class]]="A",WORKDAY(Main[[#This Row],[Tech Start Date]],9),""))))</f>
        <v/>
      </c>
      <c r="Q981" s="67">
        <v>40800</v>
      </c>
      <c r="R981" s="67"/>
      <c r="S981" s="65" t="s">
        <v>6</v>
      </c>
      <c r="T981" s="70" t="s">
        <v>4</v>
      </c>
      <c r="U981" s="65" t="s">
        <v>29</v>
      </c>
      <c r="V981" s="65" t="s">
        <v>1917</v>
      </c>
      <c r="W981" s="65" t="s">
        <v>1918</v>
      </c>
      <c r="X981" s="65" t="s">
        <v>2822</v>
      </c>
      <c r="Y981" s="65" t="s">
        <v>2938</v>
      </c>
      <c r="Z981" s="65" t="s">
        <v>30</v>
      </c>
      <c r="AA981" s="65" t="s">
        <v>2822</v>
      </c>
    </row>
    <row r="982" spans="1:27" ht="17.45" hidden="1" customHeight="1">
      <c r="A982" s="100" t="str">
        <f>IF(priority(Main[[#This Row],[Comments]])&lt;&gt;0, priority(Main[[#This Row],[Comments]]),"")</f>
        <v/>
      </c>
      <c r="B982" s="77" t="s">
        <v>3639</v>
      </c>
      <c r="C982" s="65" t="s">
        <v>4</v>
      </c>
      <c r="D982" s="66" t="s">
        <v>3640</v>
      </c>
      <c r="E982" s="67">
        <v>40960.474270833336</v>
      </c>
      <c r="F982" s="67"/>
      <c r="G982" s="64" t="str">
        <f>IF(stdProdLT(Main[[#This Row],[Comments]])=0.1,"N/A",IF(stdProdLT(Main[[#This Row],[Comments]])=0,"",stdProdLT(Main[[#This Row],[Comments]])))</f>
        <v/>
      </c>
      <c r="H982" s="68" t="str">
        <f>IF(AND(Main[[#This Row],[In Stock Date]]&lt;&gt;"",Main[[#This Row],[Revised Due Date]]&lt;&gt;""),Main[[#This Row],[In Stock Date]]-Main[[#This Row],[Revised Due Date]],"")</f>
        <v/>
      </c>
      <c r="I982" s="65" t="s">
        <v>429</v>
      </c>
      <c r="J982" s="65" t="s">
        <v>70</v>
      </c>
      <c r="K982" s="65" t="s">
        <v>1923</v>
      </c>
      <c r="L982" s="67"/>
      <c r="M982" s="69" t="str">
        <f>IF(Main[[#This Row],[Tech Start Date]]&lt;1/1/1990,"",IF(Main[[#This Row],[Class]]="C",WORKDAY(Main[[#This Row],[Tech Start Date]],9),IF(Main[[#This Row],[Class]]="B", WORKDAY(Main[[#This Row],[Tech Start Date]],6),IF(Main[[#This Row],[Class]]="A",WORKDAY(Main[[#This Row],[Tech Start Date]],2),""))))</f>
        <v/>
      </c>
      <c r="N982" s="69" t="str">
        <f>IF(Main[[#This Row],[Tech Start Date]]&lt;1/1/1990,"",IF(Main[[#This Row],[Class]]="C",WORKDAY(Main[[#This Row],[Tech Start Date]],19),IF(Main[[#This Row],[Class]]="B", WORKDAY(Main[[#This Row],[Tech Start Date]],12),IF(Main[[#This Row],[Class]]="A",WORKDAY(Main[[#This Row],[Tech Start Date]],4),""))))</f>
        <v/>
      </c>
      <c r="O982" s="69" t="str">
        <f>IF(Main[[#This Row],[Tech Start Date]]&lt;1/1/1990,"",IF(Main[[#This Row],[Class]]="C",WORKDAY(Main[[#This Row],[Tech Start Date]],23),IF(Main[[#This Row],[Class]]="B", WORKDAY(Main[[#This Row],[Tech Start Date]],15),IF(Main[[#This Row],[Class]]="A",WORKDAY(Main[[#This Row],[Tech Start Date]],5),""))))</f>
        <v/>
      </c>
      <c r="P982" s="69" t="str">
        <f>IF(Main[[#This Row],[Tech Start Date]]&lt;1/1/1990,"",IF(Main[[#This Row],[Class]]="C",WORKDAY(Main[[#This Row],[Tech Start Date]],28),IF(Main[[#This Row],[Class]]="B", WORKDAY(Main[[#This Row],[Tech Start Date]],19),IF(Main[[#This Row],[Class]]="A",WORKDAY(Main[[#This Row],[Tech Start Date]],9),""))))</f>
        <v/>
      </c>
      <c r="Q982" s="67">
        <v>40974</v>
      </c>
      <c r="R982" s="67"/>
      <c r="S982" s="65" t="s">
        <v>6</v>
      </c>
      <c r="T982" s="70" t="s">
        <v>4</v>
      </c>
      <c r="U982" s="65" t="s">
        <v>29</v>
      </c>
      <c r="V982" s="65" t="s">
        <v>1917</v>
      </c>
      <c r="W982" s="65" t="s">
        <v>1918</v>
      </c>
      <c r="X982" s="65" t="s">
        <v>2051</v>
      </c>
      <c r="Y982" s="65" t="s">
        <v>4</v>
      </c>
      <c r="Z982" s="65" t="s">
        <v>30</v>
      </c>
      <c r="AA982" s="65" t="s">
        <v>3641</v>
      </c>
    </row>
    <row r="983" spans="1:27" ht="17.45" hidden="1" customHeight="1">
      <c r="A983" s="100" t="str">
        <f>IF(priority(Main[[#This Row],[Comments]])&lt;&gt;0, priority(Main[[#This Row],[Comments]]),"")</f>
        <v/>
      </c>
      <c r="B983" s="77" t="s">
        <v>3638</v>
      </c>
      <c r="C983" s="65" t="s">
        <v>3636</v>
      </c>
      <c r="D983" s="66" t="s">
        <v>3637</v>
      </c>
      <c r="E983" s="67"/>
      <c r="F983" s="67">
        <v>41108</v>
      </c>
      <c r="G983" s="64" t="str">
        <f>IF(stdProdLT(Main[[#This Row],[Comments]])=0.1,"N/A",IF(stdProdLT(Main[[#This Row],[Comments]])=0,"",stdProdLT(Main[[#This Row],[Comments]])))</f>
        <v/>
      </c>
      <c r="H983" s="68" t="str">
        <f>IF(AND(Main[[#This Row],[In Stock Date]]&lt;&gt;"",Main[[#This Row],[Revised Due Date]]&lt;&gt;""),Main[[#This Row],[In Stock Date]]-Main[[#This Row],[Revised Due Date]],"")</f>
        <v/>
      </c>
      <c r="I983" s="65" t="s">
        <v>4</v>
      </c>
      <c r="J983" s="65" t="s">
        <v>4</v>
      </c>
      <c r="K983" s="65" t="s">
        <v>4</v>
      </c>
      <c r="L983" s="67"/>
      <c r="M983" s="69" t="str">
        <f>IF(Main[[#This Row],[Tech Start Date]]&lt;1/1/1990,"",IF(Main[[#This Row],[Class]]="C",WORKDAY(Main[[#This Row],[Tech Start Date]],9),IF(Main[[#This Row],[Class]]="B", WORKDAY(Main[[#This Row],[Tech Start Date]],6),IF(Main[[#This Row],[Class]]="A",WORKDAY(Main[[#This Row],[Tech Start Date]],2),""))))</f>
        <v/>
      </c>
      <c r="N983" s="69" t="str">
        <f>IF(Main[[#This Row],[Tech Start Date]]&lt;1/1/1990,"",IF(Main[[#This Row],[Class]]="C",WORKDAY(Main[[#This Row],[Tech Start Date]],19),IF(Main[[#This Row],[Class]]="B", WORKDAY(Main[[#This Row],[Tech Start Date]],12),IF(Main[[#This Row],[Class]]="A",WORKDAY(Main[[#This Row],[Tech Start Date]],4),""))))</f>
        <v/>
      </c>
      <c r="O983" s="69" t="str">
        <f>IF(Main[[#This Row],[Tech Start Date]]&lt;1/1/1990,"",IF(Main[[#This Row],[Class]]="C",WORKDAY(Main[[#This Row],[Tech Start Date]],23),IF(Main[[#This Row],[Class]]="B", WORKDAY(Main[[#This Row],[Tech Start Date]],15),IF(Main[[#This Row],[Class]]="A",WORKDAY(Main[[#This Row],[Tech Start Date]],5),""))))</f>
        <v/>
      </c>
      <c r="P983" s="69" t="str">
        <f>IF(Main[[#This Row],[Tech Start Date]]&lt;1/1/1990,"",IF(Main[[#This Row],[Class]]="C",WORKDAY(Main[[#This Row],[Tech Start Date]],28),IF(Main[[#This Row],[Class]]="B", WORKDAY(Main[[#This Row],[Tech Start Date]],19),IF(Main[[#This Row],[Class]]="A",WORKDAY(Main[[#This Row],[Tech Start Date]],9),""))))</f>
        <v/>
      </c>
      <c r="Q983" s="67">
        <v>40968</v>
      </c>
      <c r="R983" s="67"/>
      <c r="S983" s="65" t="s">
        <v>11</v>
      </c>
      <c r="T983" s="70" t="s">
        <v>4</v>
      </c>
      <c r="U983" s="65" t="s">
        <v>12</v>
      </c>
      <c r="V983" s="65" t="s">
        <v>1914</v>
      </c>
      <c r="W983" s="65" t="s">
        <v>1922</v>
      </c>
      <c r="X983" s="65" t="s">
        <v>2843</v>
      </c>
      <c r="Y983" s="65" t="s">
        <v>4</v>
      </c>
      <c r="Z983" s="65" t="s">
        <v>4</v>
      </c>
      <c r="AA983" s="65" t="s">
        <v>2843</v>
      </c>
    </row>
    <row r="984" spans="1:27" ht="17.45" hidden="1" customHeight="1">
      <c r="A984" s="100" t="str">
        <f>IF(priority(Main[[#This Row],[Comments]])&lt;&gt;0, priority(Main[[#This Row],[Comments]]),"")</f>
        <v/>
      </c>
      <c r="B984" s="77" t="s">
        <v>1447</v>
      </c>
      <c r="C984" s="65" t="s">
        <v>4</v>
      </c>
      <c r="D984" s="66" t="s">
        <v>3942</v>
      </c>
      <c r="E984" s="67">
        <v>40626.477812500001</v>
      </c>
      <c r="F984" s="67"/>
      <c r="G984" s="64" t="str">
        <f>IF(stdProdLT(Main[[#This Row],[Comments]])=0.1,"N/A",IF(stdProdLT(Main[[#This Row],[Comments]])=0,"",stdProdLT(Main[[#This Row],[Comments]])))</f>
        <v/>
      </c>
      <c r="H984" s="68" t="str">
        <f>IF(AND(Main[[#This Row],[In Stock Date]]&lt;&gt;"",Main[[#This Row],[Revised Due Date]]&lt;&gt;""),Main[[#This Row],[In Stock Date]]-Main[[#This Row],[Revised Due Date]],"")</f>
        <v/>
      </c>
      <c r="I984" s="65" t="s">
        <v>2208</v>
      </c>
      <c r="J984" s="65" t="s">
        <v>75</v>
      </c>
      <c r="K984" s="65" t="s">
        <v>1923</v>
      </c>
      <c r="L984" s="67"/>
      <c r="M984" s="69" t="str">
        <f>IF(Main[[#This Row],[Tech Start Date]]&lt;1/1/1990,"",IF(Main[[#This Row],[Class]]="C",WORKDAY(Main[[#This Row],[Tech Start Date]],9),IF(Main[[#This Row],[Class]]="B", WORKDAY(Main[[#This Row],[Tech Start Date]],6),IF(Main[[#This Row],[Class]]="A",WORKDAY(Main[[#This Row],[Tech Start Date]],2),""))))</f>
        <v/>
      </c>
      <c r="N984" s="69" t="str">
        <f>IF(Main[[#This Row],[Tech Start Date]]&lt;1/1/1990,"",IF(Main[[#This Row],[Class]]="C",WORKDAY(Main[[#This Row],[Tech Start Date]],19),IF(Main[[#This Row],[Class]]="B", WORKDAY(Main[[#This Row],[Tech Start Date]],12),IF(Main[[#This Row],[Class]]="A",WORKDAY(Main[[#This Row],[Tech Start Date]],4),""))))</f>
        <v/>
      </c>
      <c r="O984" s="69" t="str">
        <f>IF(Main[[#This Row],[Tech Start Date]]&lt;1/1/1990,"",IF(Main[[#This Row],[Class]]="C",WORKDAY(Main[[#This Row],[Tech Start Date]],23),IF(Main[[#This Row],[Class]]="B", WORKDAY(Main[[#This Row],[Tech Start Date]],15),IF(Main[[#This Row],[Class]]="A",WORKDAY(Main[[#This Row],[Tech Start Date]],5),""))))</f>
        <v/>
      </c>
      <c r="P984" s="69" t="str">
        <f>IF(Main[[#This Row],[Tech Start Date]]&lt;1/1/1990,"",IF(Main[[#This Row],[Class]]="C",WORKDAY(Main[[#This Row],[Tech Start Date]],28),IF(Main[[#This Row],[Class]]="B", WORKDAY(Main[[#This Row],[Tech Start Date]],19),IF(Main[[#This Row],[Class]]="A",WORKDAY(Main[[#This Row],[Tech Start Date]],9),""))))</f>
        <v/>
      </c>
      <c r="Q984" s="67"/>
      <c r="R984" s="67"/>
      <c r="S984" s="65" t="s">
        <v>6</v>
      </c>
      <c r="T984" s="70" t="s">
        <v>4</v>
      </c>
      <c r="U984" s="65" t="s">
        <v>29</v>
      </c>
      <c r="V984" s="65" t="s">
        <v>1917</v>
      </c>
      <c r="W984" s="65" t="s">
        <v>1918</v>
      </c>
      <c r="X984" s="65" t="s">
        <v>74</v>
      </c>
      <c r="Y984" s="65" t="s">
        <v>3031</v>
      </c>
      <c r="Z984" s="65" t="s">
        <v>415</v>
      </c>
      <c r="AA984" s="65" t="s">
        <v>74</v>
      </c>
    </row>
    <row r="985" spans="1:27" ht="17.45" hidden="1" customHeight="1">
      <c r="A985" s="100" t="str">
        <f>IF(priority(Main[[#This Row],[Comments]])&lt;&gt;0, priority(Main[[#This Row],[Comments]]),"")</f>
        <v/>
      </c>
      <c r="B985" s="77" t="s">
        <v>3943</v>
      </c>
      <c r="C985" s="65" t="s">
        <v>4</v>
      </c>
      <c r="D985" s="66" t="s">
        <v>3944</v>
      </c>
      <c r="E985" s="67">
        <v>40968.458784722221</v>
      </c>
      <c r="F985" s="67"/>
      <c r="G985" s="64" t="str">
        <f>IF(stdProdLT(Main[[#This Row],[Comments]])=0.1,"N/A",IF(stdProdLT(Main[[#This Row],[Comments]])=0,"",stdProdLT(Main[[#This Row],[Comments]])))</f>
        <v>N/A</v>
      </c>
      <c r="H985" s="68" t="str">
        <f>IF(AND(Main[[#This Row],[In Stock Date]]&lt;&gt;"",Main[[#This Row],[Revised Due Date]]&lt;&gt;""),Main[[#This Row],[In Stock Date]]-Main[[#This Row],[Revised Due Date]],"")</f>
        <v/>
      </c>
      <c r="I985" s="65" t="s">
        <v>4</v>
      </c>
      <c r="J985" s="65" t="s">
        <v>4</v>
      </c>
      <c r="K985" s="65" t="s">
        <v>4</v>
      </c>
      <c r="L985" s="67"/>
      <c r="M985" s="69" t="str">
        <f>IF(Main[[#This Row],[Tech Start Date]]&lt;1/1/1990,"",IF(Main[[#This Row],[Class]]="C",WORKDAY(Main[[#This Row],[Tech Start Date]],9),IF(Main[[#This Row],[Class]]="B", WORKDAY(Main[[#This Row],[Tech Start Date]],6),IF(Main[[#This Row],[Class]]="A",WORKDAY(Main[[#This Row],[Tech Start Date]],2),""))))</f>
        <v/>
      </c>
      <c r="N985" s="69" t="str">
        <f>IF(Main[[#This Row],[Tech Start Date]]&lt;1/1/1990,"",IF(Main[[#This Row],[Class]]="C",WORKDAY(Main[[#This Row],[Tech Start Date]],19),IF(Main[[#This Row],[Class]]="B", WORKDAY(Main[[#This Row],[Tech Start Date]],12),IF(Main[[#This Row],[Class]]="A",WORKDAY(Main[[#This Row],[Tech Start Date]],4),""))))</f>
        <v/>
      </c>
      <c r="O985" s="69" t="str">
        <f>IF(Main[[#This Row],[Tech Start Date]]&lt;1/1/1990,"",IF(Main[[#This Row],[Class]]="C",WORKDAY(Main[[#This Row],[Tech Start Date]],23),IF(Main[[#This Row],[Class]]="B", WORKDAY(Main[[#This Row],[Tech Start Date]],15),IF(Main[[#This Row],[Class]]="A",WORKDAY(Main[[#This Row],[Tech Start Date]],5),""))))</f>
        <v/>
      </c>
      <c r="P985" s="69" t="str">
        <f>IF(Main[[#This Row],[Tech Start Date]]&lt;1/1/1990,"",IF(Main[[#This Row],[Class]]="C",WORKDAY(Main[[#This Row],[Tech Start Date]],28),IF(Main[[#This Row],[Class]]="B", WORKDAY(Main[[#This Row],[Tech Start Date]],19),IF(Main[[#This Row],[Class]]="A",WORKDAY(Main[[#This Row],[Tech Start Date]],9),""))))</f>
        <v/>
      </c>
      <c r="Q985" s="67">
        <v>40972</v>
      </c>
      <c r="R985" s="67"/>
      <c r="S985" s="65" t="s">
        <v>11</v>
      </c>
      <c r="T985" s="70" t="s">
        <v>3979</v>
      </c>
      <c r="U985" s="65" t="s">
        <v>7</v>
      </c>
      <c r="V985" s="65" t="s">
        <v>1924</v>
      </c>
      <c r="W985" s="65" t="s">
        <v>1922</v>
      </c>
      <c r="X985" s="65" t="s">
        <v>2857</v>
      </c>
      <c r="Y985" s="65" t="s">
        <v>2998</v>
      </c>
      <c r="Z985" s="65" t="s">
        <v>4</v>
      </c>
      <c r="AA985" s="65" t="s">
        <v>2857</v>
      </c>
    </row>
    <row r="986" spans="1:27" ht="17.45" hidden="1" customHeight="1">
      <c r="A986" s="100" t="str">
        <f>IF(priority(Main[[#This Row],[Comments]])&lt;&gt;0, priority(Main[[#This Row],[Comments]]),"")</f>
        <v/>
      </c>
      <c r="B986" s="77" t="s">
        <v>3945</v>
      </c>
      <c r="C986" s="65" t="s">
        <v>4</v>
      </c>
      <c r="D986" s="66" t="s">
        <v>3946</v>
      </c>
      <c r="E986" s="67">
        <v>40968.460902777777</v>
      </c>
      <c r="F986" s="67"/>
      <c r="G986" s="64" t="str">
        <f>IF(stdProdLT(Main[[#This Row],[Comments]])=0.1,"N/A",IF(stdProdLT(Main[[#This Row],[Comments]])=0,"",stdProdLT(Main[[#This Row],[Comments]])))</f>
        <v/>
      </c>
      <c r="H986" s="68" t="str">
        <f>IF(AND(Main[[#This Row],[In Stock Date]]&lt;&gt;"",Main[[#This Row],[Revised Due Date]]&lt;&gt;""),Main[[#This Row],[In Stock Date]]-Main[[#This Row],[Revised Due Date]],"")</f>
        <v/>
      </c>
      <c r="I986" s="65" t="s">
        <v>4</v>
      </c>
      <c r="J986" s="65" t="s">
        <v>4</v>
      </c>
      <c r="K986" s="65" t="s">
        <v>4</v>
      </c>
      <c r="L986" s="67"/>
      <c r="M986" s="69" t="str">
        <f>IF(Main[[#This Row],[Tech Start Date]]&lt;1/1/1990,"",IF(Main[[#This Row],[Class]]="C",WORKDAY(Main[[#This Row],[Tech Start Date]],9),IF(Main[[#This Row],[Class]]="B", WORKDAY(Main[[#This Row],[Tech Start Date]],6),IF(Main[[#This Row],[Class]]="A",WORKDAY(Main[[#This Row],[Tech Start Date]],2),""))))</f>
        <v/>
      </c>
      <c r="N986" s="69" t="str">
        <f>IF(Main[[#This Row],[Tech Start Date]]&lt;1/1/1990,"",IF(Main[[#This Row],[Class]]="C",WORKDAY(Main[[#This Row],[Tech Start Date]],19),IF(Main[[#This Row],[Class]]="B", WORKDAY(Main[[#This Row],[Tech Start Date]],12),IF(Main[[#This Row],[Class]]="A",WORKDAY(Main[[#This Row],[Tech Start Date]],4),""))))</f>
        <v/>
      </c>
      <c r="O986" s="69" t="str">
        <f>IF(Main[[#This Row],[Tech Start Date]]&lt;1/1/1990,"",IF(Main[[#This Row],[Class]]="C",WORKDAY(Main[[#This Row],[Tech Start Date]],23),IF(Main[[#This Row],[Class]]="B", WORKDAY(Main[[#This Row],[Tech Start Date]],15),IF(Main[[#This Row],[Class]]="A",WORKDAY(Main[[#This Row],[Tech Start Date]],5),""))))</f>
        <v/>
      </c>
      <c r="P986" s="69" t="str">
        <f>IF(Main[[#This Row],[Tech Start Date]]&lt;1/1/1990,"",IF(Main[[#This Row],[Class]]="C",WORKDAY(Main[[#This Row],[Tech Start Date]],28),IF(Main[[#This Row],[Class]]="B", WORKDAY(Main[[#This Row],[Tech Start Date]],19),IF(Main[[#This Row],[Class]]="A",WORKDAY(Main[[#This Row],[Tech Start Date]],9),""))))</f>
        <v/>
      </c>
      <c r="Q986" s="67"/>
      <c r="R986" s="67"/>
      <c r="S986" s="65" t="s">
        <v>6</v>
      </c>
      <c r="T986" s="70" t="s">
        <v>4</v>
      </c>
      <c r="U986" s="65" t="s">
        <v>29</v>
      </c>
      <c r="V986" s="65" t="s">
        <v>1917</v>
      </c>
      <c r="W986" s="65" t="s">
        <v>1918</v>
      </c>
      <c r="X986" s="65" t="s">
        <v>81</v>
      </c>
      <c r="Y986" s="65" t="s">
        <v>2969</v>
      </c>
      <c r="Z986" s="65" t="s">
        <v>4</v>
      </c>
      <c r="AA986" s="65" t="s">
        <v>81</v>
      </c>
    </row>
    <row r="987" spans="1:27" ht="17.45" hidden="1" customHeight="1">
      <c r="A987" s="100" t="str">
        <f>IF(priority(Main[[#This Row],[Comments]])&lt;&gt;0, priority(Main[[#This Row],[Comments]]),"")</f>
        <v/>
      </c>
      <c r="B987" s="77" t="s">
        <v>2756</v>
      </c>
      <c r="C987" s="65" t="s">
        <v>4</v>
      </c>
      <c r="D987" s="66" t="s">
        <v>2757</v>
      </c>
      <c r="E987" s="67">
        <v>40911.432222222225</v>
      </c>
      <c r="F987" s="67"/>
      <c r="G987" s="64" t="str">
        <f>IF(stdProdLT(Main[[#This Row],[Comments]])=0.1,"N/A",IF(stdProdLT(Main[[#This Row],[Comments]])=0,"",stdProdLT(Main[[#This Row],[Comments]])))</f>
        <v/>
      </c>
      <c r="H987" s="68" t="str">
        <f>IF(AND(Main[[#This Row],[In Stock Date]]&lt;&gt;"",Main[[#This Row],[Revised Due Date]]&lt;&gt;""),Main[[#This Row],[In Stock Date]]-Main[[#This Row],[Revised Due Date]],"")</f>
        <v/>
      </c>
      <c r="I987" s="65" t="s">
        <v>937</v>
      </c>
      <c r="J987" s="65" t="s">
        <v>52</v>
      </c>
      <c r="K987" s="65" t="s">
        <v>1923</v>
      </c>
      <c r="L987" s="67"/>
      <c r="M987" s="69" t="str">
        <f>IF(Main[[#This Row],[Tech Start Date]]&lt;1/1/1990,"",IF(Main[[#This Row],[Class]]="C",WORKDAY(Main[[#This Row],[Tech Start Date]],9),IF(Main[[#This Row],[Class]]="B", WORKDAY(Main[[#This Row],[Tech Start Date]],6),IF(Main[[#This Row],[Class]]="A",WORKDAY(Main[[#This Row],[Tech Start Date]],2),""))))</f>
        <v/>
      </c>
      <c r="N987" s="69" t="str">
        <f>IF(Main[[#This Row],[Tech Start Date]]&lt;1/1/1990,"",IF(Main[[#This Row],[Class]]="C",WORKDAY(Main[[#This Row],[Tech Start Date]],19),IF(Main[[#This Row],[Class]]="B", WORKDAY(Main[[#This Row],[Tech Start Date]],12),IF(Main[[#This Row],[Class]]="A",WORKDAY(Main[[#This Row],[Tech Start Date]],4),""))))</f>
        <v/>
      </c>
      <c r="O987" s="69" t="str">
        <f>IF(Main[[#This Row],[Tech Start Date]]&lt;1/1/1990,"",IF(Main[[#This Row],[Class]]="C",WORKDAY(Main[[#This Row],[Tech Start Date]],23),IF(Main[[#This Row],[Class]]="B", WORKDAY(Main[[#This Row],[Tech Start Date]],15),IF(Main[[#This Row],[Class]]="A",WORKDAY(Main[[#This Row],[Tech Start Date]],5),""))))</f>
        <v/>
      </c>
      <c r="P987" s="69" t="str">
        <f>IF(Main[[#This Row],[Tech Start Date]]&lt;1/1/1990,"",IF(Main[[#This Row],[Class]]="C",WORKDAY(Main[[#This Row],[Tech Start Date]],28),IF(Main[[#This Row],[Class]]="B", WORKDAY(Main[[#This Row],[Tech Start Date]],19),IF(Main[[#This Row],[Class]]="A",WORKDAY(Main[[#This Row],[Tech Start Date]],9),""))))</f>
        <v/>
      </c>
      <c r="Q987" s="67"/>
      <c r="R987" s="67"/>
      <c r="S987" s="65" t="s">
        <v>6</v>
      </c>
      <c r="T987" s="70" t="s">
        <v>4</v>
      </c>
      <c r="U987" s="65" t="s">
        <v>29</v>
      </c>
      <c r="V987" s="65" t="s">
        <v>1914</v>
      </c>
      <c r="W987" s="65" t="s">
        <v>1918</v>
      </c>
      <c r="X987" s="65" t="s">
        <v>2208</v>
      </c>
      <c r="Y987" s="65" t="s">
        <v>3127</v>
      </c>
      <c r="Z987" s="65" t="s">
        <v>912</v>
      </c>
      <c r="AA987" s="65" t="s">
        <v>2208</v>
      </c>
    </row>
    <row r="988" spans="1:27" ht="17.45" hidden="1" customHeight="1">
      <c r="A988" s="100" t="str">
        <f>IF(priority(Main[[#This Row],[Comments]])&lt;&gt;0, priority(Main[[#This Row],[Comments]]),"")</f>
        <v/>
      </c>
      <c r="B988" s="77" t="s">
        <v>2668</v>
      </c>
      <c r="C988" s="65" t="s">
        <v>4</v>
      </c>
      <c r="D988" s="66" t="s">
        <v>2669</v>
      </c>
      <c r="E988" s="67">
        <v>40879.618761574071</v>
      </c>
      <c r="F988" s="67"/>
      <c r="G988" s="64" t="str">
        <f>IF(stdProdLT(Main[[#This Row],[Comments]])=0.1,"N/A",IF(stdProdLT(Main[[#This Row],[Comments]])=0,"",stdProdLT(Main[[#This Row],[Comments]])))</f>
        <v/>
      </c>
      <c r="H988" s="68" t="str">
        <f>IF(AND(Main[[#This Row],[In Stock Date]]&lt;&gt;"",Main[[#This Row],[Revised Due Date]]&lt;&gt;""),Main[[#This Row],[In Stock Date]]-Main[[#This Row],[Revised Due Date]],"")</f>
        <v/>
      </c>
      <c r="I988" s="65" t="s">
        <v>4</v>
      </c>
      <c r="J988" s="65" t="s">
        <v>4</v>
      </c>
      <c r="K988" s="65" t="s">
        <v>4</v>
      </c>
      <c r="L988" s="67"/>
      <c r="M988" s="69" t="str">
        <f>IF(Main[[#This Row],[Tech Start Date]]&lt;1/1/1990,"",IF(Main[[#This Row],[Class]]="C",WORKDAY(Main[[#This Row],[Tech Start Date]],9),IF(Main[[#This Row],[Class]]="B", WORKDAY(Main[[#This Row],[Tech Start Date]],6),IF(Main[[#This Row],[Class]]="A",WORKDAY(Main[[#This Row],[Tech Start Date]],2),""))))</f>
        <v/>
      </c>
      <c r="N988" s="69" t="str">
        <f>IF(Main[[#This Row],[Tech Start Date]]&lt;1/1/1990,"",IF(Main[[#This Row],[Class]]="C",WORKDAY(Main[[#This Row],[Tech Start Date]],19),IF(Main[[#This Row],[Class]]="B", WORKDAY(Main[[#This Row],[Tech Start Date]],12),IF(Main[[#This Row],[Class]]="A",WORKDAY(Main[[#This Row],[Tech Start Date]],4),""))))</f>
        <v/>
      </c>
      <c r="O988" s="69" t="str">
        <f>IF(Main[[#This Row],[Tech Start Date]]&lt;1/1/1990,"",IF(Main[[#This Row],[Class]]="C",WORKDAY(Main[[#This Row],[Tech Start Date]],23),IF(Main[[#This Row],[Class]]="B", WORKDAY(Main[[#This Row],[Tech Start Date]],15),IF(Main[[#This Row],[Class]]="A",WORKDAY(Main[[#This Row],[Tech Start Date]],5),""))))</f>
        <v/>
      </c>
      <c r="P988" s="69" t="str">
        <f>IF(Main[[#This Row],[Tech Start Date]]&lt;1/1/1990,"",IF(Main[[#This Row],[Class]]="C",WORKDAY(Main[[#This Row],[Tech Start Date]],28),IF(Main[[#This Row],[Class]]="B", WORKDAY(Main[[#This Row],[Tech Start Date]],19),IF(Main[[#This Row],[Class]]="A",WORKDAY(Main[[#This Row],[Tech Start Date]],9),""))))</f>
        <v/>
      </c>
      <c r="Q988" s="67"/>
      <c r="R988" s="67"/>
      <c r="S988" s="65" t="s">
        <v>17</v>
      </c>
      <c r="T988" s="70" t="s">
        <v>4</v>
      </c>
      <c r="U988" s="65" t="s">
        <v>7</v>
      </c>
      <c r="V988" s="65" t="s">
        <v>1917</v>
      </c>
      <c r="W988" s="65" t="s">
        <v>1919</v>
      </c>
      <c r="X988" s="65" t="s">
        <v>553</v>
      </c>
      <c r="Y988" s="65" t="s">
        <v>2952</v>
      </c>
      <c r="Z988" s="65" t="s">
        <v>4</v>
      </c>
      <c r="AA988" s="65" t="s">
        <v>553</v>
      </c>
    </row>
    <row r="989" spans="1:27" ht="17.45" hidden="1" customHeight="1">
      <c r="A989" s="100" t="str">
        <f>IF(priority(Main[[#This Row],[Comments]])&lt;&gt;0, priority(Main[[#This Row],[Comments]]),"")</f>
        <v/>
      </c>
      <c r="B989" s="77" t="s">
        <v>1905</v>
      </c>
      <c r="C989" s="65" t="s">
        <v>31</v>
      </c>
      <c r="D989" s="66" t="s">
        <v>955</v>
      </c>
      <c r="E989" s="67">
        <v>40528.412233796298</v>
      </c>
      <c r="F989" s="67">
        <v>40634</v>
      </c>
      <c r="G989" s="64" t="str">
        <f>IF(stdProdLT(Main[[#This Row],[Comments]])=0.1,"N/A",IF(stdProdLT(Main[[#This Row],[Comments]])=0,"",stdProdLT(Main[[#This Row],[Comments]])))</f>
        <v/>
      </c>
      <c r="H989" s="68">
        <f>IF(AND(Main[[#This Row],[In Stock Date]]&lt;&gt;"",Main[[#This Row],[Revised Due Date]]&lt;&gt;""),Main[[#This Row],[In Stock Date]]-Main[[#This Row],[Revised Due Date]],"")</f>
        <v>-255</v>
      </c>
      <c r="I989" s="65" t="s">
        <v>431</v>
      </c>
      <c r="J989" s="65" t="s">
        <v>28</v>
      </c>
      <c r="K989" s="65" t="s">
        <v>1926</v>
      </c>
      <c r="L989" s="67"/>
      <c r="M989" s="69" t="str">
        <f>IF(Main[[#This Row],[Tech Start Date]]&lt;1/1/1990,"",IF(Main[[#This Row],[Class]]="C",WORKDAY(Main[[#This Row],[Tech Start Date]],9),IF(Main[[#This Row],[Class]]="B", WORKDAY(Main[[#This Row],[Tech Start Date]],6),IF(Main[[#This Row],[Class]]="A",WORKDAY(Main[[#This Row],[Tech Start Date]],2),""))))</f>
        <v/>
      </c>
      <c r="N989" s="69" t="str">
        <f>IF(Main[[#This Row],[Tech Start Date]]&lt;1/1/1990,"",IF(Main[[#This Row],[Class]]="C",WORKDAY(Main[[#This Row],[Tech Start Date]],19),IF(Main[[#This Row],[Class]]="B", WORKDAY(Main[[#This Row],[Tech Start Date]],12),IF(Main[[#This Row],[Class]]="A",WORKDAY(Main[[#This Row],[Tech Start Date]],4),""))))</f>
        <v/>
      </c>
      <c r="O989" s="69" t="str">
        <f>IF(Main[[#This Row],[Tech Start Date]]&lt;1/1/1990,"",IF(Main[[#This Row],[Class]]="C",WORKDAY(Main[[#This Row],[Tech Start Date]],23),IF(Main[[#This Row],[Class]]="B", WORKDAY(Main[[#This Row],[Tech Start Date]],15),IF(Main[[#This Row],[Class]]="A",WORKDAY(Main[[#This Row],[Tech Start Date]],5),""))))</f>
        <v/>
      </c>
      <c r="P989" s="69" t="str">
        <f>IF(Main[[#This Row],[Tech Start Date]]&lt;1/1/1990,"",IF(Main[[#This Row],[Class]]="C",WORKDAY(Main[[#This Row],[Tech Start Date]],28),IF(Main[[#This Row],[Class]]="B", WORKDAY(Main[[#This Row],[Tech Start Date]],19),IF(Main[[#This Row],[Class]]="A",WORKDAY(Main[[#This Row],[Tech Start Date]],9),""))))</f>
        <v/>
      </c>
      <c r="Q989" s="67">
        <v>40634</v>
      </c>
      <c r="R989" s="67">
        <v>40889</v>
      </c>
      <c r="S989" s="65" t="s">
        <v>17</v>
      </c>
      <c r="T989" s="70" t="s">
        <v>4</v>
      </c>
      <c r="U989" s="65" t="s">
        <v>29</v>
      </c>
      <c r="V989" s="65" t="s">
        <v>1917</v>
      </c>
      <c r="W989" s="65" t="s">
        <v>1925</v>
      </c>
      <c r="X989" s="65" t="s">
        <v>553</v>
      </c>
      <c r="Y989" s="65" t="s">
        <v>3029</v>
      </c>
      <c r="Z989" s="65" t="s">
        <v>415</v>
      </c>
      <c r="AA989" s="65" t="s">
        <v>2892</v>
      </c>
    </row>
    <row r="990" spans="1:27" ht="17.45" hidden="1" customHeight="1">
      <c r="A990" s="100" t="str">
        <f>IF(priority(Main[[#This Row],[Comments]])&lt;&gt;0, priority(Main[[#This Row],[Comments]]),"")</f>
        <v/>
      </c>
      <c r="B990" s="77" t="s">
        <v>2429</v>
      </c>
      <c r="C990" s="65" t="s">
        <v>4</v>
      </c>
      <c r="D990" s="66" t="s">
        <v>2430</v>
      </c>
      <c r="E990" s="67">
        <v>40822.361354166664</v>
      </c>
      <c r="F990" s="67"/>
      <c r="G990" s="64" t="str">
        <f>IF(stdProdLT(Main[[#This Row],[Comments]])=0.1,"N/A",IF(stdProdLT(Main[[#This Row],[Comments]])=0,"",stdProdLT(Main[[#This Row],[Comments]])))</f>
        <v/>
      </c>
      <c r="H990" s="68" t="str">
        <f>IF(AND(Main[[#This Row],[In Stock Date]]&lt;&gt;"",Main[[#This Row],[Revised Due Date]]&lt;&gt;""),Main[[#This Row],[In Stock Date]]-Main[[#This Row],[Revised Due Date]],"")</f>
        <v/>
      </c>
      <c r="I990" s="65" t="s">
        <v>4</v>
      </c>
      <c r="J990" s="65" t="s">
        <v>4</v>
      </c>
      <c r="K990" s="65" t="s">
        <v>4</v>
      </c>
      <c r="L990" s="67"/>
      <c r="M990" s="69" t="str">
        <f>IF(Main[[#This Row],[Tech Start Date]]&lt;1/1/1990,"",IF(Main[[#This Row],[Class]]="C",WORKDAY(Main[[#This Row],[Tech Start Date]],9),IF(Main[[#This Row],[Class]]="B", WORKDAY(Main[[#This Row],[Tech Start Date]],6),IF(Main[[#This Row],[Class]]="A",WORKDAY(Main[[#This Row],[Tech Start Date]],2),""))))</f>
        <v/>
      </c>
      <c r="N990" s="69" t="str">
        <f>IF(Main[[#This Row],[Tech Start Date]]&lt;1/1/1990,"",IF(Main[[#This Row],[Class]]="C",WORKDAY(Main[[#This Row],[Tech Start Date]],19),IF(Main[[#This Row],[Class]]="B", WORKDAY(Main[[#This Row],[Tech Start Date]],12),IF(Main[[#This Row],[Class]]="A",WORKDAY(Main[[#This Row],[Tech Start Date]],4),""))))</f>
        <v/>
      </c>
      <c r="O990" s="69" t="str">
        <f>IF(Main[[#This Row],[Tech Start Date]]&lt;1/1/1990,"",IF(Main[[#This Row],[Class]]="C",WORKDAY(Main[[#This Row],[Tech Start Date]],23),IF(Main[[#This Row],[Class]]="B", WORKDAY(Main[[#This Row],[Tech Start Date]],15),IF(Main[[#This Row],[Class]]="A",WORKDAY(Main[[#This Row],[Tech Start Date]],5),""))))</f>
        <v/>
      </c>
      <c r="P990" s="69" t="str">
        <f>IF(Main[[#This Row],[Tech Start Date]]&lt;1/1/1990,"",IF(Main[[#This Row],[Class]]="C",WORKDAY(Main[[#This Row],[Tech Start Date]],28),IF(Main[[#This Row],[Class]]="B", WORKDAY(Main[[#This Row],[Tech Start Date]],19),IF(Main[[#This Row],[Class]]="A",WORKDAY(Main[[#This Row],[Tech Start Date]],9),""))))</f>
        <v/>
      </c>
      <c r="Q990" s="67">
        <v>40872</v>
      </c>
      <c r="R990" s="67"/>
      <c r="S990" s="65" t="s">
        <v>6</v>
      </c>
      <c r="T990" s="70" t="s">
        <v>4</v>
      </c>
      <c r="U990" s="65" t="s">
        <v>7</v>
      </c>
      <c r="V990" s="65" t="s">
        <v>1914</v>
      </c>
      <c r="W990" s="65" t="s">
        <v>4</v>
      </c>
      <c r="X990" s="65" t="s">
        <v>2822</v>
      </c>
      <c r="Y990" s="65" t="s">
        <v>2938</v>
      </c>
      <c r="Z990" s="65" t="s">
        <v>4</v>
      </c>
      <c r="AA990" s="65" t="s">
        <v>2822</v>
      </c>
    </row>
    <row r="991" spans="1:27" ht="17.45" hidden="1" customHeight="1">
      <c r="A991" s="100" t="str">
        <f>IF(priority(Main[[#This Row],[Comments]])&lt;&gt;0, priority(Main[[#This Row],[Comments]]),"")</f>
        <v/>
      </c>
      <c r="B991" s="77" t="s">
        <v>3524</v>
      </c>
      <c r="C991" s="65" t="s">
        <v>53</v>
      </c>
      <c r="D991" s="66" t="s">
        <v>3634</v>
      </c>
      <c r="E991" s="67">
        <v>40949.374872685185</v>
      </c>
      <c r="F991" s="67"/>
      <c r="G991" s="64" t="str">
        <f>IF(stdProdLT(Main[[#This Row],[Comments]])=0.1,"N/A",IF(stdProdLT(Main[[#This Row],[Comments]])=0,"",stdProdLT(Main[[#This Row],[Comments]])))</f>
        <v/>
      </c>
      <c r="H991" s="68" t="str">
        <f>IF(AND(Main[[#This Row],[In Stock Date]]&lt;&gt;"",Main[[#This Row],[Revised Due Date]]&lt;&gt;""),Main[[#This Row],[In Stock Date]]-Main[[#This Row],[Revised Due Date]],"")</f>
        <v/>
      </c>
      <c r="I991" s="65" t="s">
        <v>941</v>
      </c>
      <c r="J991" s="65" t="s">
        <v>28</v>
      </c>
      <c r="K991" s="65" t="s">
        <v>1923</v>
      </c>
      <c r="L991" s="67"/>
      <c r="M991" s="69" t="str">
        <f>IF(Main[[#This Row],[Tech Start Date]]&lt;1/1/1990,"",IF(Main[[#This Row],[Class]]="C",WORKDAY(Main[[#This Row],[Tech Start Date]],9),IF(Main[[#This Row],[Class]]="B", WORKDAY(Main[[#This Row],[Tech Start Date]],6),IF(Main[[#This Row],[Class]]="A",WORKDAY(Main[[#This Row],[Tech Start Date]],2),""))))</f>
        <v/>
      </c>
      <c r="N991" s="69" t="str">
        <f>IF(Main[[#This Row],[Tech Start Date]]&lt;1/1/1990,"",IF(Main[[#This Row],[Class]]="C",WORKDAY(Main[[#This Row],[Tech Start Date]],19),IF(Main[[#This Row],[Class]]="B", WORKDAY(Main[[#This Row],[Tech Start Date]],12),IF(Main[[#This Row],[Class]]="A",WORKDAY(Main[[#This Row],[Tech Start Date]],4),""))))</f>
        <v/>
      </c>
      <c r="O991" s="69" t="str">
        <f>IF(Main[[#This Row],[Tech Start Date]]&lt;1/1/1990,"",IF(Main[[#This Row],[Class]]="C",WORKDAY(Main[[#This Row],[Tech Start Date]],23),IF(Main[[#This Row],[Class]]="B", WORKDAY(Main[[#This Row],[Tech Start Date]],15),IF(Main[[#This Row],[Class]]="A",WORKDAY(Main[[#This Row],[Tech Start Date]],5),""))))</f>
        <v/>
      </c>
      <c r="P991" s="69" t="str">
        <f>IF(Main[[#This Row],[Tech Start Date]]&lt;1/1/1990,"",IF(Main[[#This Row],[Class]]="C",WORKDAY(Main[[#This Row],[Tech Start Date]],28),IF(Main[[#This Row],[Class]]="B", WORKDAY(Main[[#This Row],[Tech Start Date]],19),IF(Main[[#This Row],[Class]]="A",WORKDAY(Main[[#This Row],[Tech Start Date]],9),""))))</f>
        <v/>
      </c>
      <c r="Q991" s="67">
        <v>40956</v>
      </c>
      <c r="R991" s="67"/>
      <c r="S991" s="65" t="s">
        <v>6</v>
      </c>
      <c r="T991" s="70" t="s">
        <v>4</v>
      </c>
      <c r="U991" s="65" t="s">
        <v>29</v>
      </c>
      <c r="V991" s="65" t="s">
        <v>1915</v>
      </c>
      <c r="W991" s="65" t="s">
        <v>1916</v>
      </c>
      <c r="X991" s="65" t="s">
        <v>2816</v>
      </c>
      <c r="Y991" s="65" t="s">
        <v>4</v>
      </c>
      <c r="Z991" s="65" t="s">
        <v>2053</v>
      </c>
      <c r="AA991" s="65" t="s">
        <v>2816</v>
      </c>
    </row>
    <row r="992" spans="1:27" ht="17.45" hidden="1" customHeight="1">
      <c r="A992" s="100" t="str">
        <f>IF(priority(Main[[#This Row],[Comments]])&lt;&gt;0, priority(Main[[#This Row],[Comments]]),"")</f>
        <v/>
      </c>
      <c r="B992" s="77" t="s">
        <v>3635</v>
      </c>
      <c r="C992" s="65" t="s">
        <v>3636</v>
      </c>
      <c r="D992" s="66" t="s">
        <v>3637</v>
      </c>
      <c r="E992" s="67"/>
      <c r="F992" s="67">
        <v>41044</v>
      </c>
      <c r="G992" s="64" t="str">
        <f>IF(stdProdLT(Main[[#This Row],[Comments]])=0.1,"N/A",IF(stdProdLT(Main[[#This Row],[Comments]])=0,"",stdProdLT(Main[[#This Row],[Comments]])))</f>
        <v/>
      </c>
      <c r="H992" s="68" t="str">
        <f>IF(AND(Main[[#This Row],[In Stock Date]]&lt;&gt;"",Main[[#This Row],[Revised Due Date]]&lt;&gt;""),Main[[#This Row],[In Stock Date]]-Main[[#This Row],[Revised Due Date]],"")</f>
        <v/>
      </c>
      <c r="I992" s="65" t="s">
        <v>4</v>
      </c>
      <c r="J992" s="65" t="s">
        <v>4</v>
      </c>
      <c r="K992" s="65" t="s">
        <v>4</v>
      </c>
      <c r="L992" s="67"/>
      <c r="M992" s="69" t="str">
        <f>IF(Main[[#This Row],[Tech Start Date]]&lt;1/1/1990,"",IF(Main[[#This Row],[Class]]="C",WORKDAY(Main[[#This Row],[Tech Start Date]],9),IF(Main[[#This Row],[Class]]="B", WORKDAY(Main[[#This Row],[Tech Start Date]],6),IF(Main[[#This Row],[Class]]="A",WORKDAY(Main[[#This Row],[Tech Start Date]],2),""))))</f>
        <v/>
      </c>
      <c r="N992" s="69" t="str">
        <f>IF(Main[[#This Row],[Tech Start Date]]&lt;1/1/1990,"",IF(Main[[#This Row],[Class]]="C",WORKDAY(Main[[#This Row],[Tech Start Date]],19),IF(Main[[#This Row],[Class]]="B", WORKDAY(Main[[#This Row],[Tech Start Date]],12),IF(Main[[#This Row],[Class]]="A",WORKDAY(Main[[#This Row],[Tech Start Date]],4),""))))</f>
        <v/>
      </c>
      <c r="O992" s="69" t="str">
        <f>IF(Main[[#This Row],[Tech Start Date]]&lt;1/1/1990,"",IF(Main[[#This Row],[Class]]="C",WORKDAY(Main[[#This Row],[Tech Start Date]],23),IF(Main[[#This Row],[Class]]="B", WORKDAY(Main[[#This Row],[Tech Start Date]],15),IF(Main[[#This Row],[Class]]="A",WORKDAY(Main[[#This Row],[Tech Start Date]],5),""))))</f>
        <v/>
      </c>
      <c r="P992" s="69" t="str">
        <f>IF(Main[[#This Row],[Tech Start Date]]&lt;1/1/1990,"",IF(Main[[#This Row],[Class]]="C",WORKDAY(Main[[#This Row],[Tech Start Date]],28),IF(Main[[#This Row],[Class]]="B", WORKDAY(Main[[#This Row],[Tech Start Date]],19),IF(Main[[#This Row],[Class]]="A",WORKDAY(Main[[#This Row],[Tech Start Date]],9),""))))</f>
        <v/>
      </c>
      <c r="Q992" s="67">
        <v>40904</v>
      </c>
      <c r="R992" s="67"/>
      <c r="S992" s="65" t="s">
        <v>11</v>
      </c>
      <c r="T992" s="70" t="s">
        <v>4</v>
      </c>
      <c r="U992" s="65" t="s">
        <v>12</v>
      </c>
      <c r="V992" s="65" t="s">
        <v>1914</v>
      </c>
      <c r="W992" s="65" t="s">
        <v>1922</v>
      </c>
      <c r="X992" s="65" t="s">
        <v>2843</v>
      </c>
      <c r="Y992" s="65" t="s">
        <v>4</v>
      </c>
      <c r="Z992" s="65" t="s">
        <v>4</v>
      </c>
      <c r="AA992" s="65" t="s">
        <v>2843</v>
      </c>
    </row>
    <row r="993" spans="1:27" ht="17.45" hidden="1" customHeight="1">
      <c r="A993" s="100" t="str">
        <f>IF(priority(Main[[#This Row],[Comments]])&lt;&gt;0, priority(Main[[#This Row],[Comments]]),"")</f>
        <v/>
      </c>
      <c r="B993" s="77" t="s">
        <v>2438</v>
      </c>
      <c r="C993" s="65" t="s">
        <v>4</v>
      </c>
      <c r="D993" s="66" t="s">
        <v>2439</v>
      </c>
      <c r="E993" s="67">
        <v>40820.810810185183</v>
      </c>
      <c r="F993" s="67"/>
      <c r="G993" s="64" t="str">
        <f>IF(stdProdLT(Main[[#This Row],[Comments]])=0.1,"N/A",IF(stdProdLT(Main[[#This Row],[Comments]])=0,"",stdProdLT(Main[[#This Row],[Comments]])))</f>
        <v/>
      </c>
      <c r="H993" s="68" t="str">
        <f>IF(AND(Main[[#This Row],[In Stock Date]]&lt;&gt;"",Main[[#This Row],[Revised Due Date]]&lt;&gt;""),Main[[#This Row],[In Stock Date]]-Main[[#This Row],[Revised Due Date]],"")</f>
        <v/>
      </c>
      <c r="I993" s="65" t="s">
        <v>429</v>
      </c>
      <c r="J993" s="65" t="s">
        <v>1978</v>
      </c>
      <c r="K993" s="65" t="s">
        <v>1923</v>
      </c>
      <c r="L993" s="67"/>
      <c r="M993" s="69" t="str">
        <f>IF(Main[[#This Row],[Tech Start Date]]&lt;1/1/1990,"",IF(Main[[#This Row],[Class]]="C",WORKDAY(Main[[#This Row],[Tech Start Date]],9),IF(Main[[#This Row],[Class]]="B", WORKDAY(Main[[#This Row],[Tech Start Date]],6),IF(Main[[#This Row],[Class]]="A",WORKDAY(Main[[#This Row],[Tech Start Date]],2),""))))</f>
        <v/>
      </c>
      <c r="N993" s="69" t="str">
        <f>IF(Main[[#This Row],[Tech Start Date]]&lt;1/1/1990,"",IF(Main[[#This Row],[Class]]="C",WORKDAY(Main[[#This Row],[Tech Start Date]],19),IF(Main[[#This Row],[Class]]="B", WORKDAY(Main[[#This Row],[Tech Start Date]],12),IF(Main[[#This Row],[Class]]="A",WORKDAY(Main[[#This Row],[Tech Start Date]],4),""))))</f>
        <v/>
      </c>
      <c r="O993" s="69" t="str">
        <f>IF(Main[[#This Row],[Tech Start Date]]&lt;1/1/1990,"",IF(Main[[#This Row],[Class]]="C",WORKDAY(Main[[#This Row],[Tech Start Date]],23),IF(Main[[#This Row],[Class]]="B", WORKDAY(Main[[#This Row],[Tech Start Date]],15),IF(Main[[#This Row],[Class]]="A",WORKDAY(Main[[#This Row],[Tech Start Date]],5),""))))</f>
        <v/>
      </c>
      <c r="P993" s="69" t="str">
        <f>IF(Main[[#This Row],[Tech Start Date]]&lt;1/1/1990,"",IF(Main[[#This Row],[Class]]="C",WORKDAY(Main[[#This Row],[Tech Start Date]],28),IF(Main[[#This Row],[Class]]="B", WORKDAY(Main[[#This Row],[Tech Start Date]],19),IF(Main[[#This Row],[Class]]="A",WORKDAY(Main[[#This Row],[Tech Start Date]],9),""))))</f>
        <v/>
      </c>
      <c r="Q993" s="67">
        <v>40847</v>
      </c>
      <c r="R993" s="67"/>
      <c r="S993" s="65" t="s">
        <v>6</v>
      </c>
      <c r="T993" s="70" t="s">
        <v>4</v>
      </c>
      <c r="U993" s="65" t="s">
        <v>29</v>
      </c>
      <c r="V993" s="65" t="s">
        <v>1917</v>
      </c>
      <c r="W993" s="65" t="s">
        <v>1918</v>
      </c>
      <c r="X993" s="65" t="s">
        <v>30</v>
      </c>
      <c r="Y993" s="65" t="s">
        <v>2940</v>
      </c>
      <c r="Z993" s="65" t="s">
        <v>30</v>
      </c>
      <c r="AA993" s="65" t="s">
        <v>30</v>
      </c>
    </row>
    <row r="994" spans="1:27" ht="17.45" hidden="1" customHeight="1">
      <c r="A994" s="100" t="str">
        <f>IF(priority(Main[[#This Row],[Comments]])&lt;&gt;0, priority(Main[[#This Row],[Comments]]),"")</f>
        <v/>
      </c>
      <c r="B994" s="77" t="s">
        <v>2440</v>
      </c>
      <c r="C994" s="65" t="s">
        <v>4</v>
      </c>
      <c r="D994" s="66" t="s">
        <v>2441</v>
      </c>
      <c r="E994" s="67">
        <v>40834.538703703707</v>
      </c>
      <c r="F994" s="67"/>
      <c r="G994" s="64" t="str">
        <f>IF(stdProdLT(Main[[#This Row],[Comments]])=0.1,"N/A",IF(stdProdLT(Main[[#This Row],[Comments]])=0,"",stdProdLT(Main[[#This Row],[Comments]])))</f>
        <v/>
      </c>
      <c r="H994" s="68" t="str">
        <f>IF(AND(Main[[#This Row],[In Stock Date]]&lt;&gt;"",Main[[#This Row],[Revised Due Date]]&lt;&gt;""),Main[[#This Row],[In Stock Date]]-Main[[#This Row],[Revised Due Date]],"")</f>
        <v/>
      </c>
      <c r="I994" s="65" t="s">
        <v>4</v>
      </c>
      <c r="J994" s="65" t="s">
        <v>4</v>
      </c>
      <c r="K994" s="65" t="s">
        <v>4</v>
      </c>
      <c r="L994" s="67"/>
      <c r="M994" s="69" t="str">
        <f>IF(Main[[#This Row],[Tech Start Date]]&lt;1/1/1990,"",IF(Main[[#This Row],[Class]]="C",WORKDAY(Main[[#This Row],[Tech Start Date]],9),IF(Main[[#This Row],[Class]]="B", WORKDAY(Main[[#This Row],[Tech Start Date]],6),IF(Main[[#This Row],[Class]]="A",WORKDAY(Main[[#This Row],[Tech Start Date]],2),""))))</f>
        <v/>
      </c>
      <c r="N994" s="69" t="str">
        <f>IF(Main[[#This Row],[Tech Start Date]]&lt;1/1/1990,"",IF(Main[[#This Row],[Class]]="C",WORKDAY(Main[[#This Row],[Tech Start Date]],19),IF(Main[[#This Row],[Class]]="B", WORKDAY(Main[[#This Row],[Tech Start Date]],12),IF(Main[[#This Row],[Class]]="A",WORKDAY(Main[[#This Row],[Tech Start Date]],4),""))))</f>
        <v/>
      </c>
      <c r="O994" s="69" t="str">
        <f>IF(Main[[#This Row],[Tech Start Date]]&lt;1/1/1990,"",IF(Main[[#This Row],[Class]]="C",WORKDAY(Main[[#This Row],[Tech Start Date]],23),IF(Main[[#This Row],[Class]]="B", WORKDAY(Main[[#This Row],[Tech Start Date]],15),IF(Main[[#This Row],[Class]]="A",WORKDAY(Main[[#This Row],[Tech Start Date]],5),""))))</f>
        <v/>
      </c>
      <c r="P994" s="69" t="str">
        <f>IF(Main[[#This Row],[Tech Start Date]]&lt;1/1/1990,"",IF(Main[[#This Row],[Class]]="C",WORKDAY(Main[[#This Row],[Tech Start Date]],28),IF(Main[[#This Row],[Class]]="B", WORKDAY(Main[[#This Row],[Tech Start Date]],19),IF(Main[[#This Row],[Class]]="A",WORKDAY(Main[[#This Row],[Tech Start Date]],9),""))))</f>
        <v/>
      </c>
      <c r="Q994" s="67"/>
      <c r="R994" s="67"/>
      <c r="S994" s="65" t="s">
        <v>6</v>
      </c>
      <c r="T994" s="70" t="s">
        <v>4</v>
      </c>
      <c r="U994" s="65" t="s">
        <v>29</v>
      </c>
      <c r="V994" s="65" t="s">
        <v>1914</v>
      </c>
      <c r="W994" s="65" t="s">
        <v>1916</v>
      </c>
      <c r="X994" s="65" t="s">
        <v>306</v>
      </c>
      <c r="Y994" s="65" t="s">
        <v>4</v>
      </c>
      <c r="Z994" s="65" t="s">
        <v>4</v>
      </c>
      <c r="AA994" s="65" t="s">
        <v>4</v>
      </c>
    </row>
    <row r="995" spans="1:27" ht="17.45" hidden="1" customHeight="1">
      <c r="A995" s="100" t="str">
        <f>IF(priority(Main[[#This Row],[Comments]])&lt;&gt;0, priority(Main[[#This Row],[Comments]]),"")</f>
        <v/>
      </c>
      <c r="B995" s="77" t="s">
        <v>2443</v>
      </c>
      <c r="C995" s="65" t="s">
        <v>2352</v>
      </c>
      <c r="D995" s="66" t="s">
        <v>2444</v>
      </c>
      <c r="E995" s="67"/>
      <c r="F995" s="67">
        <v>40940</v>
      </c>
      <c r="G995" s="64" t="str">
        <f>IF(stdProdLT(Main[[#This Row],[Comments]])=0.1,"N/A",IF(stdProdLT(Main[[#This Row],[Comments]])=0,"",stdProdLT(Main[[#This Row],[Comments]])))</f>
        <v/>
      </c>
      <c r="H995" s="68" t="str">
        <f>IF(AND(Main[[#This Row],[In Stock Date]]&lt;&gt;"",Main[[#This Row],[Revised Due Date]]&lt;&gt;""),Main[[#This Row],[In Stock Date]]-Main[[#This Row],[Revised Due Date]],"")</f>
        <v/>
      </c>
      <c r="I995" s="65" t="s">
        <v>4</v>
      </c>
      <c r="J995" s="65" t="s">
        <v>4</v>
      </c>
      <c r="K995" s="71" t="s">
        <v>4</v>
      </c>
      <c r="L995" s="67"/>
      <c r="M995" s="69" t="str">
        <f>IF(Main[[#This Row],[Tech Start Date]]&lt;1/1/1990,"",IF(Main[[#This Row],[Class]]="C",WORKDAY(Main[[#This Row],[Tech Start Date]],9),IF(Main[[#This Row],[Class]]="B", WORKDAY(Main[[#This Row],[Tech Start Date]],6),IF(Main[[#This Row],[Class]]="A",WORKDAY(Main[[#This Row],[Tech Start Date]],2),""))))</f>
        <v/>
      </c>
      <c r="N995" s="69" t="str">
        <f>IF(Main[[#This Row],[Tech Start Date]]&lt;1/1/1990,"",IF(Main[[#This Row],[Class]]="C",WORKDAY(Main[[#This Row],[Tech Start Date]],19),IF(Main[[#This Row],[Class]]="B", WORKDAY(Main[[#This Row],[Tech Start Date]],12),IF(Main[[#This Row],[Class]]="A",WORKDAY(Main[[#This Row],[Tech Start Date]],4),""))))</f>
        <v/>
      </c>
      <c r="O995" s="69" t="str">
        <f>IF(Main[[#This Row],[Tech Start Date]]&lt;1/1/1990,"",IF(Main[[#This Row],[Class]]="C",WORKDAY(Main[[#This Row],[Tech Start Date]],23),IF(Main[[#This Row],[Class]]="B", WORKDAY(Main[[#This Row],[Tech Start Date]],15),IF(Main[[#This Row],[Class]]="A",WORKDAY(Main[[#This Row],[Tech Start Date]],5),""))))</f>
        <v/>
      </c>
      <c r="P995" s="69" t="str">
        <f>IF(Main[[#This Row],[Tech Start Date]]&lt;1/1/1990,"",IF(Main[[#This Row],[Class]]="C",WORKDAY(Main[[#This Row],[Tech Start Date]],28),IF(Main[[#This Row],[Class]]="B", WORKDAY(Main[[#This Row],[Tech Start Date]],19),IF(Main[[#This Row],[Class]]="A",WORKDAY(Main[[#This Row],[Tech Start Date]],9),""))))</f>
        <v/>
      </c>
      <c r="Q995" s="67">
        <v>40878</v>
      </c>
      <c r="R995" s="67"/>
      <c r="S995" s="65" t="s">
        <v>11</v>
      </c>
      <c r="T995" s="70" t="s">
        <v>4</v>
      </c>
      <c r="U995" s="65" t="s">
        <v>14</v>
      </c>
      <c r="V995" s="65" t="s">
        <v>1924</v>
      </c>
      <c r="W995" s="65" t="s">
        <v>1922</v>
      </c>
      <c r="X995" s="65" t="s">
        <v>2848</v>
      </c>
      <c r="Y995" s="65" t="s">
        <v>2979</v>
      </c>
      <c r="Z995" s="65" t="s">
        <v>4</v>
      </c>
      <c r="AA995" s="65" t="s">
        <v>2848</v>
      </c>
    </row>
    <row r="996" spans="1:27" ht="17.45" hidden="1" customHeight="1">
      <c r="A996" s="100" t="str">
        <f>IF(priority(Main[[#This Row],[Comments]])&lt;&gt;0, priority(Main[[#This Row],[Comments]]),"")</f>
        <v/>
      </c>
      <c r="B996" s="77" t="s">
        <v>1985</v>
      </c>
      <c r="C996" s="65" t="s">
        <v>4</v>
      </c>
      <c r="D996" s="66" t="s">
        <v>2446</v>
      </c>
      <c r="E996" s="67">
        <v>40737.702951388892</v>
      </c>
      <c r="F996" s="67">
        <v>40755</v>
      </c>
      <c r="G996" s="64" t="str">
        <f>IF(stdProdLT(Main[[#This Row],[Comments]])=0.1,"N/A",IF(stdProdLT(Main[[#This Row],[Comments]])=0,"",stdProdLT(Main[[#This Row],[Comments]])))</f>
        <v/>
      </c>
      <c r="H996" s="68" t="str">
        <f>IF(AND(Main[[#This Row],[In Stock Date]]&lt;&gt;"",Main[[#This Row],[Revised Due Date]]&lt;&gt;""),Main[[#This Row],[In Stock Date]]-Main[[#This Row],[Revised Due Date]],"")</f>
        <v/>
      </c>
      <c r="I996" s="65" t="s">
        <v>530</v>
      </c>
      <c r="J996" s="65" t="s">
        <v>21</v>
      </c>
      <c r="K996" s="65" t="s">
        <v>1923</v>
      </c>
      <c r="L996" s="67"/>
      <c r="M996" s="69" t="str">
        <f>IF(Main[[#This Row],[Tech Start Date]]&lt;1/1/1990,"",IF(Main[[#This Row],[Class]]="C",WORKDAY(Main[[#This Row],[Tech Start Date]],9),IF(Main[[#This Row],[Class]]="B", WORKDAY(Main[[#This Row],[Tech Start Date]],6),IF(Main[[#This Row],[Class]]="A",WORKDAY(Main[[#This Row],[Tech Start Date]],2),""))))</f>
        <v/>
      </c>
      <c r="N996" s="69" t="str">
        <f>IF(Main[[#This Row],[Tech Start Date]]&lt;1/1/1990,"",IF(Main[[#This Row],[Class]]="C",WORKDAY(Main[[#This Row],[Tech Start Date]],19),IF(Main[[#This Row],[Class]]="B", WORKDAY(Main[[#This Row],[Tech Start Date]],12),IF(Main[[#This Row],[Class]]="A",WORKDAY(Main[[#This Row],[Tech Start Date]],4),""))))</f>
        <v/>
      </c>
      <c r="O996" s="69" t="str">
        <f>IF(Main[[#This Row],[Tech Start Date]]&lt;1/1/1990,"",IF(Main[[#This Row],[Class]]="C",WORKDAY(Main[[#This Row],[Tech Start Date]],23),IF(Main[[#This Row],[Class]]="B", WORKDAY(Main[[#This Row],[Tech Start Date]],15),IF(Main[[#This Row],[Class]]="A",WORKDAY(Main[[#This Row],[Tech Start Date]],5),""))))</f>
        <v/>
      </c>
      <c r="P996" s="69" t="str">
        <f>IF(Main[[#This Row],[Tech Start Date]]&lt;1/1/1990,"",IF(Main[[#This Row],[Class]]="C",WORKDAY(Main[[#This Row],[Tech Start Date]],28),IF(Main[[#This Row],[Class]]="B", WORKDAY(Main[[#This Row],[Tech Start Date]],19),IF(Main[[#This Row],[Class]]="A",WORKDAY(Main[[#This Row],[Tech Start Date]],9),""))))</f>
        <v/>
      </c>
      <c r="Q996" s="67">
        <v>40770</v>
      </c>
      <c r="R996" s="67"/>
      <c r="S996" s="65" t="s">
        <v>6</v>
      </c>
      <c r="T996" s="70" t="s">
        <v>4</v>
      </c>
      <c r="U996" s="65" t="s">
        <v>29</v>
      </c>
      <c r="V996" s="65" t="s">
        <v>1924</v>
      </c>
      <c r="W996" s="65" t="s">
        <v>1918</v>
      </c>
      <c r="X996" s="65" t="s">
        <v>2841</v>
      </c>
      <c r="Y996" s="65" t="s">
        <v>2971</v>
      </c>
      <c r="Z996" s="65" t="s">
        <v>30</v>
      </c>
      <c r="AA996" s="65" t="s">
        <v>2841</v>
      </c>
    </row>
    <row r="997" spans="1:27" ht="17.45" hidden="1" customHeight="1">
      <c r="A997" s="100">
        <f>IF(priority(Main[[#This Row],[Comments]])&lt;&gt;0, priority(Main[[#This Row],[Comments]]),"")</f>
        <v>12.9</v>
      </c>
      <c r="B997" s="77" t="s">
        <v>3947</v>
      </c>
      <c r="C997" s="65" t="s">
        <v>3948</v>
      </c>
      <c r="D997" s="66" t="s">
        <v>3949</v>
      </c>
      <c r="E997" s="67">
        <v>40968.308472222219</v>
      </c>
      <c r="F997" s="67">
        <v>41105</v>
      </c>
      <c r="G997" s="64">
        <f>IF(stdProdLT(Main[[#This Row],[Comments]])=0.1,"N/A",IF(stdProdLT(Main[[#This Row],[Comments]])=0,"",stdProdLT(Main[[#This Row],[Comments]])))</f>
        <v>168</v>
      </c>
      <c r="H997" s="68" t="str">
        <f>IF(AND(Main[[#This Row],[In Stock Date]]&lt;&gt;"",Main[[#This Row],[Revised Due Date]]&lt;&gt;""),Main[[#This Row],[In Stock Date]]-Main[[#This Row],[Revised Due Date]],"")</f>
        <v/>
      </c>
      <c r="I997" s="65" t="s">
        <v>4</v>
      </c>
      <c r="J997" s="65" t="s">
        <v>4</v>
      </c>
      <c r="K997" s="65" t="s">
        <v>4</v>
      </c>
      <c r="L997" s="67"/>
      <c r="M997" s="69" t="str">
        <f>IF(Main[[#This Row],[Tech Start Date]]&lt;1/1/1990,"",IF(Main[[#This Row],[Class]]="C",WORKDAY(Main[[#This Row],[Tech Start Date]],9),IF(Main[[#This Row],[Class]]="B", WORKDAY(Main[[#This Row],[Tech Start Date]],6),IF(Main[[#This Row],[Class]]="A",WORKDAY(Main[[#This Row],[Tech Start Date]],2),""))))</f>
        <v/>
      </c>
      <c r="N997" s="69" t="str">
        <f>IF(Main[[#This Row],[Tech Start Date]]&lt;1/1/1990,"",IF(Main[[#This Row],[Class]]="C",WORKDAY(Main[[#This Row],[Tech Start Date]],19),IF(Main[[#This Row],[Class]]="B", WORKDAY(Main[[#This Row],[Tech Start Date]],12),IF(Main[[#This Row],[Class]]="A",WORKDAY(Main[[#This Row],[Tech Start Date]],4),""))))</f>
        <v/>
      </c>
      <c r="O997" s="69" t="str">
        <f>IF(Main[[#This Row],[Tech Start Date]]&lt;1/1/1990,"",IF(Main[[#This Row],[Class]]="C",WORKDAY(Main[[#This Row],[Tech Start Date]],23),IF(Main[[#This Row],[Class]]="B", WORKDAY(Main[[#This Row],[Tech Start Date]],15),IF(Main[[#This Row],[Class]]="A",WORKDAY(Main[[#This Row],[Tech Start Date]],5),""))))</f>
        <v/>
      </c>
      <c r="P997" s="69" t="str">
        <f>IF(Main[[#This Row],[Tech Start Date]]&lt;1/1/1990,"",IF(Main[[#This Row],[Class]]="C",WORKDAY(Main[[#This Row],[Tech Start Date]],28),IF(Main[[#This Row],[Class]]="B", WORKDAY(Main[[#This Row],[Tech Start Date]],19),IF(Main[[#This Row],[Class]]="A",WORKDAY(Main[[#This Row],[Tech Start Date]],9),""))))</f>
        <v/>
      </c>
      <c r="Q997" s="67"/>
      <c r="R997" s="67"/>
      <c r="S997" s="65" t="s">
        <v>11</v>
      </c>
      <c r="T997" s="70" t="s">
        <v>3950</v>
      </c>
      <c r="U997" s="65" t="s">
        <v>7</v>
      </c>
      <c r="V997" s="65" t="s">
        <v>1917</v>
      </c>
      <c r="W997" s="65" t="s">
        <v>1920</v>
      </c>
      <c r="X997" s="65" t="s">
        <v>2846</v>
      </c>
      <c r="Y997" s="65" t="s">
        <v>3242</v>
      </c>
      <c r="Z997" s="65" t="s">
        <v>4</v>
      </c>
      <c r="AA997" s="65" t="s">
        <v>2846</v>
      </c>
    </row>
    <row r="998" spans="1:27" ht="17.45" hidden="1" customHeight="1">
      <c r="A998" s="100" t="str">
        <f>IF(priority(Main[[#This Row],[Comments]])&lt;&gt;0, priority(Main[[#This Row],[Comments]]),"")</f>
        <v/>
      </c>
      <c r="B998" s="77" t="s">
        <v>1313</v>
      </c>
      <c r="C998" s="65" t="s">
        <v>4</v>
      </c>
      <c r="D998" s="66" t="s">
        <v>2304</v>
      </c>
      <c r="E998" s="67">
        <v>40627.285358796296</v>
      </c>
      <c r="F998" s="67"/>
      <c r="G998" s="64" t="str">
        <f>IF(stdProdLT(Main[[#This Row],[Comments]])=0.1,"N/A",IF(stdProdLT(Main[[#This Row],[Comments]])=0,"",stdProdLT(Main[[#This Row],[Comments]])))</f>
        <v/>
      </c>
      <c r="H998" s="68" t="str">
        <f>IF(AND(Main[[#This Row],[In Stock Date]]&lt;&gt;"",Main[[#This Row],[Revised Due Date]]&lt;&gt;""),Main[[#This Row],[In Stock Date]]-Main[[#This Row],[Revised Due Date]],"")</f>
        <v/>
      </c>
      <c r="I998" s="65" t="s">
        <v>561</v>
      </c>
      <c r="J998" s="65" t="s">
        <v>21</v>
      </c>
      <c r="K998" s="65" t="s">
        <v>1923</v>
      </c>
      <c r="L998" s="67"/>
      <c r="M998" s="69" t="str">
        <f>IF(Main[[#This Row],[Tech Start Date]]&lt;1/1/1990,"",IF(Main[[#This Row],[Class]]="C",WORKDAY(Main[[#This Row],[Tech Start Date]],9),IF(Main[[#This Row],[Class]]="B", WORKDAY(Main[[#This Row],[Tech Start Date]],6),IF(Main[[#This Row],[Class]]="A",WORKDAY(Main[[#This Row],[Tech Start Date]],2),""))))</f>
        <v/>
      </c>
      <c r="N998" s="69" t="str">
        <f>IF(Main[[#This Row],[Tech Start Date]]&lt;1/1/1990,"",IF(Main[[#This Row],[Class]]="C",WORKDAY(Main[[#This Row],[Tech Start Date]],19),IF(Main[[#This Row],[Class]]="B", WORKDAY(Main[[#This Row],[Tech Start Date]],12),IF(Main[[#This Row],[Class]]="A",WORKDAY(Main[[#This Row],[Tech Start Date]],4),""))))</f>
        <v/>
      </c>
      <c r="O998" s="69" t="str">
        <f>IF(Main[[#This Row],[Tech Start Date]]&lt;1/1/1990,"",IF(Main[[#This Row],[Class]]="C",WORKDAY(Main[[#This Row],[Tech Start Date]],23),IF(Main[[#This Row],[Class]]="B", WORKDAY(Main[[#This Row],[Tech Start Date]],15),IF(Main[[#This Row],[Class]]="A",WORKDAY(Main[[#This Row],[Tech Start Date]],5),""))))</f>
        <v/>
      </c>
      <c r="P998" s="69" t="str">
        <f>IF(Main[[#This Row],[Tech Start Date]]&lt;1/1/1990,"",IF(Main[[#This Row],[Class]]="C",WORKDAY(Main[[#This Row],[Tech Start Date]],28),IF(Main[[#This Row],[Class]]="B", WORKDAY(Main[[#This Row],[Tech Start Date]],19),IF(Main[[#This Row],[Class]]="A",WORKDAY(Main[[#This Row],[Tech Start Date]],9),""))))</f>
        <v/>
      </c>
      <c r="Q998" s="67">
        <v>40658</v>
      </c>
      <c r="R998" s="67"/>
      <c r="S998" s="65" t="s">
        <v>6</v>
      </c>
      <c r="T998" s="70" t="s">
        <v>4</v>
      </c>
      <c r="U998" s="65" t="s">
        <v>29</v>
      </c>
      <c r="V998" s="65" t="s">
        <v>1914</v>
      </c>
      <c r="W998" s="65" t="s">
        <v>1916</v>
      </c>
      <c r="X998" s="65" t="s">
        <v>2818</v>
      </c>
      <c r="Y998" s="65" t="s">
        <v>2929</v>
      </c>
      <c r="Z998" s="65" t="s">
        <v>530</v>
      </c>
      <c r="AA998" s="65" t="s">
        <v>2818</v>
      </c>
    </row>
    <row r="999" spans="1:27" ht="17.45" hidden="1" customHeight="1">
      <c r="A999" s="100" t="str">
        <f>IF(priority(Main[[#This Row],[Comments]])&lt;&gt;0, priority(Main[[#This Row],[Comments]]),"")</f>
        <v/>
      </c>
      <c r="B999" s="77" t="s">
        <v>2435</v>
      </c>
      <c r="C999" s="65" t="s">
        <v>4</v>
      </c>
      <c r="D999" s="66" t="s">
        <v>2436</v>
      </c>
      <c r="E999" s="67"/>
      <c r="F999" s="67"/>
      <c r="G999" s="64" t="str">
        <f>IF(stdProdLT(Main[[#This Row],[Comments]])=0.1,"N/A",IF(stdProdLT(Main[[#This Row],[Comments]])=0,"",stdProdLT(Main[[#This Row],[Comments]])))</f>
        <v/>
      </c>
      <c r="H999" s="68" t="str">
        <f>IF(AND(Main[[#This Row],[In Stock Date]]&lt;&gt;"",Main[[#This Row],[Revised Due Date]]&lt;&gt;""),Main[[#This Row],[In Stock Date]]-Main[[#This Row],[Revised Due Date]],"")</f>
        <v/>
      </c>
      <c r="I999" s="65" t="s">
        <v>4</v>
      </c>
      <c r="J999" s="65" t="s">
        <v>4</v>
      </c>
      <c r="K999" s="65" t="s">
        <v>4</v>
      </c>
      <c r="L999" s="67"/>
      <c r="M999" s="69" t="str">
        <f>IF(Main[[#This Row],[Tech Start Date]]&lt;1/1/1990,"",IF(Main[[#This Row],[Class]]="C",WORKDAY(Main[[#This Row],[Tech Start Date]],9),IF(Main[[#This Row],[Class]]="B", WORKDAY(Main[[#This Row],[Tech Start Date]],6),IF(Main[[#This Row],[Class]]="A",WORKDAY(Main[[#This Row],[Tech Start Date]],2),""))))</f>
        <v/>
      </c>
      <c r="N999" s="69" t="str">
        <f>IF(Main[[#This Row],[Tech Start Date]]&lt;1/1/1990,"",IF(Main[[#This Row],[Class]]="C",WORKDAY(Main[[#This Row],[Tech Start Date]],19),IF(Main[[#This Row],[Class]]="B", WORKDAY(Main[[#This Row],[Tech Start Date]],12),IF(Main[[#This Row],[Class]]="A",WORKDAY(Main[[#This Row],[Tech Start Date]],4),""))))</f>
        <v/>
      </c>
      <c r="O999" s="69" t="str">
        <f>IF(Main[[#This Row],[Tech Start Date]]&lt;1/1/1990,"",IF(Main[[#This Row],[Class]]="C",WORKDAY(Main[[#This Row],[Tech Start Date]],23),IF(Main[[#This Row],[Class]]="B", WORKDAY(Main[[#This Row],[Tech Start Date]],15),IF(Main[[#This Row],[Class]]="A",WORKDAY(Main[[#This Row],[Tech Start Date]],5),""))))</f>
        <v/>
      </c>
      <c r="P999" s="69" t="str">
        <f>IF(Main[[#This Row],[Tech Start Date]]&lt;1/1/1990,"",IF(Main[[#This Row],[Class]]="C",WORKDAY(Main[[#This Row],[Tech Start Date]],28),IF(Main[[#This Row],[Class]]="B", WORKDAY(Main[[#This Row],[Tech Start Date]],19),IF(Main[[#This Row],[Class]]="A",WORKDAY(Main[[#This Row],[Tech Start Date]],9),""))))</f>
        <v/>
      </c>
      <c r="Q999" s="67">
        <v>40877</v>
      </c>
      <c r="R999" s="67"/>
      <c r="S999" s="65" t="s">
        <v>6</v>
      </c>
      <c r="T999" s="70" t="s">
        <v>4</v>
      </c>
      <c r="U999" s="65" t="s">
        <v>14</v>
      </c>
      <c r="V999" s="65" t="s">
        <v>1914</v>
      </c>
      <c r="W999" s="65" t="s">
        <v>1918</v>
      </c>
      <c r="X999" s="65" t="s">
        <v>2821</v>
      </c>
      <c r="Y999" s="65" t="s">
        <v>2936</v>
      </c>
      <c r="Z999" s="65" t="s">
        <v>4</v>
      </c>
      <c r="AA999" s="65" t="s">
        <v>2821</v>
      </c>
    </row>
    <row r="1000" spans="1:27" ht="17.45" hidden="1" customHeight="1">
      <c r="A1000" s="100" t="str">
        <f>IF(priority(Main[[#This Row],[Comments]])&lt;&gt;0, priority(Main[[#This Row],[Comments]]),"")</f>
        <v/>
      </c>
      <c r="B1000" s="77" t="s">
        <v>2437</v>
      </c>
      <c r="C1000" s="65" t="s">
        <v>2354</v>
      </c>
      <c r="D1000" s="66" t="s">
        <v>2355</v>
      </c>
      <c r="E1000" s="67"/>
      <c r="F1000" s="67">
        <v>41008</v>
      </c>
      <c r="G1000" s="64" t="str">
        <f>IF(stdProdLT(Main[[#This Row],[Comments]])=0.1,"N/A",IF(stdProdLT(Main[[#This Row],[Comments]])=0,"",stdProdLT(Main[[#This Row],[Comments]])))</f>
        <v/>
      </c>
      <c r="H1000" s="68" t="str">
        <f>IF(AND(Main[[#This Row],[In Stock Date]]&lt;&gt;"",Main[[#This Row],[Revised Due Date]]&lt;&gt;""),Main[[#This Row],[In Stock Date]]-Main[[#This Row],[Revised Due Date]],"")</f>
        <v/>
      </c>
      <c r="I1000" s="65" t="s">
        <v>4</v>
      </c>
      <c r="J1000" s="65" t="s">
        <v>4</v>
      </c>
      <c r="K1000" s="65" t="s">
        <v>4</v>
      </c>
      <c r="L1000" s="67"/>
      <c r="M1000" s="69" t="str">
        <f>IF(Main[[#This Row],[Tech Start Date]]&lt;1/1/1990,"",IF(Main[[#This Row],[Class]]="C",WORKDAY(Main[[#This Row],[Tech Start Date]],9),IF(Main[[#This Row],[Class]]="B", WORKDAY(Main[[#This Row],[Tech Start Date]],6),IF(Main[[#This Row],[Class]]="A",WORKDAY(Main[[#This Row],[Tech Start Date]],2),""))))</f>
        <v/>
      </c>
      <c r="N1000" s="69" t="str">
        <f>IF(Main[[#This Row],[Tech Start Date]]&lt;1/1/1990,"",IF(Main[[#This Row],[Class]]="C",WORKDAY(Main[[#This Row],[Tech Start Date]],19),IF(Main[[#This Row],[Class]]="B", WORKDAY(Main[[#This Row],[Tech Start Date]],12),IF(Main[[#This Row],[Class]]="A",WORKDAY(Main[[#This Row],[Tech Start Date]],4),""))))</f>
        <v/>
      </c>
      <c r="O1000" s="69" t="str">
        <f>IF(Main[[#This Row],[Tech Start Date]]&lt;1/1/1990,"",IF(Main[[#This Row],[Class]]="C",WORKDAY(Main[[#This Row],[Tech Start Date]],23),IF(Main[[#This Row],[Class]]="B", WORKDAY(Main[[#This Row],[Tech Start Date]],15),IF(Main[[#This Row],[Class]]="A",WORKDAY(Main[[#This Row],[Tech Start Date]],5),""))))</f>
        <v/>
      </c>
      <c r="P1000" s="69" t="str">
        <f>IF(Main[[#This Row],[Tech Start Date]]&lt;1/1/1990,"",IF(Main[[#This Row],[Class]]="C",WORKDAY(Main[[#This Row],[Tech Start Date]],28),IF(Main[[#This Row],[Class]]="B", WORKDAY(Main[[#This Row],[Tech Start Date]],19),IF(Main[[#This Row],[Class]]="A",WORKDAY(Main[[#This Row],[Tech Start Date]],9),""))))</f>
        <v/>
      </c>
      <c r="Q1000" s="67">
        <v>40826</v>
      </c>
      <c r="R1000" s="67"/>
      <c r="S1000" s="65" t="s">
        <v>11</v>
      </c>
      <c r="T1000" s="70" t="s">
        <v>4</v>
      </c>
      <c r="U1000" s="65" t="s">
        <v>12</v>
      </c>
      <c r="V1000" s="65" t="s">
        <v>1917</v>
      </c>
      <c r="W1000" s="65" t="s">
        <v>1920</v>
      </c>
      <c r="X1000" s="65" t="s">
        <v>2843</v>
      </c>
      <c r="Y1000" s="65" t="s">
        <v>4</v>
      </c>
      <c r="Z1000" s="65" t="s">
        <v>4</v>
      </c>
      <c r="AA1000" s="65" t="s">
        <v>2843</v>
      </c>
    </row>
    <row r="1001" spans="1:27" ht="17.45" hidden="1" customHeight="1">
      <c r="A1001" s="100" t="str">
        <f>IF(priority(Main[[#This Row],[Comments]])&lt;&gt;0, priority(Main[[#This Row],[Comments]]),"")</f>
        <v/>
      </c>
      <c r="B1001" s="77" t="s">
        <v>3529</v>
      </c>
      <c r="C1001" s="65" t="s">
        <v>4</v>
      </c>
      <c r="D1001" s="66" t="s">
        <v>3530</v>
      </c>
      <c r="E1001" s="67">
        <v>40948.6487037037</v>
      </c>
      <c r="F1001" s="67"/>
      <c r="G1001" s="64" t="str">
        <f>IF(stdProdLT(Main[[#This Row],[Comments]])=0.1,"N/A",IF(stdProdLT(Main[[#This Row],[Comments]])=0,"",stdProdLT(Main[[#This Row],[Comments]])))</f>
        <v/>
      </c>
      <c r="H1001" s="68" t="str">
        <f>IF(AND(Main[[#This Row],[In Stock Date]]&lt;&gt;"",Main[[#This Row],[Revised Due Date]]&lt;&gt;""),Main[[#This Row],[In Stock Date]]-Main[[#This Row],[Revised Due Date]],"")</f>
        <v/>
      </c>
      <c r="I1001" s="65" t="s">
        <v>530</v>
      </c>
      <c r="J1001" s="65" t="s">
        <v>28</v>
      </c>
      <c r="K1001" s="65" t="s">
        <v>1923</v>
      </c>
      <c r="L1001" s="67"/>
      <c r="M1001" s="69" t="str">
        <f>IF(Main[[#This Row],[Tech Start Date]]&lt;1/1/1990,"",IF(Main[[#This Row],[Class]]="C",WORKDAY(Main[[#This Row],[Tech Start Date]],9),IF(Main[[#This Row],[Class]]="B", WORKDAY(Main[[#This Row],[Tech Start Date]],6),IF(Main[[#This Row],[Class]]="A",WORKDAY(Main[[#This Row],[Tech Start Date]],2),""))))</f>
        <v/>
      </c>
      <c r="N1001" s="69" t="str">
        <f>IF(Main[[#This Row],[Tech Start Date]]&lt;1/1/1990,"",IF(Main[[#This Row],[Class]]="C",WORKDAY(Main[[#This Row],[Tech Start Date]],19),IF(Main[[#This Row],[Class]]="B", WORKDAY(Main[[#This Row],[Tech Start Date]],12),IF(Main[[#This Row],[Class]]="A",WORKDAY(Main[[#This Row],[Tech Start Date]],4),""))))</f>
        <v/>
      </c>
      <c r="O1001" s="69" t="str">
        <f>IF(Main[[#This Row],[Tech Start Date]]&lt;1/1/1990,"",IF(Main[[#This Row],[Class]]="C",WORKDAY(Main[[#This Row],[Tech Start Date]],23),IF(Main[[#This Row],[Class]]="B", WORKDAY(Main[[#This Row],[Tech Start Date]],15),IF(Main[[#This Row],[Class]]="A",WORKDAY(Main[[#This Row],[Tech Start Date]],5),""))))</f>
        <v/>
      </c>
      <c r="P1001" s="69" t="str">
        <f>IF(Main[[#This Row],[Tech Start Date]]&lt;1/1/1990,"",IF(Main[[#This Row],[Class]]="C",WORKDAY(Main[[#This Row],[Tech Start Date]],28),IF(Main[[#This Row],[Class]]="B", WORKDAY(Main[[#This Row],[Tech Start Date]],19),IF(Main[[#This Row],[Class]]="A",WORKDAY(Main[[#This Row],[Tech Start Date]],9),""))))</f>
        <v/>
      </c>
      <c r="Q1001" s="67">
        <v>40949</v>
      </c>
      <c r="R1001" s="67"/>
      <c r="S1001" s="65" t="s">
        <v>6</v>
      </c>
      <c r="T1001" s="70" t="s">
        <v>4</v>
      </c>
      <c r="U1001" s="65" t="s">
        <v>29</v>
      </c>
      <c r="V1001" s="65" t="s">
        <v>1917</v>
      </c>
      <c r="W1001" s="65" t="s">
        <v>1916</v>
      </c>
      <c r="X1001" s="65" t="s">
        <v>2895</v>
      </c>
      <c r="Y1001" s="65" t="s">
        <v>3060</v>
      </c>
      <c r="Z1001" s="65" t="s">
        <v>30</v>
      </c>
      <c r="AA1001" s="65" t="s">
        <v>2895</v>
      </c>
    </row>
    <row r="1002" spans="1:27" ht="17.45" hidden="1" customHeight="1">
      <c r="A1002" s="100" t="str">
        <f>IF(priority(Main[[#This Row],[Comments]])&lt;&gt;0, priority(Main[[#This Row],[Comments]]),"")</f>
        <v/>
      </c>
      <c r="B1002" s="77" t="s">
        <v>2066</v>
      </c>
      <c r="C1002" s="65" t="s">
        <v>4</v>
      </c>
      <c r="D1002" s="66" t="s">
        <v>2447</v>
      </c>
      <c r="E1002" s="67">
        <v>40772.422800925924</v>
      </c>
      <c r="F1002" s="67"/>
      <c r="G1002" s="64" t="str">
        <f>IF(stdProdLT(Main[[#This Row],[Comments]])=0.1,"N/A",IF(stdProdLT(Main[[#This Row],[Comments]])=0,"",stdProdLT(Main[[#This Row],[Comments]])))</f>
        <v/>
      </c>
      <c r="H1002" s="68" t="str">
        <f>IF(AND(Main[[#This Row],[In Stock Date]]&lt;&gt;"",Main[[#This Row],[Revised Due Date]]&lt;&gt;""),Main[[#This Row],[In Stock Date]]-Main[[#This Row],[Revised Due Date]],"")</f>
        <v/>
      </c>
      <c r="I1002" s="65" t="s">
        <v>912</v>
      </c>
      <c r="J1002" s="65" t="s">
        <v>52</v>
      </c>
      <c r="K1002" s="65" t="s">
        <v>4</v>
      </c>
      <c r="L1002" s="67"/>
      <c r="M1002" s="69" t="str">
        <f>IF(Main[[#This Row],[Tech Start Date]]&lt;1/1/1990,"",IF(Main[[#This Row],[Class]]="C",WORKDAY(Main[[#This Row],[Tech Start Date]],9),IF(Main[[#This Row],[Class]]="B", WORKDAY(Main[[#This Row],[Tech Start Date]],6),IF(Main[[#This Row],[Class]]="A",WORKDAY(Main[[#This Row],[Tech Start Date]],2),""))))</f>
        <v/>
      </c>
      <c r="N1002" s="69" t="str">
        <f>IF(Main[[#This Row],[Tech Start Date]]&lt;1/1/1990,"",IF(Main[[#This Row],[Class]]="C",WORKDAY(Main[[#This Row],[Tech Start Date]],19),IF(Main[[#This Row],[Class]]="B", WORKDAY(Main[[#This Row],[Tech Start Date]],12),IF(Main[[#This Row],[Class]]="A",WORKDAY(Main[[#This Row],[Tech Start Date]],4),""))))</f>
        <v/>
      </c>
      <c r="O1002" s="69" t="str">
        <f>IF(Main[[#This Row],[Tech Start Date]]&lt;1/1/1990,"",IF(Main[[#This Row],[Class]]="C",WORKDAY(Main[[#This Row],[Tech Start Date]],23),IF(Main[[#This Row],[Class]]="B", WORKDAY(Main[[#This Row],[Tech Start Date]],15),IF(Main[[#This Row],[Class]]="A",WORKDAY(Main[[#This Row],[Tech Start Date]],5),""))))</f>
        <v/>
      </c>
      <c r="P1002" s="69" t="str">
        <f>IF(Main[[#This Row],[Tech Start Date]]&lt;1/1/1990,"",IF(Main[[#This Row],[Class]]="C",WORKDAY(Main[[#This Row],[Tech Start Date]],28),IF(Main[[#This Row],[Class]]="B", WORKDAY(Main[[#This Row],[Tech Start Date]],19),IF(Main[[#This Row],[Class]]="A",WORKDAY(Main[[#This Row],[Tech Start Date]],9),""))))</f>
        <v/>
      </c>
      <c r="Q1002" s="67"/>
      <c r="R1002" s="67"/>
      <c r="S1002" s="65" t="s">
        <v>6</v>
      </c>
      <c r="T1002" s="70" t="s">
        <v>4</v>
      </c>
      <c r="U1002" s="65" t="s">
        <v>29</v>
      </c>
      <c r="V1002" s="65" t="s">
        <v>1914</v>
      </c>
      <c r="W1002" s="65" t="s">
        <v>1918</v>
      </c>
      <c r="X1002" s="65" t="s">
        <v>937</v>
      </c>
      <c r="Y1002" s="65" t="s">
        <v>2984</v>
      </c>
      <c r="Z1002" s="65" t="s">
        <v>129</v>
      </c>
      <c r="AA1002" s="65" t="s">
        <v>937</v>
      </c>
    </row>
    <row r="1003" spans="1:27" ht="17.45" hidden="1" customHeight="1">
      <c r="A1003" s="100" t="str">
        <f>IF(priority(Main[[#This Row],[Comments]])&lt;&gt;0, priority(Main[[#This Row],[Comments]]),"")</f>
        <v/>
      </c>
      <c r="B1003" s="77" t="s">
        <v>2448</v>
      </c>
      <c r="C1003" s="65" t="s">
        <v>4</v>
      </c>
      <c r="D1003" s="66" t="s">
        <v>2449</v>
      </c>
      <c r="E1003" s="67">
        <v>40834.417719907404</v>
      </c>
      <c r="F1003" s="67"/>
      <c r="G1003" s="64" t="str">
        <f>IF(stdProdLT(Main[[#This Row],[Comments]])=0.1,"N/A",IF(stdProdLT(Main[[#This Row],[Comments]])=0,"",stdProdLT(Main[[#This Row],[Comments]])))</f>
        <v/>
      </c>
      <c r="H1003" s="68" t="str">
        <f>IF(AND(Main[[#This Row],[In Stock Date]]&lt;&gt;"",Main[[#This Row],[Revised Due Date]]&lt;&gt;""),Main[[#This Row],[In Stock Date]]-Main[[#This Row],[Revised Due Date]],"")</f>
        <v/>
      </c>
      <c r="I1003" s="65" t="s">
        <v>4</v>
      </c>
      <c r="J1003" s="65" t="s">
        <v>4</v>
      </c>
      <c r="K1003" s="65" t="s">
        <v>4</v>
      </c>
      <c r="L1003" s="67"/>
      <c r="M1003" s="69" t="str">
        <f>IF(Main[[#This Row],[Tech Start Date]]&lt;1/1/1990,"",IF(Main[[#This Row],[Class]]="C",WORKDAY(Main[[#This Row],[Tech Start Date]],9),IF(Main[[#This Row],[Class]]="B", WORKDAY(Main[[#This Row],[Tech Start Date]],6),IF(Main[[#This Row],[Class]]="A",WORKDAY(Main[[#This Row],[Tech Start Date]],2),""))))</f>
        <v/>
      </c>
      <c r="N1003" s="69" t="str">
        <f>IF(Main[[#This Row],[Tech Start Date]]&lt;1/1/1990,"",IF(Main[[#This Row],[Class]]="C",WORKDAY(Main[[#This Row],[Tech Start Date]],19),IF(Main[[#This Row],[Class]]="B", WORKDAY(Main[[#This Row],[Tech Start Date]],12),IF(Main[[#This Row],[Class]]="A",WORKDAY(Main[[#This Row],[Tech Start Date]],4),""))))</f>
        <v/>
      </c>
      <c r="O1003" s="69" t="str">
        <f>IF(Main[[#This Row],[Tech Start Date]]&lt;1/1/1990,"",IF(Main[[#This Row],[Class]]="C",WORKDAY(Main[[#This Row],[Tech Start Date]],23),IF(Main[[#This Row],[Class]]="B", WORKDAY(Main[[#This Row],[Tech Start Date]],15),IF(Main[[#This Row],[Class]]="A",WORKDAY(Main[[#This Row],[Tech Start Date]],5),""))))</f>
        <v/>
      </c>
      <c r="P1003" s="69" t="str">
        <f>IF(Main[[#This Row],[Tech Start Date]]&lt;1/1/1990,"",IF(Main[[#This Row],[Class]]="C",WORKDAY(Main[[#This Row],[Tech Start Date]],28),IF(Main[[#This Row],[Class]]="B", WORKDAY(Main[[#This Row],[Tech Start Date]],19),IF(Main[[#This Row],[Class]]="A",WORKDAY(Main[[#This Row],[Tech Start Date]],9),""))))</f>
        <v/>
      </c>
      <c r="Q1003" s="67"/>
      <c r="R1003" s="67"/>
      <c r="S1003" s="65" t="s">
        <v>6</v>
      </c>
      <c r="T1003" s="70" t="s">
        <v>4</v>
      </c>
      <c r="U1003" s="65" t="s">
        <v>29</v>
      </c>
      <c r="V1003" s="65" t="s">
        <v>1917</v>
      </c>
      <c r="W1003" s="65" t="s">
        <v>1918</v>
      </c>
      <c r="X1003" s="65" t="s">
        <v>306</v>
      </c>
      <c r="Y1003" s="65" t="s">
        <v>4</v>
      </c>
      <c r="Z1003" s="65" t="s">
        <v>4</v>
      </c>
      <c r="AA1003" s="65" t="s">
        <v>4</v>
      </c>
    </row>
    <row r="1004" spans="1:27" ht="17.45" hidden="1" customHeight="1">
      <c r="A1004" s="100" t="str">
        <f>IF(priority(Main[[#This Row],[Comments]])&lt;&gt;0, priority(Main[[#This Row],[Comments]]),"")</f>
        <v/>
      </c>
      <c r="B1004" s="77" t="s">
        <v>2242</v>
      </c>
      <c r="C1004" s="65" t="s">
        <v>4</v>
      </c>
      <c r="D1004" s="66" t="s">
        <v>2450</v>
      </c>
      <c r="E1004" s="67">
        <v>40798.432673611111</v>
      </c>
      <c r="F1004" s="67"/>
      <c r="G1004" s="64" t="str">
        <f>IF(stdProdLT(Main[[#This Row],[Comments]])=0.1,"N/A",IF(stdProdLT(Main[[#This Row],[Comments]])=0,"",stdProdLT(Main[[#This Row],[Comments]])))</f>
        <v/>
      </c>
      <c r="H1004" s="68" t="str">
        <f>IF(AND(Main[[#This Row],[In Stock Date]]&lt;&gt;"",Main[[#This Row],[Revised Due Date]]&lt;&gt;""),Main[[#This Row],[In Stock Date]]-Main[[#This Row],[Revised Due Date]],"")</f>
        <v/>
      </c>
      <c r="I1004" s="65" t="s">
        <v>912</v>
      </c>
      <c r="J1004" s="65" t="s">
        <v>52</v>
      </c>
      <c r="K1004" s="65" t="s">
        <v>4</v>
      </c>
      <c r="L1004" s="67"/>
      <c r="M1004" s="69" t="str">
        <f>IF(Main[[#This Row],[Tech Start Date]]&lt;1/1/1990,"",IF(Main[[#This Row],[Class]]="C",WORKDAY(Main[[#This Row],[Tech Start Date]],9),IF(Main[[#This Row],[Class]]="B", WORKDAY(Main[[#This Row],[Tech Start Date]],6),IF(Main[[#This Row],[Class]]="A",WORKDAY(Main[[#This Row],[Tech Start Date]],2),""))))</f>
        <v/>
      </c>
      <c r="N1004" s="69" t="str">
        <f>IF(Main[[#This Row],[Tech Start Date]]&lt;1/1/1990,"",IF(Main[[#This Row],[Class]]="C",WORKDAY(Main[[#This Row],[Tech Start Date]],19),IF(Main[[#This Row],[Class]]="B", WORKDAY(Main[[#This Row],[Tech Start Date]],12),IF(Main[[#This Row],[Class]]="A",WORKDAY(Main[[#This Row],[Tech Start Date]],4),""))))</f>
        <v/>
      </c>
      <c r="O1004" s="69" t="str">
        <f>IF(Main[[#This Row],[Tech Start Date]]&lt;1/1/1990,"",IF(Main[[#This Row],[Class]]="C",WORKDAY(Main[[#This Row],[Tech Start Date]],23),IF(Main[[#This Row],[Class]]="B", WORKDAY(Main[[#This Row],[Tech Start Date]],15),IF(Main[[#This Row],[Class]]="A",WORKDAY(Main[[#This Row],[Tech Start Date]],5),""))))</f>
        <v/>
      </c>
      <c r="P1004" s="69" t="str">
        <f>IF(Main[[#This Row],[Tech Start Date]]&lt;1/1/1990,"",IF(Main[[#This Row],[Class]]="C",WORKDAY(Main[[#This Row],[Tech Start Date]],28),IF(Main[[#This Row],[Class]]="B", WORKDAY(Main[[#This Row],[Tech Start Date]],19),IF(Main[[#This Row],[Class]]="A",WORKDAY(Main[[#This Row],[Tech Start Date]],9),""))))</f>
        <v/>
      </c>
      <c r="Q1004" s="67"/>
      <c r="R1004" s="67"/>
      <c r="S1004" s="65" t="s">
        <v>6</v>
      </c>
      <c r="T1004" s="70" t="s">
        <v>4</v>
      </c>
      <c r="U1004" s="65" t="s">
        <v>29</v>
      </c>
      <c r="V1004" s="65" t="s">
        <v>1914</v>
      </c>
      <c r="W1004" s="65" t="s">
        <v>1918</v>
      </c>
      <c r="X1004" s="65" t="s">
        <v>561</v>
      </c>
      <c r="Y1004" s="65" t="s">
        <v>4</v>
      </c>
      <c r="Z1004" s="65" t="s">
        <v>129</v>
      </c>
      <c r="AA1004" s="65" t="s">
        <v>4</v>
      </c>
    </row>
    <row r="1005" spans="1:27" ht="17.45" hidden="1" customHeight="1">
      <c r="A1005" s="100">
        <f>IF(priority(Main[[#This Row],[Comments]])&lt;&gt;0, priority(Main[[#This Row],[Comments]]),"")</f>
        <v>1</v>
      </c>
      <c r="B1005" s="77" t="s">
        <v>2679</v>
      </c>
      <c r="C1005" s="65" t="s">
        <v>19</v>
      </c>
      <c r="D1005" s="66" t="s">
        <v>2603</v>
      </c>
      <c r="E1005" s="67">
        <v>40487.36078703704</v>
      </c>
      <c r="F1005" s="67"/>
      <c r="G1005" s="64" t="str">
        <f>IF(stdProdLT(Main[[#This Row],[Comments]])=0.1,"N/A",IF(stdProdLT(Main[[#This Row],[Comments]])=0,"",stdProdLT(Main[[#This Row],[Comments]])))</f>
        <v/>
      </c>
      <c r="H1005" s="68" t="str">
        <f>IF(AND(Main[[#This Row],[In Stock Date]]&lt;&gt;"",Main[[#This Row],[Revised Due Date]]&lt;&gt;""),Main[[#This Row],[In Stock Date]]-Main[[#This Row],[Revised Due Date]],"")</f>
        <v/>
      </c>
      <c r="I1005" s="65" t="s">
        <v>2018</v>
      </c>
      <c r="J1005" s="65" t="s">
        <v>28</v>
      </c>
      <c r="K1005" s="65" t="s">
        <v>1926</v>
      </c>
      <c r="L1005" s="67"/>
      <c r="M1005" s="69" t="str">
        <f>IF(Main[[#This Row],[Tech Start Date]]&lt;1/1/1990,"",IF(Main[[#This Row],[Class]]="C",WORKDAY(Main[[#This Row],[Tech Start Date]],9),IF(Main[[#This Row],[Class]]="B", WORKDAY(Main[[#This Row],[Tech Start Date]],6),IF(Main[[#This Row],[Class]]="A",WORKDAY(Main[[#This Row],[Tech Start Date]],2),""))))</f>
        <v/>
      </c>
      <c r="N1005" s="69" t="str">
        <f>IF(Main[[#This Row],[Tech Start Date]]&lt;1/1/1990,"",IF(Main[[#This Row],[Class]]="C",WORKDAY(Main[[#This Row],[Tech Start Date]],19),IF(Main[[#This Row],[Class]]="B", WORKDAY(Main[[#This Row],[Tech Start Date]],12),IF(Main[[#This Row],[Class]]="A",WORKDAY(Main[[#This Row],[Tech Start Date]],4),""))))</f>
        <v/>
      </c>
      <c r="O1005" s="69" t="str">
        <f>IF(Main[[#This Row],[Tech Start Date]]&lt;1/1/1990,"",IF(Main[[#This Row],[Class]]="C",WORKDAY(Main[[#This Row],[Tech Start Date]],23),IF(Main[[#This Row],[Class]]="B", WORKDAY(Main[[#This Row],[Tech Start Date]],15),IF(Main[[#This Row],[Class]]="A",WORKDAY(Main[[#This Row],[Tech Start Date]],5),""))))</f>
        <v/>
      </c>
      <c r="P1005" s="69" t="str">
        <f>IF(Main[[#This Row],[Tech Start Date]]&lt;1/1/1990,"",IF(Main[[#This Row],[Class]]="C",WORKDAY(Main[[#This Row],[Tech Start Date]],28),IF(Main[[#This Row],[Class]]="B", WORKDAY(Main[[#This Row],[Tech Start Date]],19),IF(Main[[#This Row],[Class]]="A",WORKDAY(Main[[#This Row],[Tech Start Date]],9),""))))</f>
        <v/>
      </c>
      <c r="Q1005" s="67">
        <v>40862</v>
      </c>
      <c r="R1005" s="67">
        <v>40862</v>
      </c>
      <c r="S1005" s="65" t="s">
        <v>17</v>
      </c>
      <c r="T1005" s="70" t="s">
        <v>3642</v>
      </c>
      <c r="U1005" s="65" t="s">
        <v>29</v>
      </c>
      <c r="V1005" s="65" t="s">
        <v>1929</v>
      </c>
      <c r="W1005" s="65" t="s">
        <v>1922</v>
      </c>
      <c r="X1005" s="65" t="s">
        <v>129</v>
      </c>
      <c r="Y1005" s="65" t="s">
        <v>2933</v>
      </c>
      <c r="Z1005" s="65" t="s">
        <v>2211</v>
      </c>
      <c r="AA1005" s="65" t="s">
        <v>129</v>
      </c>
    </row>
    <row r="1006" spans="1:27" ht="17.45" hidden="1" customHeight="1">
      <c r="A1006" s="100" t="str">
        <f>IF(priority(Main[[#This Row],[Comments]])&lt;&gt;0, priority(Main[[#This Row],[Comments]]),"")</f>
        <v/>
      </c>
      <c r="B1006" s="77" t="s">
        <v>2714</v>
      </c>
      <c r="C1006" s="65" t="s">
        <v>4</v>
      </c>
      <c r="D1006" s="66" t="s">
        <v>3653</v>
      </c>
      <c r="E1006" s="67">
        <v>40917.685127314813</v>
      </c>
      <c r="F1006" s="67"/>
      <c r="G1006" s="64" t="str">
        <f>IF(stdProdLT(Main[[#This Row],[Comments]])=0.1,"N/A",IF(stdProdLT(Main[[#This Row],[Comments]])=0,"",stdProdLT(Main[[#This Row],[Comments]])))</f>
        <v/>
      </c>
      <c r="H1006" s="68" t="str">
        <f>IF(AND(Main[[#This Row],[In Stock Date]]&lt;&gt;"",Main[[#This Row],[Revised Due Date]]&lt;&gt;""),Main[[#This Row],[In Stock Date]]-Main[[#This Row],[Revised Due Date]],"")</f>
        <v/>
      </c>
      <c r="I1006" s="65" t="s">
        <v>69</v>
      </c>
      <c r="J1006" s="65" t="s">
        <v>70</v>
      </c>
      <c r="K1006" s="65" t="s">
        <v>1923</v>
      </c>
      <c r="L1006" s="67"/>
      <c r="M1006" s="69" t="str">
        <f>IF(Main[[#This Row],[Tech Start Date]]&lt;1/1/1990,"",IF(Main[[#This Row],[Class]]="C",WORKDAY(Main[[#This Row],[Tech Start Date]],9),IF(Main[[#This Row],[Class]]="B", WORKDAY(Main[[#This Row],[Tech Start Date]],6),IF(Main[[#This Row],[Class]]="A",WORKDAY(Main[[#This Row],[Tech Start Date]],2),""))))</f>
        <v/>
      </c>
      <c r="N1006" s="69" t="str">
        <f>IF(Main[[#This Row],[Tech Start Date]]&lt;1/1/1990,"",IF(Main[[#This Row],[Class]]="C",WORKDAY(Main[[#This Row],[Tech Start Date]],19),IF(Main[[#This Row],[Class]]="B", WORKDAY(Main[[#This Row],[Tech Start Date]],12),IF(Main[[#This Row],[Class]]="A",WORKDAY(Main[[#This Row],[Tech Start Date]],4),""))))</f>
        <v/>
      </c>
      <c r="O1006" s="69" t="str">
        <f>IF(Main[[#This Row],[Tech Start Date]]&lt;1/1/1990,"",IF(Main[[#This Row],[Class]]="C",WORKDAY(Main[[#This Row],[Tech Start Date]],23),IF(Main[[#This Row],[Class]]="B", WORKDAY(Main[[#This Row],[Tech Start Date]],15),IF(Main[[#This Row],[Class]]="A",WORKDAY(Main[[#This Row],[Tech Start Date]],5),""))))</f>
        <v/>
      </c>
      <c r="P1006" s="69" t="str">
        <f>IF(Main[[#This Row],[Tech Start Date]]&lt;1/1/1990,"",IF(Main[[#This Row],[Class]]="C",WORKDAY(Main[[#This Row],[Tech Start Date]],28),IF(Main[[#This Row],[Class]]="B", WORKDAY(Main[[#This Row],[Tech Start Date]],19),IF(Main[[#This Row],[Class]]="A",WORKDAY(Main[[#This Row],[Tech Start Date]],9),""))))</f>
        <v/>
      </c>
      <c r="Q1006" s="67"/>
      <c r="R1006" s="67"/>
      <c r="S1006" s="65" t="s">
        <v>6</v>
      </c>
      <c r="T1006" s="70" t="s">
        <v>4</v>
      </c>
      <c r="U1006" s="65" t="s">
        <v>29</v>
      </c>
      <c r="V1006" s="65" t="s">
        <v>1917</v>
      </c>
      <c r="W1006" s="65" t="s">
        <v>1918</v>
      </c>
      <c r="X1006" s="65" t="s">
        <v>2865</v>
      </c>
      <c r="Y1006" s="65" t="s">
        <v>3010</v>
      </c>
      <c r="Z1006" s="65" t="s">
        <v>81</v>
      </c>
      <c r="AA1006" s="65" t="s">
        <v>2865</v>
      </c>
    </row>
    <row r="1007" spans="1:27" ht="17.45" hidden="1" customHeight="1">
      <c r="A1007" s="100" t="str">
        <f>IF(priority(Main[[#This Row],[Comments]])&lt;&gt;0, priority(Main[[#This Row],[Comments]]),"")</f>
        <v/>
      </c>
      <c r="B1007" s="77" t="s">
        <v>1200</v>
      </c>
      <c r="C1007" s="65" t="s">
        <v>4</v>
      </c>
      <c r="D1007" s="66" t="s">
        <v>3306</v>
      </c>
      <c r="E1007" s="67"/>
      <c r="F1007" s="67"/>
      <c r="G1007" s="64" t="str">
        <f>IF(stdProdLT(Main[[#This Row],[Comments]])=0.1,"N/A",IF(stdProdLT(Main[[#This Row],[Comments]])=0,"",stdProdLT(Main[[#This Row],[Comments]])))</f>
        <v/>
      </c>
      <c r="H1007" s="68" t="str">
        <f>IF(AND(Main[[#This Row],[In Stock Date]]&lt;&gt;"",Main[[#This Row],[Revised Due Date]]&lt;&gt;""),Main[[#This Row],[In Stock Date]]-Main[[#This Row],[Revised Due Date]],"")</f>
        <v/>
      </c>
      <c r="I1007" s="65" t="s">
        <v>2051</v>
      </c>
      <c r="J1007" s="65" t="s">
        <v>28</v>
      </c>
      <c r="K1007" s="65" t="s">
        <v>1923</v>
      </c>
      <c r="L1007" s="67"/>
      <c r="M1007" s="69" t="str">
        <f>IF(Main[[#This Row],[Tech Start Date]]&lt;1/1/1990,"",IF(Main[[#This Row],[Class]]="C",WORKDAY(Main[[#This Row],[Tech Start Date]],9),IF(Main[[#This Row],[Class]]="B", WORKDAY(Main[[#This Row],[Tech Start Date]],6),IF(Main[[#This Row],[Class]]="A",WORKDAY(Main[[#This Row],[Tech Start Date]],2),""))))</f>
        <v/>
      </c>
      <c r="N1007" s="69" t="str">
        <f>IF(Main[[#This Row],[Tech Start Date]]&lt;1/1/1990,"",IF(Main[[#This Row],[Class]]="C",WORKDAY(Main[[#This Row],[Tech Start Date]],19),IF(Main[[#This Row],[Class]]="B", WORKDAY(Main[[#This Row],[Tech Start Date]],12),IF(Main[[#This Row],[Class]]="A",WORKDAY(Main[[#This Row],[Tech Start Date]],4),""))))</f>
        <v/>
      </c>
      <c r="O1007" s="69" t="str">
        <f>IF(Main[[#This Row],[Tech Start Date]]&lt;1/1/1990,"",IF(Main[[#This Row],[Class]]="C",WORKDAY(Main[[#This Row],[Tech Start Date]],23),IF(Main[[#This Row],[Class]]="B", WORKDAY(Main[[#This Row],[Tech Start Date]],15),IF(Main[[#This Row],[Class]]="A",WORKDAY(Main[[#This Row],[Tech Start Date]],5),""))))</f>
        <v/>
      </c>
      <c r="P1007" s="69" t="str">
        <f>IF(Main[[#This Row],[Tech Start Date]]&lt;1/1/1990,"",IF(Main[[#This Row],[Class]]="C",WORKDAY(Main[[#This Row],[Tech Start Date]],28),IF(Main[[#This Row],[Class]]="B", WORKDAY(Main[[#This Row],[Tech Start Date]],19),IF(Main[[#This Row],[Class]]="A",WORKDAY(Main[[#This Row],[Tech Start Date]],9),""))))</f>
        <v/>
      </c>
      <c r="Q1007" s="67"/>
      <c r="R1007" s="67"/>
      <c r="S1007" s="65" t="s">
        <v>6</v>
      </c>
      <c r="T1007" s="70" t="s">
        <v>4</v>
      </c>
      <c r="U1007" s="65" t="s">
        <v>14</v>
      </c>
      <c r="V1007" s="65" t="s">
        <v>1917</v>
      </c>
      <c r="W1007" s="65" t="s">
        <v>1918</v>
      </c>
      <c r="X1007" s="65" t="s">
        <v>2819</v>
      </c>
      <c r="Y1007" s="65" t="s">
        <v>2932</v>
      </c>
      <c r="Z1007" s="65" t="s">
        <v>30</v>
      </c>
      <c r="AA1007" s="65" t="s">
        <v>2819</v>
      </c>
    </row>
    <row r="1008" spans="1:27" ht="17.45" hidden="1" customHeight="1">
      <c r="A1008" s="100" t="str">
        <f>IF(priority(Main[[#This Row],[Comments]])&lt;&gt;0, priority(Main[[#This Row],[Comments]]),"")</f>
        <v/>
      </c>
      <c r="B1008" s="77" t="s">
        <v>1843</v>
      </c>
      <c r="C1008" s="65" t="s">
        <v>4</v>
      </c>
      <c r="D1008" s="66" t="s">
        <v>900</v>
      </c>
      <c r="E1008" s="67">
        <v>40478.709317129629</v>
      </c>
      <c r="F1008" s="67">
        <v>40492</v>
      </c>
      <c r="G1008" s="64" t="str">
        <f>IF(stdProdLT(Main[[#This Row],[Comments]])=0.1,"N/A",IF(stdProdLT(Main[[#This Row],[Comments]])=0,"",stdProdLT(Main[[#This Row],[Comments]])))</f>
        <v/>
      </c>
      <c r="H1008" s="68">
        <f>IF(AND(Main[[#This Row],[In Stock Date]]&lt;&gt;"",Main[[#This Row],[Revised Due Date]]&lt;&gt;""),Main[[#This Row],[In Stock Date]]-Main[[#This Row],[Revised Due Date]],"")</f>
        <v>-3</v>
      </c>
      <c r="I1008" s="65" t="s">
        <v>4</v>
      </c>
      <c r="J1008" s="65" t="s">
        <v>28</v>
      </c>
      <c r="K1008" s="65" t="s">
        <v>1921</v>
      </c>
      <c r="L1008" s="67"/>
      <c r="M1008" s="69" t="str">
        <f>IF(Main[[#This Row],[Tech Start Date]]&lt;1/1/1990,"",IF(Main[[#This Row],[Class]]="C",WORKDAY(Main[[#This Row],[Tech Start Date]],9),IF(Main[[#This Row],[Class]]="B", WORKDAY(Main[[#This Row],[Tech Start Date]],6),IF(Main[[#This Row],[Class]]="A",WORKDAY(Main[[#This Row],[Tech Start Date]],2),""))))</f>
        <v/>
      </c>
      <c r="N1008" s="69" t="str">
        <f>IF(Main[[#This Row],[Tech Start Date]]&lt;1/1/1990,"",IF(Main[[#This Row],[Class]]="C",WORKDAY(Main[[#This Row],[Tech Start Date]],19),IF(Main[[#This Row],[Class]]="B", WORKDAY(Main[[#This Row],[Tech Start Date]],12),IF(Main[[#This Row],[Class]]="A",WORKDAY(Main[[#This Row],[Tech Start Date]],4),""))))</f>
        <v/>
      </c>
      <c r="O1008" s="69" t="str">
        <f>IF(Main[[#This Row],[Tech Start Date]]&lt;1/1/1990,"",IF(Main[[#This Row],[Class]]="C",WORKDAY(Main[[#This Row],[Tech Start Date]],23),IF(Main[[#This Row],[Class]]="B", WORKDAY(Main[[#This Row],[Tech Start Date]],15),IF(Main[[#This Row],[Class]]="A",WORKDAY(Main[[#This Row],[Tech Start Date]],5),""))))</f>
        <v/>
      </c>
      <c r="P1008" s="69" t="str">
        <f>IF(Main[[#This Row],[Tech Start Date]]&lt;1/1/1990,"",IF(Main[[#This Row],[Class]]="C",WORKDAY(Main[[#This Row],[Tech Start Date]],28),IF(Main[[#This Row],[Class]]="B", WORKDAY(Main[[#This Row],[Tech Start Date]],19),IF(Main[[#This Row],[Class]]="A",WORKDAY(Main[[#This Row],[Tech Start Date]],9),""))))</f>
        <v/>
      </c>
      <c r="Q1008" s="67">
        <v>40908</v>
      </c>
      <c r="R1008" s="67">
        <v>40495</v>
      </c>
      <c r="S1008" s="65" t="s">
        <v>17</v>
      </c>
      <c r="T1008" s="70" t="s">
        <v>2433</v>
      </c>
      <c r="U1008" s="65" t="s">
        <v>29</v>
      </c>
      <c r="V1008" s="65" t="s">
        <v>1915</v>
      </c>
      <c r="W1008" s="65" t="s">
        <v>1916</v>
      </c>
      <c r="X1008" s="65" t="s">
        <v>50</v>
      </c>
      <c r="Y1008" s="65" t="s">
        <v>4</v>
      </c>
      <c r="Z1008" s="65" t="s">
        <v>4</v>
      </c>
      <c r="AA1008" s="65" t="s">
        <v>975</v>
      </c>
    </row>
    <row r="1009" spans="1:27" ht="17.45" hidden="1" customHeight="1">
      <c r="A1009" s="100" t="str">
        <f>IF(priority(Main[[#This Row],[Comments]])&lt;&gt;0, priority(Main[[#This Row],[Comments]]),"")</f>
        <v/>
      </c>
      <c r="B1009" s="77" t="s">
        <v>1124</v>
      </c>
      <c r="C1009" s="65" t="s">
        <v>4</v>
      </c>
      <c r="D1009" s="66" t="s">
        <v>2434</v>
      </c>
      <c r="E1009" s="67">
        <v>40581.512430555558</v>
      </c>
      <c r="F1009" s="67">
        <v>40627</v>
      </c>
      <c r="G1009" s="64" t="str">
        <f>IF(stdProdLT(Main[[#This Row],[Comments]])=0.1,"N/A",IF(stdProdLT(Main[[#This Row],[Comments]])=0,"",stdProdLT(Main[[#This Row],[Comments]])))</f>
        <v/>
      </c>
      <c r="H1009" s="68" t="str">
        <f>IF(AND(Main[[#This Row],[In Stock Date]]&lt;&gt;"",Main[[#This Row],[Revised Due Date]]&lt;&gt;""),Main[[#This Row],[In Stock Date]]-Main[[#This Row],[Revised Due Date]],"")</f>
        <v/>
      </c>
      <c r="I1009" s="65" t="s">
        <v>912</v>
      </c>
      <c r="J1009" s="65" t="s">
        <v>52</v>
      </c>
      <c r="K1009" s="65" t="s">
        <v>1921</v>
      </c>
      <c r="L1009" s="67"/>
      <c r="M1009" s="69" t="str">
        <f>IF(Main[[#This Row],[Tech Start Date]]&lt;1/1/1990,"",IF(Main[[#This Row],[Class]]="C",WORKDAY(Main[[#This Row],[Tech Start Date]],9),IF(Main[[#This Row],[Class]]="B", WORKDAY(Main[[#This Row],[Tech Start Date]],6),IF(Main[[#This Row],[Class]]="A",WORKDAY(Main[[#This Row],[Tech Start Date]],2),""))))</f>
        <v/>
      </c>
      <c r="N1009" s="69" t="str">
        <f>IF(Main[[#This Row],[Tech Start Date]]&lt;1/1/1990,"",IF(Main[[#This Row],[Class]]="C",WORKDAY(Main[[#This Row],[Tech Start Date]],19),IF(Main[[#This Row],[Class]]="B", WORKDAY(Main[[#This Row],[Tech Start Date]],12),IF(Main[[#This Row],[Class]]="A",WORKDAY(Main[[#This Row],[Tech Start Date]],4),""))))</f>
        <v/>
      </c>
      <c r="O1009" s="69" t="str">
        <f>IF(Main[[#This Row],[Tech Start Date]]&lt;1/1/1990,"",IF(Main[[#This Row],[Class]]="C",WORKDAY(Main[[#This Row],[Tech Start Date]],23),IF(Main[[#This Row],[Class]]="B", WORKDAY(Main[[#This Row],[Tech Start Date]],15),IF(Main[[#This Row],[Class]]="A",WORKDAY(Main[[#This Row],[Tech Start Date]],5),""))))</f>
        <v/>
      </c>
      <c r="P1009" s="69" t="str">
        <f>IF(Main[[#This Row],[Tech Start Date]]&lt;1/1/1990,"",IF(Main[[#This Row],[Class]]="C",WORKDAY(Main[[#This Row],[Tech Start Date]],28),IF(Main[[#This Row],[Class]]="B", WORKDAY(Main[[#This Row],[Tech Start Date]],19),IF(Main[[#This Row],[Class]]="A",WORKDAY(Main[[#This Row],[Tech Start Date]],9),""))))</f>
        <v/>
      </c>
      <c r="Q1009" s="67">
        <v>40627</v>
      </c>
      <c r="R1009" s="67"/>
      <c r="S1009" s="65" t="s">
        <v>6</v>
      </c>
      <c r="T1009" s="70" t="s">
        <v>4</v>
      </c>
      <c r="U1009" s="65" t="s">
        <v>29</v>
      </c>
      <c r="V1009" s="65" t="s">
        <v>1914</v>
      </c>
      <c r="W1009" s="65" t="s">
        <v>1916</v>
      </c>
      <c r="X1009" s="65" t="s">
        <v>2818</v>
      </c>
      <c r="Y1009" s="65" t="s">
        <v>2929</v>
      </c>
      <c r="Z1009" s="65" t="s">
        <v>129</v>
      </c>
      <c r="AA1009" s="65" t="s">
        <v>2818</v>
      </c>
    </row>
    <row r="1010" spans="1:27" ht="17.45" hidden="1" customHeight="1">
      <c r="A1010" s="100" t="str">
        <f>IF(priority(Main[[#This Row],[Comments]])&lt;&gt;0, priority(Main[[#This Row],[Comments]]),"")</f>
        <v/>
      </c>
      <c r="B1010" s="77" t="s">
        <v>2451</v>
      </c>
      <c r="C1010" s="65" t="s">
        <v>4</v>
      </c>
      <c r="D1010" s="66" t="s">
        <v>2452</v>
      </c>
      <c r="E1010" s="67">
        <v>40841.609861111108</v>
      </c>
      <c r="F1010" s="67"/>
      <c r="G1010" s="64" t="str">
        <f>IF(stdProdLT(Main[[#This Row],[Comments]])=0.1,"N/A",IF(stdProdLT(Main[[#This Row],[Comments]])=0,"",stdProdLT(Main[[#This Row],[Comments]])))</f>
        <v/>
      </c>
      <c r="H1010" s="68" t="str">
        <f>IF(AND(Main[[#This Row],[In Stock Date]]&lt;&gt;"",Main[[#This Row],[Revised Due Date]]&lt;&gt;""),Main[[#This Row],[In Stock Date]]-Main[[#This Row],[Revised Due Date]],"")</f>
        <v/>
      </c>
      <c r="I1010" s="65" t="s">
        <v>4</v>
      </c>
      <c r="J1010" s="65" t="s">
        <v>4</v>
      </c>
      <c r="K1010" s="65" t="s">
        <v>4</v>
      </c>
      <c r="L1010" s="67"/>
      <c r="M1010" s="69" t="str">
        <f>IF(Main[[#This Row],[Tech Start Date]]&lt;1/1/1990,"",IF(Main[[#This Row],[Class]]="C",WORKDAY(Main[[#This Row],[Tech Start Date]],9),IF(Main[[#This Row],[Class]]="B", WORKDAY(Main[[#This Row],[Tech Start Date]],6),IF(Main[[#This Row],[Class]]="A",WORKDAY(Main[[#This Row],[Tech Start Date]],2),""))))</f>
        <v/>
      </c>
      <c r="N1010" s="69" t="str">
        <f>IF(Main[[#This Row],[Tech Start Date]]&lt;1/1/1990,"",IF(Main[[#This Row],[Class]]="C",WORKDAY(Main[[#This Row],[Tech Start Date]],19),IF(Main[[#This Row],[Class]]="B", WORKDAY(Main[[#This Row],[Tech Start Date]],12),IF(Main[[#This Row],[Class]]="A",WORKDAY(Main[[#This Row],[Tech Start Date]],4),""))))</f>
        <v/>
      </c>
      <c r="O1010" s="69" t="str">
        <f>IF(Main[[#This Row],[Tech Start Date]]&lt;1/1/1990,"",IF(Main[[#This Row],[Class]]="C",WORKDAY(Main[[#This Row],[Tech Start Date]],23),IF(Main[[#This Row],[Class]]="B", WORKDAY(Main[[#This Row],[Tech Start Date]],15),IF(Main[[#This Row],[Class]]="A",WORKDAY(Main[[#This Row],[Tech Start Date]],5),""))))</f>
        <v/>
      </c>
      <c r="P1010" s="69" t="str">
        <f>IF(Main[[#This Row],[Tech Start Date]]&lt;1/1/1990,"",IF(Main[[#This Row],[Class]]="C",WORKDAY(Main[[#This Row],[Tech Start Date]],28),IF(Main[[#This Row],[Class]]="B", WORKDAY(Main[[#This Row],[Tech Start Date]],19),IF(Main[[#This Row],[Class]]="A",WORKDAY(Main[[#This Row],[Tech Start Date]],9),""))))</f>
        <v/>
      </c>
      <c r="Q1010" s="67"/>
      <c r="R1010" s="67"/>
      <c r="S1010" s="65" t="s">
        <v>6</v>
      </c>
      <c r="T1010" s="70" t="s">
        <v>4</v>
      </c>
      <c r="U1010" s="65" t="s">
        <v>7</v>
      </c>
      <c r="V1010" s="65" t="s">
        <v>1914</v>
      </c>
      <c r="W1010" s="65" t="s">
        <v>4</v>
      </c>
      <c r="X1010" s="65" t="s">
        <v>912</v>
      </c>
      <c r="Y1010" s="65" t="s">
        <v>3057</v>
      </c>
      <c r="Z1010" s="65" t="s">
        <v>4</v>
      </c>
      <c r="AA1010" s="65" t="s">
        <v>912</v>
      </c>
    </row>
    <row r="1011" spans="1:27" ht="17.45" hidden="1" customHeight="1">
      <c r="A1011" s="100">
        <f>IF(priority(Main[[#This Row],[Comments]])&lt;&gt;0, priority(Main[[#This Row],[Comments]]),"")</f>
        <v>28</v>
      </c>
      <c r="B1011" s="77" t="s">
        <v>1017</v>
      </c>
      <c r="C1011" s="65" t="s">
        <v>4</v>
      </c>
      <c r="D1011" s="66" t="s">
        <v>2307</v>
      </c>
      <c r="E1011" s="67">
        <v>40603.481041666666</v>
      </c>
      <c r="F1011" s="67"/>
      <c r="G1011" s="64" t="str">
        <f>IF(stdProdLT(Main[[#This Row],[Comments]])=0.1,"N/A",IF(stdProdLT(Main[[#This Row],[Comments]])=0,"",stdProdLT(Main[[#This Row],[Comments]])))</f>
        <v/>
      </c>
      <c r="H1011" s="68" t="str">
        <f>IF(AND(Main[[#This Row],[In Stock Date]]&lt;&gt;"",Main[[#This Row],[Revised Due Date]]&lt;&gt;""),Main[[#This Row],[In Stock Date]]-Main[[#This Row],[Revised Due Date]],"")</f>
        <v/>
      </c>
      <c r="I1011" s="65" t="s">
        <v>912</v>
      </c>
      <c r="J1011" s="65" t="s">
        <v>52</v>
      </c>
      <c r="K1011" s="65" t="s">
        <v>1923</v>
      </c>
      <c r="L1011" s="67"/>
      <c r="M1011" s="69" t="str">
        <f>IF(Main[[#This Row],[Tech Start Date]]&lt;1/1/1990,"",IF(Main[[#This Row],[Class]]="C",WORKDAY(Main[[#This Row],[Tech Start Date]],9),IF(Main[[#This Row],[Class]]="B", WORKDAY(Main[[#This Row],[Tech Start Date]],6),IF(Main[[#This Row],[Class]]="A",WORKDAY(Main[[#This Row],[Tech Start Date]],2),""))))</f>
        <v/>
      </c>
      <c r="N1011" s="69" t="str">
        <f>IF(Main[[#This Row],[Tech Start Date]]&lt;1/1/1990,"",IF(Main[[#This Row],[Class]]="C",WORKDAY(Main[[#This Row],[Tech Start Date]],19),IF(Main[[#This Row],[Class]]="B", WORKDAY(Main[[#This Row],[Tech Start Date]],12),IF(Main[[#This Row],[Class]]="A",WORKDAY(Main[[#This Row],[Tech Start Date]],4),""))))</f>
        <v/>
      </c>
      <c r="O1011" s="69" t="str">
        <f>IF(Main[[#This Row],[Tech Start Date]]&lt;1/1/1990,"",IF(Main[[#This Row],[Class]]="C",WORKDAY(Main[[#This Row],[Tech Start Date]],23),IF(Main[[#This Row],[Class]]="B", WORKDAY(Main[[#This Row],[Tech Start Date]],15),IF(Main[[#This Row],[Class]]="A",WORKDAY(Main[[#This Row],[Tech Start Date]],5),""))))</f>
        <v/>
      </c>
      <c r="P1011" s="69" t="str">
        <f>IF(Main[[#This Row],[Tech Start Date]]&lt;1/1/1990,"",IF(Main[[#This Row],[Class]]="C",WORKDAY(Main[[#This Row],[Tech Start Date]],28),IF(Main[[#This Row],[Class]]="B", WORKDAY(Main[[#This Row],[Tech Start Date]],19),IF(Main[[#This Row],[Class]]="A",WORKDAY(Main[[#This Row],[Tech Start Date]],9),""))))</f>
        <v/>
      </c>
      <c r="Q1011" s="67">
        <v>40637</v>
      </c>
      <c r="R1011" s="67"/>
      <c r="S1011" s="65" t="s">
        <v>6</v>
      </c>
      <c r="T1011" s="70" t="s">
        <v>2655</v>
      </c>
      <c r="U1011" s="65" t="s">
        <v>29</v>
      </c>
      <c r="V1011" s="65" t="s">
        <v>1914</v>
      </c>
      <c r="W1011" s="65" t="s">
        <v>1916</v>
      </c>
      <c r="X1011" s="65" t="s">
        <v>2822</v>
      </c>
      <c r="Y1011" s="65" t="s">
        <v>2938</v>
      </c>
      <c r="Z1011" s="65" t="s">
        <v>129</v>
      </c>
      <c r="AA1011" s="65" t="s">
        <v>2822</v>
      </c>
    </row>
    <row r="1012" spans="1:27" ht="17.45" hidden="1" customHeight="1">
      <c r="A1012" s="100" t="str">
        <f>IF(priority(Main[[#This Row],[Comments]])&lt;&gt;0, priority(Main[[#This Row],[Comments]]),"")</f>
        <v/>
      </c>
      <c r="B1012" s="77" t="s">
        <v>1636</v>
      </c>
      <c r="C1012" s="65" t="s">
        <v>4</v>
      </c>
      <c r="D1012" s="66" t="s">
        <v>707</v>
      </c>
      <c r="E1012" s="67">
        <v>40634.328217592592</v>
      </c>
      <c r="F1012" s="67"/>
      <c r="G1012" s="64" t="str">
        <f>IF(stdProdLT(Main[[#This Row],[Comments]])=0.1,"N/A",IF(stdProdLT(Main[[#This Row],[Comments]])=0,"",stdProdLT(Main[[#This Row],[Comments]])))</f>
        <v/>
      </c>
      <c r="H1012" s="68" t="str">
        <f>IF(AND(Main[[#This Row],[In Stock Date]]&lt;&gt;"",Main[[#This Row],[Revised Due Date]]&lt;&gt;""),Main[[#This Row],[In Stock Date]]-Main[[#This Row],[Revised Due Date]],"")</f>
        <v/>
      </c>
      <c r="I1012" s="65" t="s">
        <v>912</v>
      </c>
      <c r="J1012" s="65" t="s">
        <v>4</v>
      </c>
      <c r="K1012" s="65" t="s">
        <v>4</v>
      </c>
      <c r="L1012" s="67"/>
      <c r="M1012" s="69" t="str">
        <f>IF(Main[[#This Row],[Tech Start Date]]&lt;1/1/1990,"",IF(Main[[#This Row],[Class]]="C",WORKDAY(Main[[#This Row],[Tech Start Date]],9),IF(Main[[#This Row],[Class]]="B", WORKDAY(Main[[#This Row],[Tech Start Date]],6),IF(Main[[#This Row],[Class]]="A",WORKDAY(Main[[#This Row],[Tech Start Date]],2),""))))</f>
        <v/>
      </c>
      <c r="N1012" s="69" t="str">
        <f>IF(Main[[#This Row],[Tech Start Date]]&lt;1/1/1990,"",IF(Main[[#This Row],[Class]]="C",WORKDAY(Main[[#This Row],[Tech Start Date]],19),IF(Main[[#This Row],[Class]]="B", WORKDAY(Main[[#This Row],[Tech Start Date]],12),IF(Main[[#This Row],[Class]]="A",WORKDAY(Main[[#This Row],[Tech Start Date]],4),""))))</f>
        <v/>
      </c>
      <c r="O1012" s="69" t="str">
        <f>IF(Main[[#This Row],[Tech Start Date]]&lt;1/1/1990,"",IF(Main[[#This Row],[Class]]="C",WORKDAY(Main[[#This Row],[Tech Start Date]],23),IF(Main[[#This Row],[Class]]="B", WORKDAY(Main[[#This Row],[Tech Start Date]],15),IF(Main[[#This Row],[Class]]="A",WORKDAY(Main[[#This Row],[Tech Start Date]],5),""))))</f>
        <v/>
      </c>
      <c r="P1012" s="69" t="str">
        <f>IF(Main[[#This Row],[Tech Start Date]]&lt;1/1/1990,"",IF(Main[[#This Row],[Class]]="C",WORKDAY(Main[[#This Row],[Tech Start Date]],28),IF(Main[[#This Row],[Class]]="B", WORKDAY(Main[[#This Row],[Tech Start Date]],19),IF(Main[[#This Row],[Class]]="A",WORKDAY(Main[[#This Row],[Tech Start Date]],9),""))))</f>
        <v/>
      </c>
      <c r="Q1012" s="67"/>
      <c r="R1012" s="67"/>
      <c r="S1012" s="65" t="s">
        <v>6</v>
      </c>
      <c r="T1012" s="70" t="s">
        <v>4</v>
      </c>
      <c r="U1012" s="65" t="s">
        <v>7</v>
      </c>
      <c r="V1012" s="65" t="s">
        <v>1914</v>
      </c>
      <c r="W1012" s="65" t="s">
        <v>1918</v>
      </c>
      <c r="X1012" s="65" t="s">
        <v>399</v>
      </c>
      <c r="Y1012" s="65" t="s">
        <v>4</v>
      </c>
      <c r="Z1012" s="65" t="s">
        <v>4</v>
      </c>
      <c r="AA1012" s="65" t="s">
        <v>3456</v>
      </c>
    </row>
    <row r="1013" spans="1:27" ht="17.45" hidden="1" customHeight="1">
      <c r="A1013" s="100" t="str">
        <f>IF(priority(Main[[#This Row],[Comments]])&lt;&gt;0, priority(Main[[#This Row],[Comments]]),"")</f>
        <v/>
      </c>
      <c r="B1013" s="77" t="s">
        <v>1835</v>
      </c>
      <c r="C1013" s="65" t="s">
        <v>4</v>
      </c>
      <c r="D1013" s="66" t="s">
        <v>890</v>
      </c>
      <c r="E1013" s="67">
        <v>40351.730219907404</v>
      </c>
      <c r="F1013" s="67"/>
      <c r="G1013" s="64" t="str">
        <f>IF(stdProdLT(Main[[#This Row],[Comments]])=0.1,"N/A",IF(stdProdLT(Main[[#This Row],[Comments]])=0,"",stdProdLT(Main[[#This Row],[Comments]])))</f>
        <v/>
      </c>
      <c r="H1013" s="68" t="str">
        <f>IF(AND(Main[[#This Row],[In Stock Date]]&lt;&gt;"",Main[[#This Row],[Revised Due Date]]&lt;&gt;""),Main[[#This Row],[In Stock Date]]-Main[[#This Row],[Revised Due Date]],"")</f>
        <v/>
      </c>
      <c r="I1013" s="65" t="s">
        <v>2053</v>
      </c>
      <c r="J1013" s="65" t="s">
        <v>28</v>
      </c>
      <c r="K1013" s="65" t="s">
        <v>1926</v>
      </c>
      <c r="L1013" s="67"/>
      <c r="M1013" s="69" t="str">
        <f>IF(Main[[#This Row],[Tech Start Date]]&lt;1/1/1990,"",IF(Main[[#This Row],[Class]]="C",WORKDAY(Main[[#This Row],[Tech Start Date]],9),IF(Main[[#This Row],[Class]]="B", WORKDAY(Main[[#This Row],[Tech Start Date]],6),IF(Main[[#This Row],[Class]]="A",WORKDAY(Main[[#This Row],[Tech Start Date]],2),""))))</f>
        <v/>
      </c>
      <c r="N1013" s="69" t="str">
        <f>IF(Main[[#This Row],[Tech Start Date]]&lt;1/1/1990,"",IF(Main[[#This Row],[Class]]="C",WORKDAY(Main[[#This Row],[Tech Start Date]],19),IF(Main[[#This Row],[Class]]="B", WORKDAY(Main[[#This Row],[Tech Start Date]],12),IF(Main[[#This Row],[Class]]="A",WORKDAY(Main[[#This Row],[Tech Start Date]],4),""))))</f>
        <v/>
      </c>
      <c r="O1013" s="69" t="str">
        <f>IF(Main[[#This Row],[Tech Start Date]]&lt;1/1/1990,"",IF(Main[[#This Row],[Class]]="C",WORKDAY(Main[[#This Row],[Tech Start Date]],23),IF(Main[[#This Row],[Class]]="B", WORKDAY(Main[[#This Row],[Tech Start Date]],15),IF(Main[[#This Row],[Class]]="A",WORKDAY(Main[[#This Row],[Tech Start Date]],5),""))))</f>
        <v/>
      </c>
      <c r="P1013" s="69" t="str">
        <f>IF(Main[[#This Row],[Tech Start Date]]&lt;1/1/1990,"",IF(Main[[#This Row],[Class]]="C",WORKDAY(Main[[#This Row],[Tech Start Date]],28),IF(Main[[#This Row],[Class]]="B", WORKDAY(Main[[#This Row],[Tech Start Date]],19),IF(Main[[#This Row],[Class]]="A",WORKDAY(Main[[#This Row],[Tech Start Date]],9),""))))</f>
        <v/>
      </c>
      <c r="Q1013" s="67">
        <v>40906</v>
      </c>
      <c r="R1013" s="67">
        <v>40436</v>
      </c>
      <c r="S1013" s="65" t="s">
        <v>17</v>
      </c>
      <c r="T1013" s="70" t="s">
        <v>4</v>
      </c>
      <c r="U1013" s="65" t="s">
        <v>29</v>
      </c>
      <c r="V1013" s="65" t="s">
        <v>1915</v>
      </c>
      <c r="W1013" s="65" t="s">
        <v>1919</v>
      </c>
      <c r="X1013" s="65" t="s">
        <v>2862</v>
      </c>
      <c r="Y1013" s="65" t="s">
        <v>3006</v>
      </c>
      <c r="Z1013" s="65" t="s">
        <v>108</v>
      </c>
      <c r="AA1013" s="65" t="s">
        <v>2862</v>
      </c>
    </row>
    <row r="1014" spans="1:27" ht="17.45" hidden="1" customHeight="1">
      <c r="A1014" s="100" t="str">
        <f>IF(priority(Main[[#This Row],[Comments]])&lt;&gt;0, priority(Main[[#This Row],[Comments]]),"")</f>
        <v/>
      </c>
      <c r="B1014" s="77" t="s">
        <v>3213</v>
      </c>
      <c r="C1014" s="65" t="s">
        <v>4</v>
      </c>
      <c r="D1014" s="66" t="s">
        <v>3649</v>
      </c>
      <c r="E1014" s="67">
        <v>40921.629143518519</v>
      </c>
      <c r="F1014" s="67"/>
      <c r="G1014" s="64" t="str">
        <f>IF(stdProdLT(Main[[#This Row],[Comments]])=0.1,"N/A",IF(stdProdLT(Main[[#This Row],[Comments]])=0,"",stdProdLT(Main[[#This Row],[Comments]])))</f>
        <v/>
      </c>
      <c r="H1014" s="68" t="str">
        <f>IF(AND(Main[[#This Row],[In Stock Date]]&lt;&gt;"",Main[[#This Row],[Revised Due Date]]&lt;&gt;""),Main[[#This Row],[In Stock Date]]-Main[[#This Row],[Revised Due Date]],"")</f>
        <v/>
      </c>
      <c r="I1014" s="65" t="s">
        <v>2051</v>
      </c>
      <c r="J1014" s="65" t="s">
        <v>28</v>
      </c>
      <c r="K1014" s="65" t="s">
        <v>1923</v>
      </c>
      <c r="L1014" s="67"/>
      <c r="M1014" s="69" t="str">
        <f>IF(Main[[#This Row],[Tech Start Date]]&lt;1/1/1990,"",IF(Main[[#This Row],[Class]]="C",WORKDAY(Main[[#This Row],[Tech Start Date]],9),IF(Main[[#This Row],[Class]]="B", WORKDAY(Main[[#This Row],[Tech Start Date]],6),IF(Main[[#This Row],[Class]]="A",WORKDAY(Main[[#This Row],[Tech Start Date]],2),""))))</f>
        <v/>
      </c>
      <c r="N1014" s="69" t="str">
        <f>IF(Main[[#This Row],[Tech Start Date]]&lt;1/1/1990,"",IF(Main[[#This Row],[Class]]="C",WORKDAY(Main[[#This Row],[Tech Start Date]],19),IF(Main[[#This Row],[Class]]="B", WORKDAY(Main[[#This Row],[Tech Start Date]],12),IF(Main[[#This Row],[Class]]="A",WORKDAY(Main[[#This Row],[Tech Start Date]],4),""))))</f>
        <v/>
      </c>
      <c r="O1014" s="69" t="str">
        <f>IF(Main[[#This Row],[Tech Start Date]]&lt;1/1/1990,"",IF(Main[[#This Row],[Class]]="C",WORKDAY(Main[[#This Row],[Tech Start Date]],23),IF(Main[[#This Row],[Class]]="B", WORKDAY(Main[[#This Row],[Tech Start Date]],15),IF(Main[[#This Row],[Class]]="A",WORKDAY(Main[[#This Row],[Tech Start Date]],5),""))))</f>
        <v/>
      </c>
      <c r="P1014" s="69" t="str">
        <f>IF(Main[[#This Row],[Tech Start Date]]&lt;1/1/1990,"",IF(Main[[#This Row],[Class]]="C",WORKDAY(Main[[#This Row],[Tech Start Date]],28),IF(Main[[#This Row],[Class]]="B", WORKDAY(Main[[#This Row],[Tech Start Date]],19),IF(Main[[#This Row],[Class]]="A",WORKDAY(Main[[#This Row],[Tech Start Date]],9),""))))</f>
        <v/>
      </c>
      <c r="Q1014" s="67"/>
      <c r="R1014" s="67"/>
      <c r="S1014" s="65" t="s">
        <v>6</v>
      </c>
      <c r="T1014" s="70" t="s">
        <v>4</v>
      </c>
      <c r="U1014" s="65" t="s">
        <v>29</v>
      </c>
      <c r="V1014" s="65" t="s">
        <v>1924</v>
      </c>
      <c r="W1014" s="65" t="s">
        <v>1918</v>
      </c>
      <c r="X1014" s="65" t="s">
        <v>306</v>
      </c>
      <c r="Y1014" s="65" t="s">
        <v>4</v>
      </c>
      <c r="Z1014" s="65" t="s">
        <v>30</v>
      </c>
      <c r="AA1014" s="65" t="s">
        <v>4</v>
      </c>
    </row>
    <row r="1015" spans="1:27" ht="17.45" hidden="1" customHeight="1">
      <c r="A1015" s="100" t="str">
        <f>IF(priority(Main[[#This Row],[Comments]])&lt;&gt;0, priority(Main[[#This Row],[Comments]]),"")</f>
        <v/>
      </c>
      <c r="B1015" s="77" t="s">
        <v>3650</v>
      </c>
      <c r="C1015" s="65" t="s">
        <v>4</v>
      </c>
      <c r="D1015" s="66" t="s">
        <v>3651</v>
      </c>
      <c r="E1015" s="67">
        <v>40962.575243055559</v>
      </c>
      <c r="F1015" s="67"/>
      <c r="G1015" s="64" t="str">
        <f>IF(stdProdLT(Main[[#This Row],[Comments]])=0.1,"N/A",IF(stdProdLT(Main[[#This Row],[Comments]])=0,"",stdProdLT(Main[[#This Row],[Comments]])))</f>
        <v/>
      </c>
      <c r="H1015" s="68" t="str">
        <f>IF(AND(Main[[#This Row],[In Stock Date]]&lt;&gt;"",Main[[#This Row],[Revised Due Date]]&lt;&gt;""),Main[[#This Row],[In Stock Date]]-Main[[#This Row],[Revised Due Date]],"")</f>
        <v/>
      </c>
      <c r="I1015" s="65" t="s">
        <v>2051</v>
      </c>
      <c r="J1015" s="65" t="s">
        <v>28</v>
      </c>
      <c r="K1015" s="65" t="s">
        <v>4</v>
      </c>
      <c r="L1015" s="67"/>
      <c r="M1015" s="69" t="str">
        <f>IF(Main[[#This Row],[Tech Start Date]]&lt;1/1/1990,"",IF(Main[[#This Row],[Class]]="C",WORKDAY(Main[[#This Row],[Tech Start Date]],9),IF(Main[[#This Row],[Class]]="B", WORKDAY(Main[[#This Row],[Tech Start Date]],6),IF(Main[[#This Row],[Class]]="A",WORKDAY(Main[[#This Row],[Tech Start Date]],2),""))))</f>
        <v/>
      </c>
      <c r="N1015" s="69" t="str">
        <f>IF(Main[[#This Row],[Tech Start Date]]&lt;1/1/1990,"",IF(Main[[#This Row],[Class]]="C",WORKDAY(Main[[#This Row],[Tech Start Date]],19),IF(Main[[#This Row],[Class]]="B", WORKDAY(Main[[#This Row],[Tech Start Date]],12),IF(Main[[#This Row],[Class]]="A",WORKDAY(Main[[#This Row],[Tech Start Date]],4),""))))</f>
        <v/>
      </c>
      <c r="O1015" s="69" t="str">
        <f>IF(Main[[#This Row],[Tech Start Date]]&lt;1/1/1990,"",IF(Main[[#This Row],[Class]]="C",WORKDAY(Main[[#This Row],[Tech Start Date]],23),IF(Main[[#This Row],[Class]]="B", WORKDAY(Main[[#This Row],[Tech Start Date]],15),IF(Main[[#This Row],[Class]]="A",WORKDAY(Main[[#This Row],[Tech Start Date]],5),""))))</f>
        <v/>
      </c>
      <c r="P1015" s="69" t="str">
        <f>IF(Main[[#This Row],[Tech Start Date]]&lt;1/1/1990,"",IF(Main[[#This Row],[Class]]="C",WORKDAY(Main[[#This Row],[Tech Start Date]],28),IF(Main[[#This Row],[Class]]="B", WORKDAY(Main[[#This Row],[Tech Start Date]],19),IF(Main[[#This Row],[Class]]="A",WORKDAY(Main[[#This Row],[Tech Start Date]],9),""))))</f>
        <v/>
      </c>
      <c r="Q1015" s="67">
        <v>40998</v>
      </c>
      <c r="R1015" s="67"/>
      <c r="S1015" s="65" t="s">
        <v>6</v>
      </c>
      <c r="T1015" s="70" t="s">
        <v>4</v>
      </c>
      <c r="U1015" s="65" t="s">
        <v>29</v>
      </c>
      <c r="V1015" s="65" t="s">
        <v>1924</v>
      </c>
      <c r="W1015" s="65" t="s">
        <v>1918</v>
      </c>
      <c r="X1015" s="65" t="s">
        <v>2818</v>
      </c>
      <c r="Y1015" s="65" t="s">
        <v>2929</v>
      </c>
      <c r="Z1015" s="65" t="s">
        <v>30</v>
      </c>
      <c r="AA1015" s="65" t="s">
        <v>2818</v>
      </c>
    </row>
    <row r="1016" spans="1:27" ht="17.45" hidden="1" customHeight="1">
      <c r="A1016" s="100" t="str">
        <f>IF(priority(Main[[#This Row],[Comments]])&lt;&gt;0, priority(Main[[#This Row],[Comments]]),"")</f>
        <v/>
      </c>
      <c r="B1016" s="77" t="s">
        <v>2402</v>
      </c>
      <c r="C1016" s="65" t="s">
        <v>4</v>
      </c>
      <c r="D1016" s="66" t="s">
        <v>2403</v>
      </c>
      <c r="E1016" s="67">
        <v>40820.81591435185</v>
      </c>
      <c r="F1016" s="67"/>
      <c r="G1016" s="64" t="str">
        <f>IF(stdProdLT(Main[[#This Row],[Comments]])=0.1,"N/A",IF(stdProdLT(Main[[#This Row],[Comments]])=0,"",stdProdLT(Main[[#This Row],[Comments]])))</f>
        <v/>
      </c>
      <c r="H1016" s="68" t="str">
        <f>IF(AND(Main[[#This Row],[In Stock Date]]&lt;&gt;"",Main[[#This Row],[Revised Due Date]]&lt;&gt;""),Main[[#This Row],[In Stock Date]]-Main[[#This Row],[Revised Due Date]],"")</f>
        <v/>
      </c>
      <c r="I1016" s="65" t="s">
        <v>239</v>
      </c>
      <c r="J1016" s="65" t="s">
        <v>28</v>
      </c>
      <c r="K1016" s="65" t="s">
        <v>1923</v>
      </c>
      <c r="L1016" s="67"/>
      <c r="M1016" s="69" t="str">
        <f>IF(Main[[#This Row],[Tech Start Date]]&lt;1/1/1990,"",IF(Main[[#This Row],[Class]]="C",WORKDAY(Main[[#This Row],[Tech Start Date]],9),IF(Main[[#This Row],[Class]]="B", WORKDAY(Main[[#This Row],[Tech Start Date]],6),IF(Main[[#This Row],[Class]]="A",WORKDAY(Main[[#This Row],[Tech Start Date]],2),""))))</f>
        <v/>
      </c>
      <c r="N1016" s="69" t="str">
        <f>IF(Main[[#This Row],[Tech Start Date]]&lt;1/1/1990,"",IF(Main[[#This Row],[Class]]="C",WORKDAY(Main[[#This Row],[Tech Start Date]],19),IF(Main[[#This Row],[Class]]="B", WORKDAY(Main[[#This Row],[Tech Start Date]],12),IF(Main[[#This Row],[Class]]="A",WORKDAY(Main[[#This Row],[Tech Start Date]],4),""))))</f>
        <v/>
      </c>
      <c r="O1016" s="69" t="str">
        <f>IF(Main[[#This Row],[Tech Start Date]]&lt;1/1/1990,"",IF(Main[[#This Row],[Class]]="C",WORKDAY(Main[[#This Row],[Tech Start Date]],23),IF(Main[[#This Row],[Class]]="B", WORKDAY(Main[[#This Row],[Tech Start Date]],15),IF(Main[[#This Row],[Class]]="A",WORKDAY(Main[[#This Row],[Tech Start Date]],5),""))))</f>
        <v/>
      </c>
      <c r="P1016" s="69" t="str">
        <f>IF(Main[[#This Row],[Tech Start Date]]&lt;1/1/1990,"",IF(Main[[#This Row],[Class]]="C",WORKDAY(Main[[#This Row],[Tech Start Date]],28),IF(Main[[#This Row],[Class]]="B", WORKDAY(Main[[#This Row],[Tech Start Date]],19),IF(Main[[#This Row],[Class]]="A",WORKDAY(Main[[#This Row],[Tech Start Date]],9),""))))</f>
        <v/>
      </c>
      <c r="Q1016" s="67">
        <v>40847</v>
      </c>
      <c r="R1016" s="67"/>
      <c r="S1016" s="65" t="s">
        <v>6</v>
      </c>
      <c r="T1016" s="70" t="s">
        <v>4</v>
      </c>
      <c r="U1016" s="65" t="s">
        <v>29</v>
      </c>
      <c r="V1016" s="65" t="s">
        <v>1917</v>
      </c>
      <c r="W1016" s="65" t="s">
        <v>1918</v>
      </c>
      <c r="X1016" s="65" t="s">
        <v>30</v>
      </c>
      <c r="Y1016" s="65" t="s">
        <v>2940</v>
      </c>
      <c r="Z1016" s="65" t="s">
        <v>30</v>
      </c>
      <c r="AA1016" s="65" t="s">
        <v>30</v>
      </c>
    </row>
    <row r="1017" spans="1:27" ht="17.45" hidden="1" customHeight="1">
      <c r="A1017" s="100" t="str">
        <f>IF(priority(Main[[#This Row],[Comments]])&lt;&gt;0, priority(Main[[#This Row],[Comments]]),"")</f>
        <v/>
      </c>
      <c r="B1017" s="77" t="s">
        <v>3652</v>
      </c>
      <c r="C1017" s="65" t="s">
        <v>3599</v>
      </c>
      <c r="D1017" s="66" t="s">
        <v>3600</v>
      </c>
      <c r="E1017" s="67"/>
      <c r="F1017" s="67">
        <v>40982</v>
      </c>
      <c r="G1017" s="64" t="str">
        <f>IF(stdProdLT(Main[[#This Row],[Comments]])=0.1,"N/A",IF(stdProdLT(Main[[#This Row],[Comments]])=0,"",stdProdLT(Main[[#This Row],[Comments]])))</f>
        <v/>
      </c>
      <c r="H1017" s="68" t="str">
        <f>IF(AND(Main[[#This Row],[In Stock Date]]&lt;&gt;"",Main[[#This Row],[Revised Due Date]]&lt;&gt;""),Main[[#This Row],[In Stock Date]]-Main[[#This Row],[Revised Due Date]],"")</f>
        <v/>
      </c>
      <c r="I1017" s="65" t="s">
        <v>4</v>
      </c>
      <c r="J1017" s="65" t="s">
        <v>4</v>
      </c>
      <c r="K1017" s="65" t="s">
        <v>4</v>
      </c>
      <c r="L1017" s="67"/>
      <c r="M1017" s="69" t="str">
        <f>IF(Main[[#This Row],[Tech Start Date]]&lt;1/1/1990,"",IF(Main[[#This Row],[Class]]="C",WORKDAY(Main[[#This Row],[Tech Start Date]],9),IF(Main[[#This Row],[Class]]="B", WORKDAY(Main[[#This Row],[Tech Start Date]],6),IF(Main[[#This Row],[Class]]="A",WORKDAY(Main[[#This Row],[Tech Start Date]],2),""))))</f>
        <v/>
      </c>
      <c r="N1017" s="69" t="str">
        <f>IF(Main[[#This Row],[Tech Start Date]]&lt;1/1/1990,"",IF(Main[[#This Row],[Class]]="C",WORKDAY(Main[[#This Row],[Tech Start Date]],19),IF(Main[[#This Row],[Class]]="B", WORKDAY(Main[[#This Row],[Tech Start Date]],12),IF(Main[[#This Row],[Class]]="A",WORKDAY(Main[[#This Row],[Tech Start Date]],4),""))))</f>
        <v/>
      </c>
      <c r="O1017" s="69" t="str">
        <f>IF(Main[[#This Row],[Tech Start Date]]&lt;1/1/1990,"",IF(Main[[#This Row],[Class]]="C",WORKDAY(Main[[#This Row],[Tech Start Date]],23),IF(Main[[#This Row],[Class]]="B", WORKDAY(Main[[#This Row],[Tech Start Date]],15),IF(Main[[#This Row],[Class]]="A",WORKDAY(Main[[#This Row],[Tech Start Date]],5),""))))</f>
        <v/>
      </c>
      <c r="P1017" s="69" t="str">
        <f>IF(Main[[#This Row],[Tech Start Date]]&lt;1/1/1990,"",IF(Main[[#This Row],[Class]]="C",WORKDAY(Main[[#This Row],[Tech Start Date]],28),IF(Main[[#This Row],[Class]]="B", WORKDAY(Main[[#This Row],[Tech Start Date]],19),IF(Main[[#This Row],[Class]]="A",WORKDAY(Main[[#This Row],[Tech Start Date]],9),""))))</f>
        <v/>
      </c>
      <c r="Q1017" s="67"/>
      <c r="R1017" s="67"/>
      <c r="S1017" s="65" t="s">
        <v>11</v>
      </c>
      <c r="T1017" s="70" t="s">
        <v>4</v>
      </c>
      <c r="U1017" s="65" t="s">
        <v>12</v>
      </c>
      <c r="V1017" s="65" t="s">
        <v>1917</v>
      </c>
      <c r="W1017" s="65" t="s">
        <v>1919</v>
      </c>
      <c r="X1017" s="65" t="s">
        <v>2834</v>
      </c>
      <c r="Y1017" s="65" t="s">
        <v>3591</v>
      </c>
      <c r="Z1017" s="65" t="s">
        <v>4</v>
      </c>
      <c r="AA1017" s="65" t="s">
        <v>2834</v>
      </c>
    </row>
    <row r="1018" spans="1:27" ht="17.45" hidden="1" customHeight="1">
      <c r="A1018" s="100" t="str">
        <f>IF(priority(Main[[#This Row],[Comments]])&lt;&gt;0, priority(Main[[#This Row],[Comments]]),"")</f>
        <v/>
      </c>
      <c r="B1018" s="77" t="s">
        <v>1867</v>
      </c>
      <c r="C1018" s="65" t="s">
        <v>4</v>
      </c>
      <c r="D1018" s="66" t="s">
        <v>924</v>
      </c>
      <c r="E1018" s="67">
        <v>39968.4141087963</v>
      </c>
      <c r="F1018" s="67">
        <v>40298</v>
      </c>
      <c r="G1018" s="64" t="str">
        <f>IF(stdProdLT(Main[[#This Row],[Comments]])=0.1,"N/A",IF(stdProdLT(Main[[#This Row],[Comments]])=0,"",stdProdLT(Main[[#This Row],[Comments]])))</f>
        <v/>
      </c>
      <c r="H1018" s="68">
        <f>IF(AND(Main[[#This Row],[In Stock Date]]&lt;&gt;"",Main[[#This Row],[Revised Due Date]]&lt;&gt;""),Main[[#This Row],[In Stock Date]]-Main[[#This Row],[Revised Due Date]],"")</f>
        <v>-697</v>
      </c>
      <c r="I1018" s="65" t="s">
        <v>974</v>
      </c>
      <c r="J1018" s="65" t="s">
        <v>4</v>
      </c>
      <c r="K1018" s="65" t="s">
        <v>1926</v>
      </c>
      <c r="L1018" s="67"/>
      <c r="M1018" s="69" t="str">
        <f>IF(Main[[#This Row],[Tech Start Date]]&lt;1/1/1990,"",IF(Main[[#This Row],[Class]]="C",WORKDAY(Main[[#This Row],[Tech Start Date]],9),IF(Main[[#This Row],[Class]]="B", WORKDAY(Main[[#This Row],[Tech Start Date]],6),IF(Main[[#This Row],[Class]]="A",WORKDAY(Main[[#This Row],[Tech Start Date]],2),""))))</f>
        <v/>
      </c>
      <c r="N1018" s="69" t="str">
        <f>IF(Main[[#This Row],[Tech Start Date]]&lt;1/1/1990,"",IF(Main[[#This Row],[Class]]="C",WORKDAY(Main[[#This Row],[Tech Start Date]],19),IF(Main[[#This Row],[Class]]="B", WORKDAY(Main[[#This Row],[Tech Start Date]],12),IF(Main[[#This Row],[Class]]="A",WORKDAY(Main[[#This Row],[Tech Start Date]],4),""))))</f>
        <v/>
      </c>
      <c r="O1018" s="69" t="str">
        <f>IF(Main[[#This Row],[Tech Start Date]]&lt;1/1/1990,"",IF(Main[[#This Row],[Class]]="C",WORKDAY(Main[[#This Row],[Tech Start Date]],23),IF(Main[[#This Row],[Class]]="B", WORKDAY(Main[[#This Row],[Tech Start Date]],15),IF(Main[[#This Row],[Class]]="A",WORKDAY(Main[[#This Row],[Tech Start Date]],5),""))))</f>
        <v/>
      </c>
      <c r="P1018" s="69" t="str">
        <f>IF(Main[[#This Row],[Tech Start Date]]&lt;1/1/1990,"",IF(Main[[#This Row],[Class]]="C",WORKDAY(Main[[#This Row],[Tech Start Date]],28),IF(Main[[#This Row],[Class]]="B", WORKDAY(Main[[#This Row],[Tech Start Date]],19),IF(Main[[#This Row],[Class]]="A",WORKDAY(Main[[#This Row],[Tech Start Date]],9),""))))</f>
        <v/>
      </c>
      <c r="Q1018" s="67">
        <v>40165</v>
      </c>
      <c r="R1018" s="67">
        <v>40995</v>
      </c>
      <c r="S1018" s="65" t="s">
        <v>17</v>
      </c>
      <c r="T1018" s="70" t="s">
        <v>4</v>
      </c>
      <c r="U1018" s="65" t="s">
        <v>29</v>
      </c>
      <c r="V1018" s="65" t="s">
        <v>1917</v>
      </c>
      <c r="W1018" s="65" t="s">
        <v>1922</v>
      </c>
      <c r="X1018" s="65" t="s">
        <v>968</v>
      </c>
      <c r="Y1018" s="65" t="s">
        <v>3115</v>
      </c>
      <c r="Z1018" s="65" t="s">
        <v>415</v>
      </c>
      <c r="AA1018" s="65" t="s">
        <v>968</v>
      </c>
    </row>
    <row r="1019" spans="1:27" ht="17.45" hidden="1" customHeight="1">
      <c r="A1019" s="100" t="str">
        <f>IF(priority(Main[[#This Row],[Comments]])&lt;&gt;0, priority(Main[[#This Row],[Comments]]),"")</f>
        <v/>
      </c>
      <c r="B1019" s="77" t="s">
        <v>2289</v>
      </c>
      <c r="C1019" s="65" t="s">
        <v>67</v>
      </c>
      <c r="D1019" s="66" t="s">
        <v>2285</v>
      </c>
      <c r="E1019" s="67">
        <v>40813.66920138889</v>
      </c>
      <c r="F1019" s="67">
        <v>41075</v>
      </c>
      <c r="G1019" s="64" t="str">
        <f>IF(stdProdLT(Main[[#This Row],[Comments]])=0.1,"N/A",IF(stdProdLT(Main[[#This Row],[Comments]])=0,"",stdProdLT(Main[[#This Row],[Comments]])))</f>
        <v/>
      </c>
      <c r="H1019" s="68" t="str">
        <f>IF(AND(Main[[#This Row],[In Stock Date]]&lt;&gt;"",Main[[#This Row],[Revised Due Date]]&lt;&gt;""),Main[[#This Row],[In Stock Date]]-Main[[#This Row],[Revised Due Date]],"")</f>
        <v/>
      </c>
      <c r="I1019" s="65" t="s">
        <v>239</v>
      </c>
      <c r="J1019" s="65" t="s">
        <v>28</v>
      </c>
      <c r="K1019" s="65" t="s">
        <v>1926</v>
      </c>
      <c r="L1019" s="67"/>
      <c r="M1019" s="69" t="str">
        <f>IF(Main[[#This Row],[Tech Start Date]]&lt;1/1/1990,"",IF(Main[[#This Row],[Class]]="C",WORKDAY(Main[[#This Row],[Tech Start Date]],9),IF(Main[[#This Row],[Class]]="B", WORKDAY(Main[[#This Row],[Tech Start Date]],6),IF(Main[[#This Row],[Class]]="A",WORKDAY(Main[[#This Row],[Tech Start Date]],2),""))))</f>
        <v/>
      </c>
      <c r="N1019" s="69" t="str">
        <f>IF(Main[[#This Row],[Tech Start Date]]&lt;1/1/1990,"",IF(Main[[#This Row],[Class]]="C",WORKDAY(Main[[#This Row],[Tech Start Date]],19),IF(Main[[#This Row],[Class]]="B", WORKDAY(Main[[#This Row],[Tech Start Date]],12),IF(Main[[#This Row],[Class]]="A",WORKDAY(Main[[#This Row],[Tech Start Date]],4),""))))</f>
        <v/>
      </c>
      <c r="O1019" s="69" t="str">
        <f>IF(Main[[#This Row],[Tech Start Date]]&lt;1/1/1990,"",IF(Main[[#This Row],[Class]]="C",WORKDAY(Main[[#This Row],[Tech Start Date]],23),IF(Main[[#This Row],[Class]]="B", WORKDAY(Main[[#This Row],[Tech Start Date]],15),IF(Main[[#This Row],[Class]]="A",WORKDAY(Main[[#This Row],[Tech Start Date]],5),""))))</f>
        <v/>
      </c>
      <c r="P1019" s="69" t="str">
        <f>IF(Main[[#This Row],[Tech Start Date]]&lt;1/1/1990,"",IF(Main[[#This Row],[Class]]="C",WORKDAY(Main[[#This Row],[Tech Start Date]],28),IF(Main[[#This Row],[Class]]="B", WORKDAY(Main[[#This Row],[Tech Start Date]],19),IF(Main[[#This Row],[Class]]="A",WORKDAY(Main[[#This Row],[Tech Start Date]],9),""))))</f>
        <v/>
      </c>
      <c r="Q1019" s="67">
        <v>41258</v>
      </c>
      <c r="R1019" s="67"/>
      <c r="S1019" s="65" t="s">
        <v>17</v>
      </c>
      <c r="T1019" s="70" t="s">
        <v>4</v>
      </c>
      <c r="U1019" s="65" t="s">
        <v>29</v>
      </c>
      <c r="V1019" s="65" t="s">
        <v>1924</v>
      </c>
      <c r="W1019" s="65" t="s">
        <v>1925</v>
      </c>
      <c r="X1019" s="65" t="s">
        <v>553</v>
      </c>
      <c r="Y1019" s="65" t="s">
        <v>2952</v>
      </c>
      <c r="Z1019" s="65" t="s">
        <v>239</v>
      </c>
      <c r="AA1019" s="65" t="s">
        <v>553</v>
      </c>
    </row>
    <row r="1020" spans="1:27" ht="17.45" hidden="1" customHeight="1">
      <c r="A1020" s="100" t="str">
        <f>IF(priority(Main[[#This Row],[Comments]])&lt;&gt;0, priority(Main[[#This Row],[Comments]]),"")</f>
        <v/>
      </c>
      <c r="B1020" s="77" t="s">
        <v>2159</v>
      </c>
      <c r="C1020" s="65" t="s">
        <v>2160</v>
      </c>
      <c r="D1020" s="66" t="s">
        <v>2341</v>
      </c>
      <c r="E1020" s="67">
        <v>40781.400787037041</v>
      </c>
      <c r="F1020" s="67"/>
      <c r="G1020" s="64" t="str">
        <f>IF(stdProdLT(Main[[#This Row],[Comments]])=0.1,"N/A",IF(stdProdLT(Main[[#This Row],[Comments]])=0,"",stdProdLT(Main[[#This Row],[Comments]])))</f>
        <v/>
      </c>
      <c r="H1020" s="68" t="str">
        <f>IF(AND(Main[[#This Row],[In Stock Date]]&lt;&gt;"",Main[[#This Row],[Revised Due Date]]&lt;&gt;""),Main[[#This Row],[In Stock Date]]-Main[[#This Row],[Revised Due Date]],"")</f>
        <v/>
      </c>
      <c r="I1020" s="65" t="s">
        <v>4</v>
      </c>
      <c r="J1020" s="65" t="s">
        <v>28</v>
      </c>
      <c r="K1020" s="65" t="s">
        <v>1923</v>
      </c>
      <c r="L1020" s="67"/>
      <c r="M1020" s="69" t="str">
        <f>IF(Main[[#This Row],[Tech Start Date]]&lt;1/1/1990,"",IF(Main[[#This Row],[Class]]="C",WORKDAY(Main[[#This Row],[Tech Start Date]],9),IF(Main[[#This Row],[Class]]="B", WORKDAY(Main[[#This Row],[Tech Start Date]],6),IF(Main[[#This Row],[Class]]="A",WORKDAY(Main[[#This Row],[Tech Start Date]],2),""))))</f>
        <v/>
      </c>
      <c r="N1020" s="69" t="str">
        <f>IF(Main[[#This Row],[Tech Start Date]]&lt;1/1/1990,"",IF(Main[[#This Row],[Class]]="C",WORKDAY(Main[[#This Row],[Tech Start Date]],19),IF(Main[[#This Row],[Class]]="B", WORKDAY(Main[[#This Row],[Tech Start Date]],12),IF(Main[[#This Row],[Class]]="A",WORKDAY(Main[[#This Row],[Tech Start Date]],4),""))))</f>
        <v/>
      </c>
      <c r="O1020" s="69" t="str">
        <f>IF(Main[[#This Row],[Tech Start Date]]&lt;1/1/1990,"",IF(Main[[#This Row],[Class]]="C",WORKDAY(Main[[#This Row],[Tech Start Date]],23),IF(Main[[#This Row],[Class]]="B", WORKDAY(Main[[#This Row],[Tech Start Date]],15),IF(Main[[#This Row],[Class]]="A",WORKDAY(Main[[#This Row],[Tech Start Date]],5),""))))</f>
        <v/>
      </c>
      <c r="P1020" s="69" t="str">
        <f>IF(Main[[#This Row],[Tech Start Date]]&lt;1/1/1990,"",IF(Main[[#This Row],[Class]]="C",WORKDAY(Main[[#This Row],[Tech Start Date]],28),IF(Main[[#This Row],[Class]]="B", WORKDAY(Main[[#This Row],[Tech Start Date]],19),IF(Main[[#This Row],[Class]]="A",WORKDAY(Main[[#This Row],[Tech Start Date]],9),""))))</f>
        <v/>
      </c>
      <c r="Q1020" s="67">
        <v>40836</v>
      </c>
      <c r="R1020" s="67"/>
      <c r="S1020" s="65" t="s">
        <v>6</v>
      </c>
      <c r="T1020" s="70" t="s">
        <v>4</v>
      </c>
      <c r="U1020" s="65" t="s">
        <v>29</v>
      </c>
      <c r="V1020" s="65" t="s">
        <v>1917</v>
      </c>
      <c r="W1020" s="65" t="s">
        <v>1918</v>
      </c>
      <c r="X1020" s="65" t="s">
        <v>2836</v>
      </c>
      <c r="Y1020" s="65" t="s">
        <v>2965</v>
      </c>
      <c r="Z1020" s="65" t="s">
        <v>30</v>
      </c>
      <c r="AA1020" s="65" t="s">
        <v>2836</v>
      </c>
    </row>
    <row r="1021" spans="1:27" ht="17.45" hidden="1" customHeight="1">
      <c r="A1021" s="100" t="str">
        <f>IF(priority(Main[[#This Row],[Comments]])&lt;&gt;0, priority(Main[[#This Row],[Comments]]),"")</f>
        <v/>
      </c>
      <c r="B1021" s="77" t="s">
        <v>2750</v>
      </c>
      <c r="C1021" s="65" t="s">
        <v>4</v>
      </c>
      <c r="D1021" s="66" t="s">
        <v>2751</v>
      </c>
      <c r="E1021" s="67">
        <v>40883.642361111109</v>
      </c>
      <c r="F1021" s="67"/>
      <c r="G1021" s="64" t="str">
        <f>IF(stdProdLT(Main[[#This Row],[Comments]])=0.1,"N/A",IF(stdProdLT(Main[[#This Row],[Comments]])=0,"",stdProdLT(Main[[#This Row],[Comments]])))</f>
        <v/>
      </c>
      <c r="H1021" s="68" t="str">
        <f>IF(AND(Main[[#This Row],[In Stock Date]]&lt;&gt;"",Main[[#This Row],[Revised Due Date]]&lt;&gt;""),Main[[#This Row],[In Stock Date]]-Main[[#This Row],[Revised Due Date]],"")</f>
        <v/>
      </c>
      <c r="I1021" s="65" t="s">
        <v>74</v>
      </c>
      <c r="J1021" s="65" t="s">
        <v>4</v>
      </c>
      <c r="K1021" s="65" t="s">
        <v>1926</v>
      </c>
      <c r="L1021" s="67"/>
      <c r="M1021" s="69" t="str">
        <f>IF(Main[[#This Row],[Tech Start Date]]&lt;1/1/1990,"",IF(Main[[#This Row],[Class]]="C",WORKDAY(Main[[#This Row],[Tech Start Date]],9),IF(Main[[#This Row],[Class]]="B", WORKDAY(Main[[#This Row],[Tech Start Date]],6),IF(Main[[#This Row],[Class]]="A",WORKDAY(Main[[#This Row],[Tech Start Date]],2),""))))</f>
        <v/>
      </c>
      <c r="N1021" s="69" t="str">
        <f>IF(Main[[#This Row],[Tech Start Date]]&lt;1/1/1990,"",IF(Main[[#This Row],[Class]]="C",WORKDAY(Main[[#This Row],[Tech Start Date]],19),IF(Main[[#This Row],[Class]]="B", WORKDAY(Main[[#This Row],[Tech Start Date]],12),IF(Main[[#This Row],[Class]]="A",WORKDAY(Main[[#This Row],[Tech Start Date]],4),""))))</f>
        <v/>
      </c>
      <c r="O1021" s="69" t="str">
        <f>IF(Main[[#This Row],[Tech Start Date]]&lt;1/1/1990,"",IF(Main[[#This Row],[Class]]="C",WORKDAY(Main[[#This Row],[Tech Start Date]],23),IF(Main[[#This Row],[Class]]="B", WORKDAY(Main[[#This Row],[Tech Start Date]],15),IF(Main[[#This Row],[Class]]="A",WORKDAY(Main[[#This Row],[Tech Start Date]],5),""))))</f>
        <v/>
      </c>
      <c r="P1021" s="69" t="str">
        <f>IF(Main[[#This Row],[Tech Start Date]]&lt;1/1/1990,"",IF(Main[[#This Row],[Class]]="C",WORKDAY(Main[[#This Row],[Tech Start Date]],28),IF(Main[[#This Row],[Class]]="B", WORKDAY(Main[[#This Row],[Tech Start Date]],19),IF(Main[[#This Row],[Class]]="A",WORKDAY(Main[[#This Row],[Tech Start Date]],9),""))))</f>
        <v/>
      </c>
      <c r="Q1021" s="67"/>
      <c r="R1021" s="67"/>
      <c r="S1021" s="65" t="s">
        <v>17</v>
      </c>
      <c r="T1021" s="70" t="s">
        <v>4</v>
      </c>
      <c r="U1021" s="65" t="s">
        <v>29</v>
      </c>
      <c r="V1021" s="65" t="s">
        <v>1917</v>
      </c>
      <c r="W1021" s="65" t="s">
        <v>1919</v>
      </c>
      <c r="X1021" s="65" t="s">
        <v>415</v>
      </c>
      <c r="Y1021" s="65" t="s">
        <v>2975</v>
      </c>
      <c r="Z1021" s="65" t="s">
        <v>415</v>
      </c>
      <c r="AA1021" s="65" t="s">
        <v>415</v>
      </c>
    </row>
    <row r="1022" spans="1:27" ht="17.45" hidden="1" customHeight="1">
      <c r="A1022" s="100" t="str">
        <f>IF(priority(Main[[#This Row],[Comments]])&lt;&gt;0, priority(Main[[#This Row],[Comments]]),"")</f>
        <v/>
      </c>
      <c r="B1022" s="77" t="s">
        <v>2504</v>
      </c>
      <c r="C1022" s="65" t="s">
        <v>4</v>
      </c>
      <c r="D1022" s="66" t="s">
        <v>2505</v>
      </c>
      <c r="E1022" s="67">
        <v>40849.455775462964</v>
      </c>
      <c r="F1022" s="67"/>
      <c r="G1022" s="64" t="str">
        <f>IF(stdProdLT(Main[[#This Row],[Comments]])=0.1,"N/A",IF(stdProdLT(Main[[#This Row],[Comments]])=0,"",stdProdLT(Main[[#This Row],[Comments]])))</f>
        <v/>
      </c>
      <c r="H1022" s="68" t="str">
        <f>IF(AND(Main[[#This Row],[In Stock Date]]&lt;&gt;"",Main[[#This Row],[Revised Due Date]]&lt;&gt;""),Main[[#This Row],[In Stock Date]]-Main[[#This Row],[Revised Due Date]],"")</f>
        <v/>
      </c>
      <c r="I1022" s="65" t="s">
        <v>69</v>
      </c>
      <c r="J1022" s="65" t="s">
        <v>70</v>
      </c>
      <c r="K1022" s="65" t="s">
        <v>1923</v>
      </c>
      <c r="L1022" s="67"/>
      <c r="M1022" s="69" t="str">
        <f>IF(Main[[#This Row],[Tech Start Date]]&lt;1/1/1990,"",IF(Main[[#This Row],[Class]]="C",WORKDAY(Main[[#This Row],[Tech Start Date]],9),IF(Main[[#This Row],[Class]]="B", WORKDAY(Main[[#This Row],[Tech Start Date]],6),IF(Main[[#This Row],[Class]]="A",WORKDAY(Main[[#This Row],[Tech Start Date]],2),""))))</f>
        <v/>
      </c>
      <c r="N1022" s="69" t="str">
        <f>IF(Main[[#This Row],[Tech Start Date]]&lt;1/1/1990,"",IF(Main[[#This Row],[Class]]="C",WORKDAY(Main[[#This Row],[Tech Start Date]],19),IF(Main[[#This Row],[Class]]="B", WORKDAY(Main[[#This Row],[Tech Start Date]],12),IF(Main[[#This Row],[Class]]="A",WORKDAY(Main[[#This Row],[Tech Start Date]],4),""))))</f>
        <v/>
      </c>
      <c r="O1022" s="69" t="str">
        <f>IF(Main[[#This Row],[Tech Start Date]]&lt;1/1/1990,"",IF(Main[[#This Row],[Class]]="C",WORKDAY(Main[[#This Row],[Tech Start Date]],23),IF(Main[[#This Row],[Class]]="B", WORKDAY(Main[[#This Row],[Tech Start Date]],15),IF(Main[[#This Row],[Class]]="A",WORKDAY(Main[[#This Row],[Tech Start Date]],5),""))))</f>
        <v/>
      </c>
      <c r="P1022" s="69" t="str">
        <f>IF(Main[[#This Row],[Tech Start Date]]&lt;1/1/1990,"",IF(Main[[#This Row],[Class]]="C",WORKDAY(Main[[#This Row],[Tech Start Date]],28),IF(Main[[#This Row],[Class]]="B", WORKDAY(Main[[#This Row],[Tech Start Date]],19),IF(Main[[#This Row],[Class]]="A",WORKDAY(Main[[#This Row],[Tech Start Date]],9),""))))</f>
        <v/>
      </c>
      <c r="Q1022" s="67">
        <v>40879</v>
      </c>
      <c r="R1022" s="67"/>
      <c r="S1022" s="65" t="s">
        <v>6</v>
      </c>
      <c r="T1022" s="70" t="s">
        <v>4</v>
      </c>
      <c r="U1022" s="65" t="s">
        <v>29</v>
      </c>
      <c r="V1022" s="65" t="s">
        <v>1917</v>
      </c>
      <c r="W1022" s="65" t="s">
        <v>1918</v>
      </c>
      <c r="X1022" s="65" t="s">
        <v>2903</v>
      </c>
      <c r="Y1022" s="65" t="s">
        <v>3083</v>
      </c>
      <c r="Z1022" s="65" t="s">
        <v>30</v>
      </c>
      <c r="AA1022" s="65" t="s">
        <v>2903</v>
      </c>
    </row>
    <row r="1023" spans="1:27" ht="17.45" hidden="1" customHeight="1">
      <c r="A1023" s="100" t="str">
        <f>IF(priority(Main[[#This Row],[Comments]])&lt;&gt;0, priority(Main[[#This Row],[Comments]]),"")</f>
        <v/>
      </c>
      <c r="B1023" s="77" t="s">
        <v>3220</v>
      </c>
      <c r="C1023" s="65" t="s">
        <v>4</v>
      </c>
      <c r="D1023" s="66" t="s">
        <v>3221</v>
      </c>
      <c r="E1023" s="67">
        <v>40924.459930555553</v>
      </c>
      <c r="F1023" s="67"/>
      <c r="G1023" s="64" t="str">
        <f>IF(stdProdLT(Main[[#This Row],[Comments]])=0.1,"N/A",IF(stdProdLT(Main[[#This Row],[Comments]])=0,"",stdProdLT(Main[[#This Row],[Comments]])))</f>
        <v/>
      </c>
      <c r="H1023" s="68" t="str">
        <f>IF(AND(Main[[#This Row],[In Stock Date]]&lt;&gt;"",Main[[#This Row],[Revised Due Date]]&lt;&gt;""),Main[[#This Row],[In Stock Date]]-Main[[#This Row],[Revised Due Date]],"")</f>
        <v/>
      </c>
      <c r="I1023" s="65" t="s">
        <v>4</v>
      </c>
      <c r="J1023" s="65" t="s">
        <v>28</v>
      </c>
      <c r="K1023" s="65" t="s">
        <v>4</v>
      </c>
      <c r="L1023" s="67"/>
      <c r="M1023" s="69" t="str">
        <f>IF(Main[[#This Row],[Tech Start Date]]&lt;1/1/1990,"",IF(Main[[#This Row],[Class]]="C",WORKDAY(Main[[#This Row],[Tech Start Date]],9),IF(Main[[#This Row],[Class]]="B", WORKDAY(Main[[#This Row],[Tech Start Date]],6),IF(Main[[#This Row],[Class]]="A",WORKDAY(Main[[#This Row],[Tech Start Date]],2),""))))</f>
        <v/>
      </c>
      <c r="N1023" s="69" t="str">
        <f>IF(Main[[#This Row],[Tech Start Date]]&lt;1/1/1990,"",IF(Main[[#This Row],[Class]]="C",WORKDAY(Main[[#This Row],[Tech Start Date]],19),IF(Main[[#This Row],[Class]]="B", WORKDAY(Main[[#This Row],[Tech Start Date]],12),IF(Main[[#This Row],[Class]]="A",WORKDAY(Main[[#This Row],[Tech Start Date]],4),""))))</f>
        <v/>
      </c>
      <c r="O1023" s="69" t="str">
        <f>IF(Main[[#This Row],[Tech Start Date]]&lt;1/1/1990,"",IF(Main[[#This Row],[Class]]="C",WORKDAY(Main[[#This Row],[Tech Start Date]],23),IF(Main[[#This Row],[Class]]="B", WORKDAY(Main[[#This Row],[Tech Start Date]],15),IF(Main[[#This Row],[Class]]="A",WORKDAY(Main[[#This Row],[Tech Start Date]],5),""))))</f>
        <v/>
      </c>
      <c r="P1023" s="69" t="str">
        <f>IF(Main[[#This Row],[Tech Start Date]]&lt;1/1/1990,"",IF(Main[[#This Row],[Class]]="C",WORKDAY(Main[[#This Row],[Tech Start Date]],28),IF(Main[[#This Row],[Class]]="B", WORKDAY(Main[[#This Row],[Tech Start Date]],19),IF(Main[[#This Row],[Class]]="A",WORKDAY(Main[[#This Row],[Tech Start Date]],9),""))))</f>
        <v/>
      </c>
      <c r="Q1023" s="67"/>
      <c r="R1023" s="67"/>
      <c r="S1023" s="65" t="s">
        <v>6</v>
      </c>
      <c r="T1023" s="70" t="s">
        <v>4</v>
      </c>
      <c r="U1023" s="65" t="s">
        <v>29</v>
      </c>
      <c r="V1023" s="65" t="s">
        <v>1917</v>
      </c>
      <c r="W1023" s="65" t="s">
        <v>1918</v>
      </c>
      <c r="X1023" s="65" t="s">
        <v>102</v>
      </c>
      <c r="Y1023" s="65" t="s">
        <v>3222</v>
      </c>
      <c r="Z1023" s="65" t="s">
        <v>30</v>
      </c>
      <c r="AA1023" s="65" t="s">
        <v>3457</v>
      </c>
    </row>
    <row r="1024" spans="1:27" ht="17.45" hidden="1" customHeight="1">
      <c r="A1024" s="100" t="str">
        <f>IF(priority(Main[[#This Row],[Comments]])&lt;&gt;0, priority(Main[[#This Row],[Comments]]),"")</f>
        <v/>
      </c>
      <c r="B1024" s="77" t="s">
        <v>3541</v>
      </c>
      <c r="C1024" s="65" t="s">
        <v>4</v>
      </c>
      <c r="D1024" s="66" t="s">
        <v>3648</v>
      </c>
      <c r="E1024" s="67">
        <v>40948.438587962963</v>
      </c>
      <c r="F1024" s="67"/>
      <c r="G1024" s="64" t="str">
        <f>IF(stdProdLT(Main[[#This Row],[Comments]])=0.1,"N/A",IF(stdProdLT(Main[[#This Row],[Comments]])=0,"",stdProdLT(Main[[#This Row],[Comments]])))</f>
        <v/>
      </c>
      <c r="H1024" s="68" t="str">
        <f>IF(AND(Main[[#This Row],[In Stock Date]]&lt;&gt;"",Main[[#This Row],[Revised Due Date]]&lt;&gt;""),Main[[#This Row],[In Stock Date]]-Main[[#This Row],[Revised Due Date]],"")</f>
        <v/>
      </c>
      <c r="I1024" s="65" t="s">
        <v>4</v>
      </c>
      <c r="J1024" s="65" t="s">
        <v>4</v>
      </c>
      <c r="K1024" s="65" t="s">
        <v>4</v>
      </c>
      <c r="L1024" s="67"/>
      <c r="M1024" s="69" t="str">
        <f>IF(Main[[#This Row],[Tech Start Date]]&lt;1/1/1990,"",IF(Main[[#This Row],[Class]]="C",WORKDAY(Main[[#This Row],[Tech Start Date]],9),IF(Main[[#This Row],[Class]]="B", WORKDAY(Main[[#This Row],[Tech Start Date]],6),IF(Main[[#This Row],[Class]]="A",WORKDAY(Main[[#This Row],[Tech Start Date]],2),""))))</f>
        <v/>
      </c>
      <c r="N1024" s="69" t="str">
        <f>IF(Main[[#This Row],[Tech Start Date]]&lt;1/1/1990,"",IF(Main[[#This Row],[Class]]="C",WORKDAY(Main[[#This Row],[Tech Start Date]],19),IF(Main[[#This Row],[Class]]="B", WORKDAY(Main[[#This Row],[Tech Start Date]],12),IF(Main[[#This Row],[Class]]="A",WORKDAY(Main[[#This Row],[Tech Start Date]],4),""))))</f>
        <v/>
      </c>
      <c r="O1024" s="69" t="str">
        <f>IF(Main[[#This Row],[Tech Start Date]]&lt;1/1/1990,"",IF(Main[[#This Row],[Class]]="C",WORKDAY(Main[[#This Row],[Tech Start Date]],23),IF(Main[[#This Row],[Class]]="B", WORKDAY(Main[[#This Row],[Tech Start Date]],15),IF(Main[[#This Row],[Class]]="A",WORKDAY(Main[[#This Row],[Tech Start Date]],5),""))))</f>
        <v/>
      </c>
      <c r="P1024" s="69" t="str">
        <f>IF(Main[[#This Row],[Tech Start Date]]&lt;1/1/1990,"",IF(Main[[#This Row],[Class]]="C",WORKDAY(Main[[#This Row],[Tech Start Date]],28),IF(Main[[#This Row],[Class]]="B", WORKDAY(Main[[#This Row],[Tech Start Date]],19),IF(Main[[#This Row],[Class]]="A",WORKDAY(Main[[#This Row],[Tech Start Date]],9),""))))</f>
        <v/>
      </c>
      <c r="Q1024" s="67"/>
      <c r="R1024" s="67"/>
      <c r="S1024" s="65" t="s">
        <v>6</v>
      </c>
      <c r="T1024" s="70" t="s">
        <v>4</v>
      </c>
      <c r="U1024" s="65" t="s">
        <v>29</v>
      </c>
      <c r="V1024" s="65" t="s">
        <v>1914</v>
      </c>
      <c r="W1024" s="65" t="s">
        <v>1918</v>
      </c>
      <c r="X1024" s="65" t="s">
        <v>102</v>
      </c>
      <c r="Y1024" s="65" t="s">
        <v>3080</v>
      </c>
      <c r="Z1024" s="65" t="s">
        <v>4</v>
      </c>
      <c r="AA1024" s="65" t="s">
        <v>3424</v>
      </c>
    </row>
    <row r="1025" spans="1:27" ht="17.45" hidden="1" customHeight="1">
      <c r="A1025" s="100" t="str">
        <f>IF(priority(Main[[#This Row],[Comments]])&lt;&gt;0, priority(Main[[#This Row],[Comments]]),"")</f>
        <v/>
      </c>
      <c r="B1025" s="77" t="s">
        <v>3285</v>
      </c>
      <c r="C1025" s="65" t="s">
        <v>4</v>
      </c>
      <c r="D1025" s="66" t="s">
        <v>3286</v>
      </c>
      <c r="E1025" s="67">
        <v>40933.367569444446</v>
      </c>
      <c r="F1025" s="67"/>
      <c r="G1025" s="64" t="str">
        <f>IF(stdProdLT(Main[[#This Row],[Comments]])=0.1,"N/A",IF(stdProdLT(Main[[#This Row],[Comments]])=0,"",stdProdLT(Main[[#This Row],[Comments]])))</f>
        <v/>
      </c>
      <c r="H1025" s="68" t="str">
        <f>IF(AND(Main[[#This Row],[In Stock Date]]&lt;&gt;"",Main[[#This Row],[Revised Due Date]]&lt;&gt;""),Main[[#This Row],[In Stock Date]]-Main[[#This Row],[Revised Due Date]],"")</f>
        <v/>
      </c>
      <c r="I1025" s="65" t="s">
        <v>530</v>
      </c>
      <c r="J1025" s="65" t="s">
        <v>52</v>
      </c>
      <c r="K1025" s="65" t="s">
        <v>1923</v>
      </c>
      <c r="L1025" s="67"/>
      <c r="M1025" s="69" t="str">
        <f>IF(Main[[#This Row],[Tech Start Date]]&lt;1/1/1990,"",IF(Main[[#This Row],[Class]]="C",WORKDAY(Main[[#This Row],[Tech Start Date]],9),IF(Main[[#This Row],[Class]]="B", WORKDAY(Main[[#This Row],[Tech Start Date]],6),IF(Main[[#This Row],[Class]]="A",WORKDAY(Main[[#This Row],[Tech Start Date]],2),""))))</f>
        <v/>
      </c>
      <c r="N1025" s="69" t="str">
        <f>IF(Main[[#This Row],[Tech Start Date]]&lt;1/1/1990,"",IF(Main[[#This Row],[Class]]="C",WORKDAY(Main[[#This Row],[Tech Start Date]],19),IF(Main[[#This Row],[Class]]="B", WORKDAY(Main[[#This Row],[Tech Start Date]],12),IF(Main[[#This Row],[Class]]="A",WORKDAY(Main[[#This Row],[Tech Start Date]],4),""))))</f>
        <v/>
      </c>
      <c r="O1025" s="69" t="str">
        <f>IF(Main[[#This Row],[Tech Start Date]]&lt;1/1/1990,"",IF(Main[[#This Row],[Class]]="C",WORKDAY(Main[[#This Row],[Tech Start Date]],23),IF(Main[[#This Row],[Class]]="B", WORKDAY(Main[[#This Row],[Tech Start Date]],15),IF(Main[[#This Row],[Class]]="A",WORKDAY(Main[[#This Row],[Tech Start Date]],5),""))))</f>
        <v/>
      </c>
      <c r="P1025" s="69" t="str">
        <f>IF(Main[[#This Row],[Tech Start Date]]&lt;1/1/1990,"",IF(Main[[#This Row],[Class]]="C",WORKDAY(Main[[#This Row],[Tech Start Date]],28),IF(Main[[#This Row],[Class]]="B", WORKDAY(Main[[#This Row],[Tech Start Date]],19),IF(Main[[#This Row],[Class]]="A",WORKDAY(Main[[#This Row],[Tech Start Date]],9),""))))</f>
        <v/>
      </c>
      <c r="Q1025" s="67"/>
      <c r="R1025" s="67"/>
      <c r="S1025" s="65" t="s">
        <v>6</v>
      </c>
      <c r="T1025" s="70" t="s">
        <v>4</v>
      </c>
      <c r="U1025" s="65" t="s">
        <v>29</v>
      </c>
      <c r="V1025" s="65" t="s">
        <v>1917</v>
      </c>
      <c r="W1025" s="65" t="s">
        <v>1918</v>
      </c>
      <c r="X1025" s="65" t="s">
        <v>2866</v>
      </c>
      <c r="Y1025" s="65" t="s">
        <v>3000</v>
      </c>
      <c r="Z1025" s="65" t="s">
        <v>30</v>
      </c>
      <c r="AA1025" s="65" t="s">
        <v>2866</v>
      </c>
    </row>
    <row r="1026" spans="1:27" ht="17.45" customHeight="1">
      <c r="A1026" s="100">
        <f>IF(priority(Main[[#This Row],[Comments]])&lt;&gt;0, priority(Main[[#This Row],[Comments]]),"")</f>
        <v>10</v>
      </c>
      <c r="B1026" s="77" t="s">
        <v>3603</v>
      </c>
      <c r="C1026" s="65" t="s">
        <v>95</v>
      </c>
      <c r="D1026" s="66" t="s">
        <v>3604</v>
      </c>
      <c r="E1026" s="67">
        <v>40959.548576388886</v>
      </c>
      <c r="F1026" s="67">
        <v>40967</v>
      </c>
      <c r="G1026" s="64" t="str">
        <f>IF(stdProdLT(Main[[#This Row],[Comments]])=0.1,"N/A",IF(stdProdLT(Main[[#This Row],[Comments]])=0,"",stdProdLT(Main[[#This Row],[Comments]])))</f>
        <v>N/A</v>
      </c>
      <c r="H1026" s="68">
        <f>IF(AND(Main[[#This Row],[In Stock Date]]&lt;&gt;"",Main[[#This Row],[Revised Due Date]]&lt;&gt;""),Main[[#This Row],[In Stock Date]]-Main[[#This Row],[Revised Due Date]],"")</f>
        <v>0</v>
      </c>
      <c r="I1026" s="65" t="s">
        <v>937</v>
      </c>
      <c r="J1026" s="65" t="s">
        <v>28</v>
      </c>
      <c r="K1026" s="65" t="s">
        <v>1923</v>
      </c>
      <c r="L1026" s="67"/>
      <c r="M1026" s="69" t="str">
        <f>IF(Main[[#This Row],[Tech Start Date]]&lt;1/1/1990,"",IF(Main[[#This Row],[Class]]="C",WORKDAY(Main[[#This Row],[Tech Start Date]],9),IF(Main[[#This Row],[Class]]="B", WORKDAY(Main[[#This Row],[Tech Start Date]],6),IF(Main[[#This Row],[Class]]="A",WORKDAY(Main[[#This Row],[Tech Start Date]],2),""))))</f>
        <v/>
      </c>
      <c r="N1026" s="69" t="str">
        <f>IF(Main[[#This Row],[Tech Start Date]]&lt;1/1/1990,"",IF(Main[[#This Row],[Class]]="C",WORKDAY(Main[[#This Row],[Tech Start Date]],19),IF(Main[[#This Row],[Class]]="B", WORKDAY(Main[[#This Row],[Tech Start Date]],12),IF(Main[[#This Row],[Class]]="A",WORKDAY(Main[[#This Row],[Tech Start Date]],4),""))))</f>
        <v/>
      </c>
      <c r="O1026" s="69" t="str">
        <f>IF(Main[[#This Row],[Tech Start Date]]&lt;1/1/1990,"",IF(Main[[#This Row],[Class]]="C",WORKDAY(Main[[#This Row],[Tech Start Date]],23),IF(Main[[#This Row],[Class]]="B", WORKDAY(Main[[#This Row],[Tech Start Date]],15),IF(Main[[#This Row],[Class]]="A",WORKDAY(Main[[#This Row],[Tech Start Date]],5),""))))</f>
        <v/>
      </c>
      <c r="P1026" s="69" t="str">
        <f>IF(Main[[#This Row],[Tech Start Date]]&lt;1/1/1990,"",IF(Main[[#This Row],[Class]]="C",WORKDAY(Main[[#This Row],[Tech Start Date]],28),IF(Main[[#This Row],[Class]]="B", WORKDAY(Main[[#This Row],[Tech Start Date]],19),IF(Main[[#This Row],[Class]]="A",WORKDAY(Main[[#This Row],[Tech Start Date]],9),""))))</f>
        <v/>
      </c>
      <c r="Q1026" s="67">
        <v>40976</v>
      </c>
      <c r="R1026" s="67">
        <v>40967</v>
      </c>
      <c r="S1026" s="65" t="s">
        <v>11</v>
      </c>
      <c r="T1026" s="70" t="s">
        <v>3605</v>
      </c>
      <c r="U1026" s="65" t="s">
        <v>29</v>
      </c>
      <c r="V1026" s="65" t="s">
        <v>1914</v>
      </c>
      <c r="W1026" s="65" t="s">
        <v>1916</v>
      </c>
      <c r="X1026" s="65" t="s">
        <v>2852</v>
      </c>
      <c r="Y1026" s="65" t="s">
        <v>2990</v>
      </c>
      <c r="Z1026" s="65" t="s">
        <v>129</v>
      </c>
      <c r="AA1026" s="65" t="s">
        <v>2852</v>
      </c>
    </row>
    <row r="1027" spans="1:27" ht="17.45" hidden="1" customHeight="1">
      <c r="A1027" s="100" t="str">
        <f>IF(priority(Main[[#This Row],[Comments]])&lt;&gt;0, priority(Main[[#This Row],[Comments]]),"")</f>
        <v/>
      </c>
      <c r="B1027" s="77" t="s">
        <v>2724</v>
      </c>
      <c r="C1027" s="65" t="s">
        <v>4</v>
      </c>
      <c r="D1027" s="66" t="s">
        <v>3211</v>
      </c>
      <c r="E1027" s="67">
        <v>40899.185671296298</v>
      </c>
      <c r="F1027" s="67"/>
      <c r="G1027" s="64" t="str">
        <f>IF(stdProdLT(Main[[#This Row],[Comments]])=0.1,"N/A",IF(stdProdLT(Main[[#This Row],[Comments]])=0,"",stdProdLT(Main[[#This Row],[Comments]])))</f>
        <v/>
      </c>
      <c r="H1027" s="68" t="str">
        <f>IF(AND(Main[[#This Row],[In Stock Date]]&lt;&gt;"",Main[[#This Row],[Revised Due Date]]&lt;&gt;""),Main[[#This Row],[In Stock Date]]-Main[[#This Row],[Revised Due Date]],"")</f>
        <v/>
      </c>
      <c r="I1027" s="65" t="s">
        <v>69</v>
      </c>
      <c r="J1027" s="65" t="s">
        <v>28</v>
      </c>
      <c r="K1027" s="65" t="s">
        <v>1923</v>
      </c>
      <c r="L1027" s="67"/>
      <c r="M1027" s="69" t="str">
        <f>IF(Main[[#This Row],[Tech Start Date]]&lt;1/1/1990,"",IF(Main[[#This Row],[Class]]="C",WORKDAY(Main[[#This Row],[Tech Start Date]],9),IF(Main[[#This Row],[Class]]="B", WORKDAY(Main[[#This Row],[Tech Start Date]],6),IF(Main[[#This Row],[Class]]="A",WORKDAY(Main[[#This Row],[Tech Start Date]],2),""))))</f>
        <v/>
      </c>
      <c r="N1027" s="69" t="str">
        <f>IF(Main[[#This Row],[Tech Start Date]]&lt;1/1/1990,"",IF(Main[[#This Row],[Class]]="C",WORKDAY(Main[[#This Row],[Tech Start Date]],19),IF(Main[[#This Row],[Class]]="B", WORKDAY(Main[[#This Row],[Tech Start Date]],12),IF(Main[[#This Row],[Class]]="A",WORKDAY(Main[[#This Row],[Tech Start Date]],4),""))))</f>
        <v/>
      </c>
      <c r="O1027" s="69" t="str">
        <f>IF(Main[[#This Row],[Tech Start Date]]&lt;1/1/1990,"",IF(Main[[#This Row],[Class]]="C",WORKDAY(Main[[#This Row],[Tech Start Date]],23),IF(Main[[#This Row],[Class]]="B", WORKDAY(Main[[#This Row],[Tech Start Date]],15),IF(Main[[#This Row],[Class]]="A",WORKDAY(Main[[#This Row],[Tech Start Date]],5),""))))</f>
        <v/>
      </c>
      <c r="P1027" s="69" t="str">
        <f>IF(Main[[#This Row],[Tech Start Date]]&lt;1/1/1990,"",IF(Main[[#This Row],[Class]]="C",WORKDAY(Main[[#This Row],[Tech Start Date]],28),IF(Main[[#This Row],[Class]]="B", WORKDAY(Main[[#This Row],[Tech Start Date]],19),IF(Main[[#This Row],[Class]]="A",WORKDAY(Main[[#This Row],[Tech Start Date]],9),""))))</f>
        <v/>
      </c>
      <c r="Q1027" s="67">
        <v>40931</v>
      </c>
      <c r="R1027" s="67"/>
      <c r="S1027" s="65" t="s">
        <v>6</v>
      </c>
      <c r="T1027" s="70" t="s">
        <v>4</v>
      </c>
      <c r="U1027" s="65" t="s">
        <v>29</v>
      </c>
      <c r="V1027" s="65" t="s">
        <v>1917</v>
      </c>
      <c r="W1027" s="65" t="s">
        <v>1918</v>
      </c>
      <c r="X1027" s="65" t="s">
        <v>2822</v>
      </c>
      <c r="Y1027" s="65" t="s">
        <v>2938</v>
      </c>
      <c r="Z1027" s="65" t="s">
        <v>30</v>
      </c>
      <c r="AA1027" s="65" t="s">
        <v>2822</v>
      </c>
    </row>
    <row r="1028" spans="1:27" ht="17.45" hidden="1" customHeight="1">
      <c r="A1028" s="100" t="str">
        <f>IF(priority(Main[[#This Row],[Comments]])&lt;&gt;0, priority(Main[[#This Row],[Comments]]),"")</f>
        <v/>
      </c>
      <c r="B1028" s="77" t="s">
        <v>2685</v>
      </c>
      <c r="C1028" s="65" t="s">
        <v>4</v>
      </c>
      <c r="D1028" s="66" t="s">
        <v>2686</v>
      </c>
      <c r="E1028" s="67">
        <v>40890.683576388888</v>
      </c>
      <c r="F1028" s="67"/>
      <c r="G1028" s="64" t="str">
        <f>IF(stdProdLT(Main[[#This Row],[Comments]])=0.1,"N/A",IF(stdProdLT(Main[[#This Row],[Comments]])=0,"",stdProdLT(Main[[#This Row],[Comments]])))</f>
        <v/>
      </c>
      <c r="H1028" s="68" t="str">
        <f>IF(AND(Main[[#This Row],[In Stock Date]]&lt;&gt;"",Main[[#This Row],[Revised Due Date]]&lt;&gt;""),Main[[#This Row],[In Stock Date]]-Main[[#This Row],[Revised Due Date]],"")</f>
        <v/>
      </c>
      <c r="I1028" s="65" t="s">
        <v>239</v>
      </c>
      <c r="J1028" s="65" t="s">
        <v>21</v>
      </c>
      <c r="K1028" s="65" t="s">
        <v>1923</v>
      </c>
      <c r="L1028" s="67"/>
      <c r="M1028" s="69" t="str">
        <f>IF(Main[[#This Row],[Tech Start Date]]&lt;1/1/1990,"",IF(Main[[#This Row],[Class]]="C",WORKDAY(Main[[#This Row],[Tech Start Date]],9),IF(Main[[#This Row],[Class]]="B", WORKDAY(Main[[#This Row],[Tech Start Date]],6),IF(Main[[#This Row],[Class]]="A",WORKDAY(Main[[#This Row],[Tech Start Date]],2),""))))</f>
        <v/>
      </c>
      <c r="N1028" s="69" t="str">
        <f>IF(Main[[#This Row],[Tech Start Date]]&lt;1/1/1990,"",IF(Main[[#This Row],[Class]]="C",WORKDAY(Main[[#This Row],[Tech Start Date]],19),IF(Main[[#This Row],[Class]]="B", WORKDAY(Main[[#This Row],[Tech Start Date]],12),IF(Main[[#This Row],[Class]]="A",WORKDAY(Main[[#This Row],[Tech Start Date]],4),""))))</f>
        <v/>
      </c>
      <c r="O1028" s="69" t="str">
        <f>IF(Main[[#This Row],[Tech Start Date]]&lt;1/1/1990,"",IF(Main[[#This Row],[Class]]="C",WORKDAY(Main[[#This Row],[Tech Start Date]],23),IF(Main[[#This Row],[Class]]="B", WORKDAY(Main[[#This Row],[Tech Start Date]],15),IF(Main[[#This Row],[Class]]="A",WORKDAY(Main[[#This Row],[Tech Start Date]],5),""))))</f>
        <v/>
      </c>
      <c r="P1028" s="69" t="str">
        <f>IF(Main[[#This Row],[Tech Start Date]]&lt;1/1/1990,"",IF(Main[[#This Row],[Class]]="C",WORKDAY(Main[[#This Row],[Tech Start Date]],28),IF(Main[[#This Row],[Class]]="B", WORKDAY(Main[[#This Row],[Tech Start Date]],19),IF(Main[[#This Row],[Class]]="A",WORKDAY(Main[[#This Row],[Tech Start Date]],9),""))))</f>
        <v/>
      </c>
      <c r="Q1028" s="67">
        <v>40939</v>
      </c>
      <c r="R1028" s="67"/>
      <c r="S1028" s="65" t="s">
        <v>6</v>
      </c>
      <c r="T1028" s="70" t="s">
        <v>4</v>
      </c>
      <c r="U1028" s="65" t="s">
        <v>29</v>
      </c>
      <c r="V1028" s="65" t="s">
        <v>1917</v>
      </c>
      <c r="W1028" s="65" t="s">
        <v>1918</v>
      </c>
      <c r="X1028" s="65" t="s">
        <v>765</v>
      </c>
      <c r="Y1028" s="65" t="s">
        <v>2935</v>
      </c>
      <c r="Z1028" s="65" t="s">
        <v>30</v>
      </c>
      <c r="AA1028" s="65" t="s">
        <v>765</v>
      </c>
    </row>
    <row r="1029" spans="1:27" ht="17.45" hidden="1" customHeight="1">
      <c r="A1029" s="100" t="str">
        <f>IF(priority(Main[[#This Row],[Comments]])&lt;&gt;0, priority(Main[[#This Row],[Comments]]),"")</f>
        <v/>
      </c>
      <c r="B1029" s="77" t="s">
        <v>2099</v>
      </c>
      <c r="C1029" s="65" t="s">
        <v>4</v>
      </c>
      <c r="D1029" s="66" t="s">
        <v>3270</v>
      </c>
      <c r="E1029" s="67">
        <v>40763.171296296299</v>
      </c>
      <c r="F1029" s="67"/>
      <c r="G1029" s="64" t="str">
        <f>IF(stdProdLT(Main[[#This Row],[Comments]])=0.1,"N/A",IF(stdProdLT(Main[[#This Row],[Comments]])=0,"",stdProdLT(Main[[#This Row],[Comments]])))</f>
        <v/>
      </c>
      <c r="H1029" s="68" t="str">
        <f>IF(AND(Main[[#This Row],[In Stock Date]]&lt;&gt;"",Main[[#This Row],[Revised Due Date]]&lt;&gt;""),Main[[#This Row],[In Stock Date]]-Main[[#This Row],[Revised Due Date]],"")</f>
        <v/>
      </c>
      <c r="I1029" s="65" t="s">
        <v>530</v>
      </c>
      <c r="J1029" s="65" t="s">
        <v>3271</v>
      </c>
      <c r="K1029" s="65" t="s">
        <v>1923</v>
      </c>
      <c r="L1029" s="67"/>
      <c r="M1029" s="69" t="str">
        <f>IF(Main[[#This Row],[Tech Start Date]]&lt;1/1/1990,"",IF(Main[[#This Row],[Class]]="C",WORKDAY(Main[[#This Row],[Tech Start Date]],9),IF(Main[[#This Row],[Class]]="B", WORKDAY(Main[[#This Row],[Tech Start Date]],6),IF(Main[[#This Row],[Class]]="A",WORKDAY(Main[[#This Row],[Tech Start Date]],2),""))))</f>
        <v/>
      </c>
      <c r="N1029" s="69" t="str">
        <f>IF(Main[[#This Row],[Tech Start Date]]&lt;1/1/1990,"",IF(Main[[#This Row],[Class]]="C",WORKDAY(Main[[#This Row],[Tech Start Date]],19),IF(Main[[#This Row],[Class]]="B", WORKDAY(Main[[#This Row],[Tech Start Date]],12),IF(Main[[#This Row],[Class]]="A",WORKDAY(Main[[#This Row],[Tech Start Date]],4),""))))</f>
        <v/>
      </c>
      <c r="O1029" s="69" t="str">
        <f>IF(Main[[#This Row],[Tech Start Date]]&lt;1/1/1990,"",IF(Main[[#This Row],[Class]]="C",WORKDAY(Main[[#This Row],[Tech Start Date]],23),IF(Main[[#This Row],[Class]]="B", WORKDAY(Main[[#This Row],[Tech Start Date]],15),IF(Main[[#This Row],[Class]]="A",WORKDAY(Main[[#This Row],[Tech Start Date]],5),""))))</f>
        <v/>
      </c>
      <c r="P1029" s="69" t="str">
        <f>IF(Main[[#This Row],[Tech Start Date]]&lt;1/1/1990,"",IF(Main[[#This Row],[Class]]="C",WORKDAY(Main[[#This Row],[Tech Start Date]],28),IF(Main[[#This Row],[Class]]="B", WORKDAY(Main[[#This Row],[Tech Start Date]],19),IF(Main[[#This Row],[Class]]="A",WORKDAY(Main[[#This Row],[Tech Start Date]],9),""))))</f>
        <v/>
      </c>
      <c r="Q1029" s="67">
        <v>40784</v>
      </c>
      <c r="R1029" s="67"/>
      <c r="S1029" s="65" t="s">
        <v>6</v>
      </c>
      <c r="T1029" s="70" t="s">
        <v>4</v>
      </c>
      <c r="U1029" s="65" t="s">
        <v>29</v>
      </c>
      <c r="V1029" s="65" t="s">
        <v>1917</v>
      </c>
      <c r="W1029" s="65" t="s">
        <v>1918</v>
      </c>
      <c r="X1029" s="65" t="s">
        <v>2851</v>
      </c>
      <c r="Y1029" s="65" t="s">
        <v>2986</v>
      </c>
      <c r="Z1029" s="65" t="s">
        <v>30</v>
      </c>
      <c r="AA1029" s="65" t="s">
        <v>2851</v>
      </c>
    </row>
    <row r="1030" spans="1:27" ht="17.45" hidden="1" customHeight="1">
      <c r="A1030" s="100" t="str">
        <f>IF(priority(Main[[#This Row],[Comments]])&lt;&gt;0, priority(Main[[#This Row],[Comments]]),"")</f>
        <v/>
      </c>
      <c r="B1030" s="77" t="s">
        <v>2453</v>
      </c>
      <c r="C1030" s="65" t="s">
        <v>4</v>
      </c>
      <c r="D1030" s="66" t="s">
        <v>2454</v>
      </c>
      <c r="E1030" s="67"/>
      <c r="F1030" s="67"/>
      <c r="G1030" s="64" t="str">
        <f>IF(stdProdLT(Main[[#This Row],[Comments]])=0.1,"N/A",IF(stdProdLT(Main[[#This Row],[Comments]])=0,"",stdProdLT(Main[[#This Row],[Comments]])))</f>
        <v/>
      </c>
      <c r="H1030" s="68" t="str">
        <f>IF(AND(Main[[#This Row],[In Stock Date]]&lt;&gt;"",Main[[#This Row],[Revised Due Date]]&lt;&gt;""),Main[[#This Row],[In Stock Date]]-Main[[#This Row],[Revised Due Date]],"")</f>
        <v/>
      </c>
      <c r="I1030" s="65" t="s">
        <v>530</v>
      </c>
      <c r="J1030" s="65" t="s">
        <v>28</v>
      </c>
      <c r="K1030" s="65" t="s">
        <v>1923</v>
      </c>
      <c r="L1030" s="67"/>
      <c r="M1030" s="69" t="str">
        <f>IF(Main[[#This Row],[Tech Start Date]]&lt;1/1/1990,"",IF(Main[[#This Row],[Class]]="C",WORKDAY(Main[[#This Row],[Tech Start Date]],9),IF(Main[[#This Row],[Class]]="B", WORKDAY(Main[[#This Row],[Tech Start Date]],6),IF(Main[[#This Row],[Class]]="A",WORKDAY(Main[[#This Row],[Tech Start Date]],2),""))))</f>
        <v/>
      </c>
      <c r="N1030" s="69" t="str">
        <f>IF(Main[[#This Row],[Tech Start Date]]&lt;1/1/1990,"",IF(Main[[#This Row],[Class]]="C",WORKDAY(Main[[#This Row],[Tech Start Date]],19),IF(Main[[#This Row],[Class]]="B", WORKDAY(Main[[#This Row],[Tech Start Date]],12),IF(Main[[#This Row],[Class]]="A",WORKDAY(Main[[#This Row],[Tech Start Date]],4),""))))</f>
        <v/>
      </c>
      <c r="O1030" s="69" t="str">
        <f>IF(Main[[#This Row],[Tech Start Date]]&lt;1/1/1990,"",IF(Main[[#This Row],[Class]]="C",WORKDAY(Main[[#This Row],[Tech Start Date]],23),IF(Main[[#This Row],[Class]]="B", WORKDAY(Main[[#This Row],[Tech Start Date]],15),IF(Main[[#This Row],[Class]]="A",WORKDAY(Main[[#This Row],[Tech Start Date]],5),""))))</f>
        <v/>
      </c>
      <c r="P1030" s="69" t="str">
        <f>IF(Main[[#This Row],[Tech Start Date]]&lt;1/1/1990,"",IF(Main[[#This Row],[Class]]="C",WORKDAY(Main[[#This Row],[Tech Start Date]],28),IF(Main[[#This Row],[Class]]="B", WORKDAY(Main[[#This Row],[Tech Start Date]],19),IF(Main[[#This Row],[Class]]="A",WORKDAY(Main[[#This Row],[Tech Start Date]],9),""))))</f>
        <v/>
      </c>
      <c r="Q1030" s="67">
        <v>40954</v>
      </c>
      <c r="R1030" s="67"/>
      <c r="S1030" s="65" t="s">
        <v>6</v>
      </c>
      <c r="T1030" s="70" t="s">
        <v>4</v>
      </c>
      <c r="U1030" s="65" t="s">
        <v>14</v>
      </c>
      <c r="V1030" s="65" t="s">
        <v>1917</v>
      </c>
      <c r="W1030" s="65" t="s">
        <v>1918</v>
      </c>
      <c r="X1030" s="65" t="s">
        <v>553</v>
      </c>
      <c r="Y1030" s="65" t="s">
        <v>2952</v>
      </c>
      <c r="Z1030" s="65" t="s">
        <v>30</v>
      </c>
      <c r="AA1030" s="65" t="s">
        <v>553</v>
      </c>
    </row>
    <row r="1031" spans="1:27" ht="17.45" hidden="1" customHeight="1">
      <c r="A1031" s="100" t="str">
        <f>IF(priority(Main[[#This Row],[Comments]])&lt;&gt;0, priority(Main[[#This Row],[Comments]]),"")</f>
        <v/>
      </c>
      <c r="B1031" s="77" t="s">
        <v>2455</v>
      </c>
      <c r="C1031" s="65" t="s">
        <v>113</v>
      </c>
      <c r="D1031" s="66" t="s">
        <v>2456</v>
      </c>
      <c r="E1031" s="67"/>
      <c r="F1031" s="67">
        <v>40841</v>
      </c>
      <c r="G1031" s="64" t="str">
        <f>IF(stdProdLT(Main[[#This Row],[Comments]])=0.1,"N/A",IF(stdProdLT(Main[[#This Row],[Comments]])=0,"",stdProdLT(Main[[#This Row],[Comments]])))</f>
        <v/>
      </c>
      <c r="H1031" s="68" t="str">
        <f>IF(AND(Main[[#This Row],[In Stock Date]]&lt;&gt;"",Main[[#This Row],[Revised Due Date]]&lt;&gt;""),Main[[#This Row],[In Stock Date]]-Main[[#This Row],[Revised Due Date]],"")</f>
        <v/>
      </c>
      <c r="I1031" s="65" t="s">
        <v>4</v>
      </c>
      <c r="J1031" s="65" t="s">
        <v>4</v>
      </c>
      <c r="K1031" s="65" t="s">
        <v>4</v>
      </c>
      <c r="L1031" s="67"/>
      <c r="M1031" s="69" t="str">
        <f>IF(Main[[#This Row],[Tech Start Date]]&lt;1/1/1990,"",IF(Main[[#This Row],[Class]]="C",WORKDAY(Main[[#This Row],[Tech Start Date]],9),IF(Main[[#This Row],[Class]]="B", WORKDAY(Main[[#This Row],[Tech Start Date]],6),IF(Main[[#This Row],[Class]]="A",WORKDAY(Main[[#This Row],[Tech Start Date]],2),""))))</f>
        <v/>
      </c>
      <c r="N1031" s="69" t="str">
        <f>IF(Main[[#This Row],[Tech Start Date]]&lt;1/1/1990,"",IF(Main[[#This Row],[Class]]="C",WORKDAY(Main[[#This Row],[Tech Start Date]],19),IF(Main[[#This Row],[Class]]="B", WORKDAY(Main[[#This Row],[Tech Start Date]],12),IF(Main[[#This Row],[Class]]="A",WORKDAY(Main[[#This Row],[Tech Start Date]],4),""))))</f>
        <v/>
      </c>
      <c r="O1031" s="69" t="str">
        <f>IF(Main[[#This Row],[Tech Start Date]]&lt;1/1/1990,"",IF(Main[[#This Row],[Class]]="C",WORKDAY(Main[[#This Row],[Tech Start Date]],23),IF(Main[[#This Row],[Class]]="B", WORKDAY(Main[[#This Row],[Tech Start Date]],15),IF(Main[[#This Row],[Class]]="A",WORKDAY(Main[[#This Row],[Tech Start Date]],5),""))))</f>
        <v/>
      </c>
      <c r="P1031" s="69" t="str">
        <f>IF(Main[[#This Row],[Tech Start Date]]&lt;1/1/1990,"",IF(Main[[#This Row],[Class]]="C",WORKDAY(Main[[#This Row],[Tech Start Date]],28),IF(Main[[#This Row],[Class]]="B", WORKDAY(Main[[#This Row],[Tech Start Date]],19),IF(Main[[#This Row],[Class]]="A",WORKDAY(Main[[#This Row],[Tech Start Date]],9),""))))</f>
        <v/>
      </c>
      <c r="Q1031" s="67"/>
      <c r="R1031" s="67"/>
      <c r="S1031" s="65" t="s">
        <v>11</v>
      </c>
      <c r="T1031" s="70" t="s">
        <v>4</v>
      </c>
      <c r="U1031" s="65" t="s">
        <v>12</v>
      </c>
      <c r="V1031" s="65" t="s">
        <v>1914</v>
      </c>
      <c r="W1031" s="65" t="s">
        <v>1916</v>
      </c>
      <c r="X1031" s="65" t="s">
        <v>2833</v>
      </c>
      <c r="Y1031" s="65" t="s">
        <v>2939</v>
      </c>
      <c r="Z1031" s="65" t="s">
        <v>4</v>
      </c>
      <c r="AA1031" s="65" t="s">
        <v>2833</v>
      </c>
    </row>
    <row r="1032" spans="1:27" ht="17.45" hidden="1" customHeight="1">
      <c r="A1032" s="100" t="str">
        <f>IF(priority(Main[[#This Row],[Comments]])&lt;&gt;0, priority(Main[[#This Row],[Comments]]),"")</f>
        <v/>
      </c>
      <c r="B1032" s="77" t="s">
        <v>3550</v>
      </c>
      <c r="C1032" s="65" t="s">
        <v>4</v>
      </c>
      <c r="D1032" s="66" t="s">
        <v>3551</v>
      </c>
      <c r="E1032" s="67">
        <v>40946.701331018521</v>
      </c>
      <c r="F1032" s="67"/>
      <c r="G1032" s="64" t="str">
        <f>IF(stdProdLT(Main[[#This Row],[Comments]])=0.1,"N/A",IF(stdProdLT(Main[[#This Row],[Comments]])=0,"",stdProdLT(Main[[#This Row],[Comments]])))</f>
        <v/>
      </c>
      <c r="H1032" s="68" t="str">
        <f>IF(AND(Main[[#This Row],[In Stock Date]]&lt;&gt;"",Main[[#This Row],[Revised Due Date]]&lt;&gt;""),Main[[#This Row],[In Stock Date]]-Main[[#This Row],[Revised Due Date]],"")</f>
        <v/>
      </c>
      <c r="I1032" s="65" t="s">
        <v>4</v>
      </c>
      <c r="J1032" s="65" t="s">
        <v>4</v>
      </c>
      <c r="K1032" s="65" t="s">
        <v>4</v>
      </c>
      <c r="L1032" s="67"/>
      <c r="M1032" s="69" t="str">
        <f>IF(Main[[#This Row],[Tech Start Date]]&lt;1/1/1990,"",IF(Main[[#This Row],[Class]]="C",WORKDAY(Main[[#This Row],[Tech Start Date]],9),IF(Main[[#This Row],[Class]]="B", WORKDAY(Main[[#This Row],[Tech Start Date]],6),IF(Main[[#This Row],[Class]]="A",WORKDAY(Main[[#This Row],[Tech Start Date]],2),""))))</f>
        <v/>
      </c>
      <c r="N1032" s="69" t="str">
        <f>IF(Main[[#This Row],[Tech Start Date]]&lt;1/1/1990,"",IF(Main[[#This Row],[Class]]="C",WORKDAY(Main[[#This Row],[Tech Start Date]],19),IF(Main[[#This Row],[Class]]="B", WORKDAY(Main[[#This Row],[Tech Start Date]],12),IF(Main[[#This Row],[Class]]="A",WORKDAY(Main[[#This Row],[Tech Start Date]],4),""))))</f>
        <v/>
      </c>
      <c r="O1032" s="69" t="str">
        <f>IF(Main[[#This Row],[Tech Start Date]]&lt;1/1/1990,"",IF(Main[[#This Row],[Class]]="C",WORKDAY(Main[[#This Row],[Tech Start Date]],23),IF(Main[[#This Row],[Class]]="B", WORKDAY(Main[[#This Row],[Tech Start Date]],15),IF(Main[[#This Row],[Class]]="A",WORKDAY(Main[[#This Row],[Tech Start Date]],5),""))))</f>
        <v/>
      </c>
      <c r="P1032" s="69" t="str">
        <f>IF(Main[[#This Row],[Tech Start Date]]&lt;1/1/1990,"",IF(Main[[#This Row],[Class]]="C",WORKDAY(Main[[#This Row],[Tech Start Date]],28),IF(Main[[#This Row],[Class]]="B", WORKDAY(Main[[#This Row],[Tech Start Date]],19),IF(Main[[#This Row],[Class]]="A",WORKDAY(Main[[#This Row],[Tech Start Date]],9),""))))</f>
        <v/>
      </c>
      <c r="Q1032" s="67">
        <v>40953</v>
      </c>
      <c r="R1032" s="67"/>
      <c r="S1032" s="65" t="s">
        <v>6</v>
      </c>
      <c r="T1032" s="70" t="s">
        <v>4</v>
      </c>
      <c r="U1032" s="65" t="s">
        <v>7</v>
      </c>
      <c r="V1032" s="65" t="s">
        <v>1914</v>
      </c>
      <c r="W1032" s="65" t="s">
        <v>1922</v>
      </c>
      <c r="X1032" s="65" t="s">
        <v>2821</v>
      </c>
      <c r="Y1032" s="65" t="s">
        <v>2936</v>
      </c>
      <c r="Z1032" s="65" t="s">
        <v>4</v>
      </c>
      <c r="AA1032" s="65" t="s">
        <v>2821</v>
      </c>
    </row>
    <row r="1033" spans="1:27" ht="17.45" hidden="1" customHeight="1">
      <c r="A1033" s="100" t="str">
        <f>IF(priority(Main[[#This Row],[Comments]])&lt;&gt;0, priority(Main[[#This Row],[Comments]]),"")</f>
        <v/>
      </c>
      <c r="B1033" s="77" t="s">
        <v>1846</v>
      </c>
      <c r="C1033" s="65" t="s">
        <v>67</v>
      </c>
      <c r="D1033" s="66" t="s">
        <v>902</v>
      </c>
      <c r="E1033" s="67">
        <v>39937.597453703704</v>
      </c>
      <c r="F1033" s="67">
        <v>40533</v>
      </c>
      <c r="G1033" s="64" t="str">
        <f>IF(stdProdLT(Main[[#This Row],[Comments]])=0.1,"N/A",IF(stdProdLT(Main[[#This Row],[Comments]])=0,"",stdProdLT(Main[[#This Row],[Comments]])))</f>
        <v/>
      </c>
      <c r="H1033" s="68">
        <f>IF(AND(Main[[#This Row],[In Stock Date]]&lt;&gt;"",Main[[#This Row],[Revised Due Date]]&lt;&gt;""),Main[[#This Row],[In Stock Date]]-Main[[#This Row],[Revised Due Date]],"")</f>
        <v>-342</v>
      </c>
      <c r="I1033" s="65" t="s">
        <v>74</v>
      </c>
      <c r="J1033" s="65" t="s">
        <v>28</v>
      </c>
      <c r="K1033" s="65" t="s">
        <v>1926</v>
      </c>
      <c r="L1033" s="67"/>
      <c r="M1033" s="69" t="str">
        <f>IF(Main[[#This Row],[Tech Start Date]]&lt;1/1/1990,"",IF(Main[[#This Row],[Class]]="C",WORKDAY(Main[[#This Row],[Tech Start Date]],9),IF(Main[[#This Row],[Class]]="B", WORKDAY(Main[[#This Row],[Tech Start Date]],6),IF(Main[[#This Row],[Class]]="A",WORKDAY(Main[[#This Row],[Tech Start Date]],2),""))))</f>
        <v/>
      </c>
      <c r="N1033" s="69" t="str">
        <f>IF(Main[[#This Row],[Tech Start Date]]&lt;1/1/1990,"",IF(Main[[#This Row],[Class]]="C",WORKDAY(Main[[#This Row],[Tech Start Date]],19),IF(Main[[#This Row],[Class]]="B", WORKDAY(Main[[#This Row],[Tech Start Date]],12),IF(Main[[#This Row],[Class]]="A",WORKDAY(Main[[#This Row],[Tech Start Date]],4),""))))</f>
        <v/>
      </c>
      <c r="O1033" s="69" t="str">
        <f>IF(Main[[#This Row],[Tech Start Date]]&lt;1/1/1990,"",IF(Main[[#This Row],[Class]]="C",WORKDAY(Main[[#This Row],[Tech Start Date]],23),IF(Main[[#This Row],[Class]]="B", WORKDAY(Main[[#This Row],[Tech Start Date]],15),IF(Main[[#This Row],[Class]]="A",WORKDAY(Main[[#This Row],[Tech Start Date]],5),""))))</f>
        <v/>
      </c>
      <c r="P1033" s="69" t="str">
        <f>IF(Main[[#This Row],[Tech Start Date]]&lt;1/1/1990,"",IF(Main[[#This Row],[Class]]="C",WORKDAY(Main[[#This Row],[Tech Start Date]],28),IF(Main[[#This Row],[Class]]="B", WORKDAY(Main[[#This Row],[Tech Start Date]],19),IF(Main[[#This Row],[Class]]="A",WORKDAY(Main[[#This Row],[Tech Start Date]],9),""))))</f>
        <v/>
      </c>
      <c r="Q1033" s="67"/>
      <c r="R1033" s="67">
        <v>40875</v>
      </c>
      <c r="S1033" s="65" t="s">
        <v>17</v>
      </c>
      <c r="T1033" s="70" t="s">
        <v>4</v>
      </c>
      <c r="U1033" s="65" t="s">
        <v>29</v>
      </c>
      <c r="V1033" s="65" t="s">
        <v>1917</v>
      </c>
      <c r="W1033" s="65" t="s">
        <v>1922</v>
      </c>
      <c r="X1033" s="65" t="s">
        <v>399</v>
      </c>
      <c r="Y1033" s="65" t="s">
        <v>4</v>
      </c>
      <c r="Z1033" s="65" t="s">
        <v>415</v>
      </c>
      <c r="AA1033" s="65" t="s">
        <v>3459</v>
      </c>
    </row>
    <row r="1034" spans="1:27" ht="17.45" hidden="1" customHeight="1">
      <c r="A1034" s="100" t="str">
        <f>IF(priority(Main[[#This Row],[Comments]])&lt;&gt;0, priority(Main[[#This Row],[Comments]]),"")</f>
        <v/>
      </c>
      <c r="B1034" s="77" t="s">
        <v>2490</v>
      </c>
      <c r="C1034" s="65" t="s">
        <v>4</v>
      </c>
      <c r="D1034" s="66" t="s">
        <v>2491</v>
      </c>
      <c r="E1034" s="67"/>
      <c r="F1034" s="67"/>
      <c r="G1034" s="64" t="str">
        <f>IF(stdProdLT(Main[[#This Row],[Comments]])=0.1,"N/A",IF(stdProdLT(Main[[#This Row],[Comments]])=0,"",stdProdLT(Main[[#This Row],[Comments]])))</f>
        <v/>
      </c>
      <c r="H1034" s="68" t="str">
        <f>IF(AND(Main[[#This Row],[In Stock Date]]&lt;&gt;"",Main[[#This Row],[Revised Due Date]]&lt;&gt;""),Main[[#This Row],[In Stock Date]]-Main[[#This Row],[Revised Due Date]],"")</f>
        <v/>
      </c>
      <c r="I1034" s="65" t="s">
        <v>530</v>
      </c>
      <c r="J1034" s="65" t="s">
        <v>21</v>
      </c>
      <c r="K1034" s="65" t="s">
        <v>1923</v>
      </c>
      <c r="L1034" s="67"/>
      <c r="M1034" s="69" t="str">
        <f>IF(Main[[#This Row],[Tech Start Date]]&lt;1/1/1990,"",IF(Main[[#This Row],[Class]]="C",WORKDAY(Main[[#This Row],[Tech Start Date]],9),IF(Main[[#This Row],[Class]]="B", WORKDAY(Main[[#This Row],[Tech Start Date]],6),IF(Main[[#This Row],[Class]]="A",WORKDAY(Main[[#This Row],[Tech Start Date]],2),""))))</f>
        <v/>
      </c>
      <c r="N1034" s="69" t="str">
        <f>IF(Main[[#This Row],[Tech Start Date]]&lt;1/1/1990,"",IF(Main[[#This Row],[Class]]="C",WORKDAY(Main[[#This Row],[Tech Start Date]],19),IF(Main[[#This Row],[Class]]="B", WORKDAY(Main[[#This Row],[Tech Start Date]],12),IF(Main[[#This Row],[Class]]="A",WORKDAY(Main[[#This Row],[Tech Start Date]],4),""))))</f>
        <v/>
      </c>
      <c r="O1034" s="69" t="str">
        <f>IF(Main[[#This Row],[Tech Start Date]]&lt;1/1/1990,"",IF(Main[[#This Row],[Class]]="C",WORKDAY(Main[[#This Row],[Tech Start Date]],23),IF(Main[[#This Row],[Class]]="B", WORKDAY(Main[[#This Row],[Tech Start Date]],15),IF(Main[[#This Row],[Class]]="A",WORKDAY(Main[[#This Row],[Tech Start Date]],5),""))))</f>
        <v/>
      </c>
      <c r="P1034" s="69" t="str">
        <f>IF(Main[[#This Row],[Tech Start Date]]&lt;1/1/1990,"",IF(Main[[#This Row],[Class]]="C",WORKDAY(Main[[#This Row],[Tech Start Date]],28),IF(Main[[#This Row],[Class]]="B", WORKDAY(Main[[#This Row],[Tech Start Date]],19),IF(Main[[#This Row],[Class]]="A",WORKDAY(Main[[#This Row],[Tech Start Date]],9),""))))</f>
        <v/>
      </c>
      <c r="Q1034" s="67">
        <v>40939</v>
      </c>
      <c r="R1034" s="67"/>
      <c r="S1034" s="65" t="s">
        <v>6</v>
      </c>
      <c r="T1034" s="70" t="s">
        <v>4</v>
      </c>
      <c r="U1034" s="65" t="s">
        <v>14</v>
      </c>
      <c r="V1034" s="65" t="s">
        <v>1917</v>
      </c>
      <c r="W1034" s="65" t="s">
        <v>1918</v>
      </c>
      <c r="X1034" s="65" t="s">
        <v>553</v>
      </c>
      <c r="Y1034" s="65" t="s">
        <v>2952</v>
      </c>
      <c r="Z1034" s="65" t="s">
        <v>30</v>
      </c>
      <c r="AA1034" s="65" t="s">
        <v>553</v>
      </c>
    </row>
    <row r="1035" spans="1:27" ht="17.45" hidden="1" customHeight="1">
      <c r="A1035" s="100" t="str">
        <f>IF(priority(Main[[#This Row],[Comments]])&lt;&gt;0, priority(Main[[#This Row],[Comments]]),"")</f>
        <v/>
      </c>
      <c r="B1035" s="77" t="s">
        <v>2459</v>
      </c>
      <c r="C1035" s="65" t="s">
        <v>4</v>
      </c>
      <c r="D1035" s="66" t="s">
        <v>2673</v>
      </c>
      <c r="E1035" s="67">
        <v>40865.334965277776</v>
      </c>
      <c r="F1035" s="67"/>
      <c r="G1035" s="64" t="str">
        <f>IF(stdProdLT(Main[[#This Row],[Comments]])=0.1,"N/A",IF(stdProdLT(Main[[#This Row],[Comments]])=0,"",stdProdLT(Main[[#This Row],[Comments]])))</f>
        <v/>
      </c>
      <c r="H1035" s="68" t="str">
        <f>IF(AND(Main[[#This Row],[In Stock Date]]&lt;&gt;"",Main[[#This Row],[Revised Due Date]]&lt;&gt;""),Main[[#This Row],[In Stock Date]]-Main[[#This Row],[Revised Due Date]],"")</f>
        <v/>
      </c>
      <c r="I1035" s="65" t="s">
        <v>4</v>
      </c>
      <c r="J1035" s="65" t="s">
        <v>4</v>
      </c>
      <c r="K1035" s="65" t="s">
        <v>4</v>
      </c>
      <c r="L1035" s="67"/>
      <c r="M1035" s="69" t="str">
        <f>IF(Main[[#This Row],[Tech Start Date]]&lt;1/1/1990,"",IF(Main[[#This Row],[Class]]="C",WORKDAY(Main[[#This Row],[Tech Start Date]],9),IF(Main[[#This Row],[Class]]="B", WORKDAY(Main[[#This Row],[Tech Start Date]],6),IF(Main[[#This Row],[Class]]="A",WORKDAY(Main[[#This Row],[Tech Start Date]],2),""))))</f>
        <v/>
      </c>
      <c r="N1035" s="69" t="str">
        <f>IF(Main[[#This Row],[Tech Start Date]]&lt;1/1/1990,"",IF(Main[[#This Row],[Class]]="C",WORKDAY(Main[[#This Row],[Tech Start Date]],19),IF(Main[[#This Row],[Class]]="B", WORKDAY(Main[[#This Row],[Tech Start Date]],12),IF(Main[[#This Row],[Class]]="A",WORKDAY(Main[[#This Row],[Tech Start Date]],4),""))))</f>
        <v/>
      </c>
      <c r="O1035" s="69" t="str">
        <f>IF(Main[[#This Row],[Tech Start Date]]&lt;1/1/1990,"",IF(Main[[#This Row],[Class]]="C",WORKDAY(Main[[#This Row],[Tech Start Date]],23),IF(Main[[#This Row],[Class]]="B", WORKDAY(Main[[#This Row],[Tech Start Date]],15),IF(Main[[#This Row],[Class]]="A",WORKDAY(Main[[#This Row],[Tech Start Date]],5),""))))</f>
        <v/>
      </c>
      <c r="P1035" s="69" t="str">
        <f>IF(Main[[#This Row],[Tech Start Date]]&lt;1/1/1990,"",IF(Main[[#This Row],[Class]]="C",WORKDAY(Main[[#This Row],[Tech Start Date]],28),IF(Main[[#This Row],[Class]]="B", WORKDAY(Main[[#This Row],[Tech Start Date]],19),IF(Main[[#This Row],[Class]]="A",WORKDAY(Main[[#This Row],[Tech Start Date]],9),""))))</f>
        <v/>
      </c>
      <c r="Q1035" s="67"/>
      <c r="R1035" s="67"/>
      <c r="S1035" s="65" t="s">
        <v>6</v>
      </c>
      <c r="T1035" s="70" t="s">
        <v>4</v>
      </c>
      <c r="U1035" s="65" t="s">
        <v>7</v>
      </c>
      <c r="V1035" s="65" t="s">
        <v>1914</v>
      </c>
      <c r="W1035" s="65" t="s">
        <v>1918</v>
      </c>
      <c r="X1035" s="65" t="s">
        <v>102</v>
      </c>
      <c r="Y1035" s="65" t="s">
        <v>3080</v>
      </c>
      <c r="Z1035" s="65" t="s">
        <v>4</v>
      </c>
      <c r="AA1035" s="65" t="s">
        <v>3386</v>
      </c>
    </row>
    <row r="1036" spans="1:27" ht="17.45" hidden="1" customHeight="1">
      <c r="A1036" s="100" t="str">
        <f>IF(priority(Main[[#This Row],[Comments]])&lt;&gt;0, priority(Main[[#This Row],[Comments]]),"")</f>
        <v/>
      </c>
      <c r="B1036" s="77" t="s">
        <v>3643</v>
      </c>
      <c r="C1036" s="65" t="s">
        <v>4</v>
      </c>
      <c r="D1036" s="66" t="s">
        <v>3644</v>
      </c>
      <c r="E1036" s="67">
        <v>40956.460902777777</v>
      </c>
      <c r="F1036" s="67"/>
      <c r="G1036" s="64" t="str">
        <f>IF(stdProdLT(Main[[#This Row],[Comments]])=0.1,"N/A",IF(stdProdLT(Main[[#This Row],[Comments]])=0,"",stdProdLT(Main[[#This Row],[Comments]])))</f>
        <v/>
      </c>
      <c r="H1036" s="68" t="str">
        <f>IF(AND(Main[[#This Row],[In Stock Date]]&lt;&gt;"",Main[[#This Row],[Revised Due Date]]&lt;&gt;""),Main[[#This Row],[In Stock Date]]-Main[[#This Row],[Revised Due Date]],"")</f>
        <v/>
      </c>
      <c r="I1036" s="65" t="s">
        <v>2051</v>
      </c>
      <c r="J1036" s="65" t="s">
        <v>28</v>
      </c>
      <c r="K1036" s="65" t="s">
        <v>4</v>
      </c>
      <c r="L1036" s="67"/>
      <c r="M1036" s="69" t="str">
        <f>IF(Main[[#This Row],[Tech Start Date]]&lt;1/1/1990,"",IF(Main[[#This Row],[Class]]="C",WORKDAY(Main[[#This Row],[Tech Start Date]],9),IF(Main[[#This Row],[Class]]="B", WORKDAY(Main[[#This Row],[Tech Start Date]],6),IF(Main[[#This Row],[Class]]="A",WORKDAY(Main[[#This Row],[Tech Start Date]],2),""))))</f>
        <v/>
      </c>
      <c r="N1036" s="69" t="str">
        <f>IF(Main[[#This Row],[Tech Start Date]]&lt;1/1/1990,"",IF(Main[[#This Row],[Class]]="C",WORKDAY(Main[[#This Row],[Tech Start Date]],19),IF(Main[[#This Row],[Class]]="B", WORKDAY(Main[[#This Row],[Tech Start Date]],12),IF(Main[[#This Row],[Class]]="A",WORKDAY(Main[[#This Row],[Tech Start Date]],4),""))))</f>
        <v/>
      </c>
      <c r="O1036" s="69" t="str">
        <f>IF(Main[[#This Row],[Tech Start Date]]&lt;1/1/1990,"",IF(Main[[#This Row],[Class]]="C",WORKDAY(Main[[#This Row],[Tech Start Date]],23),IF(Main[[#This Row],[Class]]="B", WORKDAY(Main[[#This Row],[Tech Start Date]],15),IF(Main[[#This Row],[Class]]="A",WORKDAY(Main[[#This Row],[Tech Start Date]],5),""))))</f>
        <v/>
      </c>
      <c r="P1036" s="69" t="str">
        <f>IF(Main[[#This Row],[Tech Start Date]]&lt;1/1/1990,"",IF(Main[[#This Row],[Class]]="C",WORKDAY(Main[[#This Row],[Tech Start Date]],28),IF(Main[[#This Row],[Class]]="B", WORKDAY(Main[[#This Row],[Tech Start Date]],19),IF(Main[[#This Row],[Class]]="A",WORKDAY(Main[[#This Row],[Tech Start Date]],9),""))))</f>
        <v/>
      </c>
      <c r="Q1036" s="67">
        <v>40991</v>
      </c>
      <c r="R1036" s="67"/>
      <c r="S1036" s="65" t="s">
        <v>6</v>
      </c>
      <c r="T1036" s="70" t="s">
        <v>4</v>
      </c>
      <c r="U1036" s="65" t="s">
        <v>29</v>
      </c>
      <c r="V1036" s="65" t="s">
        <v>1917</v>
      </c>
      <c r="W1036" s="65" t="s">
        <v>1918</v>
      </c>
      <c r="X1036" s="65" t="s">
        <v>2818</v>
      </c>
      <c r="Y1036" s="65" t="s">
        <v>2929</v>
      </c>
      <c r="Z1036" s="65" t="s">
        <v>30</v>
      </c>
      <c r="AA1036" s="65" t="s">
        <v>2818</v>
      </c>
    </row>
    <row r="1037" spans="1:27" ht="17.45" hidden="1" customHeight="1">
      <c r="A1037" s="100" t="str">
        <f>IF(priority(Main[[#This Row],[Comments]])&lt;&gt;0, priority(Main[[#This Row],[Comments]]),"")</f>
        <v/>
      </c>
      <c r="B1037" s="77" t="s">
        <v>2294</v>
      </c>
      <c r="C1037" s="65" t="s">
        <v>4</v>
      </c>
      <c r="D1037" s="66" t="s">
        <v>3645</v>
      </c>
      <c r="E1037" s="67">
        <v>40814.667314814818</v>
      </c>
      <c r="F1037" s="67"/>
      <c r="G1037" s="64" t="str">
        <f>IF(stdProdLT(Main[[#This Row],[Comments]])=0.1,"N/A",IF(stdProdLT(Main[[#This Row],[Comments]])=0,"",stdProdLT(Main[[#This Row],[Comments]])))</f>
        <v/>
      </c>
      <c r="H1037" s="68" t="str">
        <f>IF(AND(Main[[#This Row],[In Stock Date]]&lt;&gt;"",Main[[#This Row],[Revised Due Date]]&lt;&gt;""),Main[[#This Row],[In Stock Date]]-Main[[#This Row],[Revised Due Date]],"")</f>
        <v/>
      </c>
      <c r="I1037" s="65" t="s">
        <v>883</v>
      </c>
      <c r="J1037" s="65" t="s">
        <v>51</v>
      </c>
      <c r="K1037" s="65" t="s">
        <v>1923</v>
      </c>
      <c r="L1037" s="67"/>
      <c r="M1037" s="69" t="str">
        <f>IF(Main[[#This Row],[Tech Start Date]]&lt;1/1/1990,"",IF(Main[[#This Row],[Class]]="C",WORKDAY(Main[[#This Row],[Tech Start Date]],9),IF(Main[[#This Row],[Class]]="B", WORKDAY(Main[[#This Row],[Tech Start Date]],6),IF(Main[[#This Row],[Class]]="A",WORKDAY(Main[[#This Row],[Tech Start Date]],2),""))))</f>
        <v/>
      </c>
      <c r="N1037" s="69" t="str">
        <f>IF(Main[[#This Row],[Tech Start Date]]&lt;1/1/1990,"",IF(Main[[#This Row],[Class]]="C",WORKDAY(Main[[#This Row],[Tech Start Date]],19),IF(Main[[#This Row],[Class]]="B", WORKDAY(Main[[#This Row],[Tech Start Date]],12),IF(Main[[#This Row],[Class]]="A",WORKDAY(Main[[#This Row],[Tech Start Date]],4),""))))</f>
        <v/>
      </c>
      <c r="O1037" s="69" t="str">
        <f>IF(Main[[#This Row],[Tech Start Date]]&lt;1/1/1990,"",IF(Main[[#This Row],[Class]]="C",WORKDAY(Main[[#This Row],[Tech Start Date]],23),IF(Main[[#This Row],[Class]]="B", WORKDAY(Main[[#This Row],[Tech Start Date]],15),IF(Main[[#This Row],[Class]]="A",WORKDAY(Main[[#This Row],[Tech Start Date]],5),""))))</f>
        <v/>
      </c>
      <c r="P1037" s="69" t="str">
        <f>IF(Main[[#This Row],[Tech Start Date]]&lt;1/1/1990,"",IF(Main[[#This Row],[Class]]="C",WORKDAY(Main[[#This Row],[Tech Start Date]],28),IF(Main[[#This Row],[Class]]="B", WORKDAY(Main[[#This Row],[Tech Start Date]],19),IF(Main[[#This Row],[Class]]="A",WORKDAY(Main[[#This Row],[Tech Start Date]],9),""))))</f>
        <v/>
      </c>
      <c r="Q1037" s="67"/>
      <c r="R1037" s="67"/>
      <c r="S1037" s="65" t="s">
        <v>6</v>
      </c>
      <c r="T1037" s="70" t="s">
        <v>4</v>
      </c>
      <c r="U1037" s="65" t="s">
        <v>29</v>
      </c>
      <c r="V1037" s="65" t="s">
        <v>1917</v>
      </c>
      <c r="W1037" s="65" t="s">
        <v>1918</v>
      </c>
      <c r="X1037" s="65" t="s">
        <v>399</v>
      </c>
      <c r="Y1037" s="65" t="s">
        <v>2963</v>
      </c>
      <c r="Z1037" s="65" t="s">
        <v>306</v>
      </c>
      <c r="AA1037" s="65" t="s">
        <v>883</v>
      </c>
    </row>
    <row r="1038" spans="1:27" ht="17.45" hidden="1" customHeight="1">
      <c r="A1038" s="100" t="str">
        <f>IF(priority(Main[[#This Row],[Comments]])&lt;&gt;0, priority(Main[[#This Row],[Comments]]),"")</f>
        <v/>
      </c>
      <c r="B1038" s="77" t="s">
        <v>2375</v>
      </c>
      <c r="C1038" s="65" t="s">
        <v>4</v>
      </c>
      <c r="D1038" s="66" t="s">
        <v>2376</v>
      </c>
      <c r="E1038" s="67">
        <v>40835.331365740742</v>
      </c>
      <c r="F1038" s="67"/>
      <c r="G1038" s="64" t="str">
        <f>IF(stdProdLT(Main[[#This Row],[Comments]])=0.1,"N/A",IF(stdProdLT(Main[[#This Row],[Comments]])=0,"",stdProdLT(Main[[#This Row],[Comments]])))</f>
        <v/>
      </c>
      <c r="H1038" s="68" t="str">
        <f>IF(AND(Main[[#This Row],[In Stock Date]]&lt;&gt;"",Main[[#This Row],[Revised Due Date]]&lt;&gt;""),Main[[#This Row],[In Stock Date]]-Main[[#This Row],[Revised Due Date]],"")</f>
        <v/>
      </c>
      <c r="I1038" s="65" t="s">
        <v>530</v>
      </c>
      <c r="J1038" s="65" t="s">
        <v>21</v>
      </c>
      <c r="K1038" s="65" t="s">
        <v>1923</v>
      </c>
      <c r="L1038" s="67"/>
      <c r="M1038" s="69" t="str">
        <f>IF(Main[[#This Row],[Tech Start Date]]&lt;1/1/1990,"",IF(Main[[#This Row],[Class]]="C",WORKDAY(Main[[#This Row],[Tech Start Date]],9),IF(Main[[#This Row],[Class]]="B", WORKDAY(Main[[#This Row],[Tech Start Date]],6),IF(Main[[#This Row],[Class]]="A",WORKDAY(Main[[#This Row],[Tech Start Date]],2),""))))</f>
        <v/>
      </c>
      <c r="N1038" s="69" t="str">
        <f>IF(Main[[#This Row],[Tech Start Date]]&lt;1/1/1990,"",IF(Main[[#This Row],[Class]]="C",WORKDAY(Main[[#This Row],[Tech Start Date]],19),IF(Main[[#This Row],[Class]]="B", WORKDAY(Main[[#This Row],[Tech Start Date]],12),IF(Main[[#This Row],[Class]]="A",WORKDAY(Main[[#This Row],[Tech Start Date]],4),""))))</f>
        <v/>
      </c>
      <c r="O1038" s="69" t="str">
        <f>IF(Main[[#This Row],[Tech Start Date]]&lt;1/1/1990,"",IF(Main[[#This Row],[Class]]="C",WORKDAY(Main[[#This Row],[Tech Start Date]],23),IF(Main[[#This Row],[Class]]="B", WORKDAY(Main[[#This Row],[Tech Start Date]],15),IF(Main[[#This Row],[Class]]="A",WORKDAY(Main[[#This Row],[Tech Start Date]],5),""))))</f>
        <v/>
      </c>
      <c r="P1038" s="69" t="str">
        <f>IF(Main[[#This Row],[Tech Start Date]]&lt;1/1/1990,"",IF(Main[[#This Row],[Class]]="C",WORKDAY(Main[[#This Row],[Tech Start Date]],28),IF(Main[[#This Row],[Class]]="B", WORKDAY(Main[[#This Row],[Tech Start Date]],19),IF(Main[[#This Row],[Class]]="A",WORKDAY(Main[[#This Row],[Tech Start Date]],9),""))))</f>
        <v/>
      </c>
      <c r="Q1038" s="67"/>
      <c r="R1038" s="67"/>
      <c r="S1038" s="65" t="s">
        <v>6</v>
      </c>
      <c r="T1038" s="70" t="s">
        <v>4</v>
      </c>
      <c r="U1038" s="65" t="s">
        <v>29</v>
      </c>
      <c r="V1038" s="65" t="s">
        <v>1917</v>
      </c>
      <c r="W1038" s="65" t="s">
        <v>1918</v>
      </c>
      <c r="X1038" s="65" t="s">
        <v>399</v>
      </c>
      <c r="Y1038" s="65" t="s">
        <v>4</v>
      </c>
      <c r="Z1038" s="65" t="s">
        <v>530</v>
      </c>
      <c r="AA1038" s="65" t="s">
        <v>3397</v>
      </c>
    </row>
    <row r="1039" spans="1:27" ht="17.45" hidden="1" customHeight="1">
      <c r="A1039" s="100" t="str">
        <f>IF(priority(Main[[#This Row],[Comments]])&lt;&gt;0, priority(Main[[#This Row],[Comments]]),"")</f>
        <v/>
      </c>
      <c r="B1039" s="77" t="s">
        <v>3646</v>
      </c>
      <c r="C1039" s="65" t="s">
        <v>122</v>
      </c>
      <c r="D1039" s="66" t="s">
        <v>3647</v>
      </c>
      <c r="E1039" s="67">
        <v>40966.422523148147</v>
      </c>
      <c r="F1039" s="67">
        <v>40998</v>
      </c>
      <c r="G1039" s="64" t="str">
        <f>IF(stdProdLT(Main[[#This Row],[Comments]])=0.1,"N/A",IF(stdProdLT(Main[[#This Row],[Comments]])=0,"",stdProdLT(Main[[#This Row],[Comments]])))</f>
        <v/>
      </c>
      <c r="H1039" s="68" t="str">
        <f>IF(AND(Main[[#This Row],[In Stock Date]]&lt;&gt;"",Main[[#This Row],[Revised Due Date]]&lt;&gt;""),Main[[#This Row],[In Stock Date]]-Main[[#This Row],[Revised Due Date]],"")</f>
        <v/>
      </c>
      <c r="I1039" s="65" t="s">
        <v>4</v>
      </c>
      <c r="J1039" s="65" t="s">
        <v>4</v>
      </c>
      <c r="K1039" s="65" t="s">
        <v>4</v>
      </c>
      <c r="L1039" s="67"/>
      <c r="M1039" s="69" t="str">
        <f>IF(Main[[#This Row],[Tech Start Date]]&lt;1/1/1990,"",IF(Main[[#This Row],[Class]]="C",WORKDAY(Main[[#This Row],[Tech Start Date]],9),IF(Main[[#This Row],[Class]]="B", WORKDAY(Main[[#This Row],[Tech Start Date]],6),IF(Main[[#This Row],[Class]]="A",WORKDAY(Main[[#This Row],[Tech Start Date]],2),""))))</f>
        <v/>
      </c>
      <c r="N1039" s="69" t="str">
        <f>IF(Main[[#This Row],[Tech Start Date]]&lt;1/1/1990,"",IF(Main[[#This Row],[Class]]="C",WORKDAY(Main[[#This Row],[Tech Start Date]],19),IF(Main[[#This Row],[Class]]="B", WORKDAY(Main[[#This Row],[Tech Start Date]],12),IF(Main[[#This Row],[Class]]="A",WORKDAY(Main[[#This Row],[Tech Start Date]],4),""))))</f>
        <v/>
      </c>
      <c r="O1039" s="69" t="str">
        <f>IF(Main[[#This Row],[Tech Start Date]]&lt;1/1/1990,"",IF(Main[[#This Row],[Class]]="C",WORKDAY(Main[[#This Row],[Tech Start Date]],23),IF(Main[[#This Row],[Class]]="B", WORKDAY(Main[[#This Row],[Tech Start Date]],15),IF(Main[[#This Row],[Class]]="A",WORKDAY(Main[[#This Row],[Tech Start Date]],5),""))))</f>
        <v/>
      </c>
      <c r="P1039" s="69" t="str">
        <f>IF(Main[[#This Row],[Tech Start Date]]&lt;1/1/1990,"",IF(Main[[#This Row],[Class]]="C",WORKDAY(Main[[#This Row],[Tech Start Date]],28),IF(Main[[#This Row],[Class]]="B", WORKDAY(Main[[#This Row],[Tech Start Date]],19),IF(Main[[#This Row],[Class]]="A",WORKDAY(Main[[#This Row],[Tech Start Date]],9),""))))</f>
        <v/>
      </c>
      <c r="Q1039" s="67"/>
      <c r="R1039" s="67"/>
      <c r="S1039" s="65" t="s">
        <v>17</v>
      </c>
      <c r="T1039" s="70" t="s">
        <v>4</v>
      </c>
      <c r="U1039" s="65" t="s">
        <v>7</v>
      </c>
      <c r="V1039" s="65" t="s">
        <v>1917</v>
      </c>
      <c r="W1039" s="65" t="s">
        <v>1922</v>
      </c>
      <c r="X1039" s="65" t="s">
        <v>50</v>
      </c>
      <c r="Y1039" s="65" t="s">
        <v>3584</v>
      </c>
      <c r="Z1039" s="65" t="s">
        <v>4</v>
      </c>
      <c r="AA1039" s="65" t="s">
        <v>65</v>
      </c>
    </row>
    <row r="1040" spans="1:27" ht="17.45" hidden="1" customHeight="1">
      <c r="A1040" s="100" t="str">
        <f>IF(priority(Main[[#This Row],[Comments]])&lt;&gt;0, priority(Main[[#This Row],[Comments]]),"")</f>
        <v/>
      </c>
      <c r="B1040" s="77" t="s">
        <v>2381</v>
      </c>
      <c r="C1040" s="65" t="s">
        <v>72</v>
      </c>
      <c r="D1040" s="66" t="s">
        <v>2382</v>
      </c>
      <c r="E1040" s="67">
        <v>40856.064849537041</v>
      </c>
      <c r="F1040" s="67"/>
      <c r="G1040" s="64" t="str">
        <f>IF(stdProdLT(Main[[#This Row],[Comments]])=0.1,"N/A",IF(stdProdLT(Main[[#This Row],[Comments]])=0,"",stdProdLT(Main[[#This Row],[Comments]])))</f>
        <v/>
      </c>
      <c r="H1040" s="68" t="str">
        <f>IF(AND(Main[[#This Row],[In Stock Date]]&lt;&gt;"",Main[[#This Row],[Revised Due Date]]&lt;&gt;""),Main[[#This Row],[In Stock Date]]-Main[[#This Row],[Revised Due Date]],"")</f>
        <v/>
      </c>
      <c r="I1040" s="65" t="s">
        <v>4</v>
      </c>
      <c r="J1040" s="65" t="s">
        <v>4</v>
      </c>
      <c r="K1040" s="71" t="s">
        <v>4</v>
      </c>
      <c r="L1040" s="67"/>
      <c r="M1040" s="69" t="str">
        <f>IF(Main[[#This Row],[Tech Start Date]]&lt;1/1/1990,"",IF(Main[[#This Row],[Class]]="C",WORKDAY(Main[[#This Row],[Tech Start Date]],9),IF(Main[[#This Row],[Class]]="B", WORKDAY(Main[[#This Row],[Tech Start Date]],6),IF(Main[[#This Row],[Class]]="A",WORKDAY(Main[[#This Row],[Tech Start Date]],2),""))))</f>
        <v/>
      </c>
      <c r="N1040" s="69" t="str">
        <f>IF(Main[[#This Row],[Tech Start Date]]&lt;1/1/1990,"",IF(Main[[#This Row],[Class]]="C",WORKDAY(Main[[#This Row],[Tech Start Date]],19),IF(Main[[#This Row],[Class]]="B", WORKDAY(Main[[#This Row],[Tech Start Date]],12),IF(Main[[#This Row],[Class]]="A",WORKDAY(Main[[#This Row],[Tech Start Date]],4),""))))</f>
        <v/>
      </c>
      <c r="O1040" s="69" t="str">
        <f>IF(Main[[#This Row],[Tech Start Date]]&lt;1/1/1990,"",IF(Main[[#This Row],[Class]]="C",WORKDAY(Main[[#This Row],[Tech Start Date]],23),IF(Main[[#This Row],[Class]]="B", WORKDAY(Main[[#This Row],[Tech Start Date]],15),IF(Main[[#This Row],[Class]]="A",WORKDAY(Main[[#This Row],[Tech Start Date]],5),""))))</f>
        <v/>
      </c>
      <c r="P1040" s="69" t="str">
        <f>IF(Main[[#This Row],[Tech Start Date]]&lt;1/1/1990,"",IF(Main[[#This Row],[Class]]="C",WORKDAY(Main[[#This Row],[Tech Start Date]],28),IF(Main[[#This Row],[Class]]="B", WORKDAY(Main[[#This Row],[Tech Start Date]],19),IF(Main[[#This Row],[Class]]="A",WORKDAY(Main[[#This Row],[Tech Start Date]],9),""))))</f>
        <v/>
      </c>
      <c r="Q1040" s="67"/>
      <c r="R1040" s="67"/>
      <c r="S1040" s="65" t="s">
        <v>17</v>
      </c>
      <c r="T1040" s="70" t="s">
        <v>4</v>
      </c>
      <c r="U1040" s="65" t="s">
        <v>7</v>
      </c>
      <c r="V1040" s="65" t="s">
        <v>1915</v>
      </c>
      <c r="W1040" s="65" t="s">
        <v>1916</v>
      </c>
      <c r="X1040" s="65" t="s">
        <v>2890</v>
      </c>
      <c r="Y1040" s="65" t="s">
        <v>3047</v>
      </c>
      <c r="Z1040" s="65" t="s">
        <v>4</v>
      </c>
      <c r="AA1040" s="65" t="s">
        <v>2890</v>
      </c>
    </row>
    <row r="1041" spans="1:27" ht="17.45" hidden="1" customHeight="1">
      <c r="A1041" s="100">
        <f>IF(priority(Main[[#This Row],[Comments]])&lt;&gt;0, priority(Main[[#This Row],[Comments]]),"")</f>
        <v>34</v>
      </c>
      <c r="B1041" s="77" t="s">
        <v>1102</v>
      </c>
      <c r="C1041" s="65" t="s">
        <v>4</v>
      </c>
      <c r="D1041" s="66" t="s">
        <v>2297</v>
      </c>
      <c r="E1041" s="67">
        <v>40561.117199074077</v>
      </c>
      <c r="F1041" s="67">
        <v>40592</v>
      </c>
      <c r="G1041" s="64" t="str">
        <f>IF(stdProdLT(Main[[#This Row],[Comments]])=0.1,"N/A",IF(stdProdLT(Main[[#This Row],[Comments]])=0,"",stdProdLT(Main[[#This Row],[Comments]])))</f>
        <v/>
      </c>
      <c r="H1041" s="68" t="str">
        <f>IF(AND(Main[[#This Row],[In Stock Date]]&lt;&gt;"",Main[[#This Row],[Revised Due Date]]&lt;&gt;""),Main[[#This Row],[In Stock Date]]-Main[[#This Row],[Revised Due Date]],"")</f>
        <v/>
      </c>
      <c r="I1041" s="65" t="s">
        <v>912</v>
      </c>
      <c r="J1041" s="65" t="s">
        <v>21</v>
      </c>
      <c r="K1041" s="65" t="s">
        <v>1921</v>
      </c>
      <c r="L1041" s="67"/>
      <c r="M1041" s="69" t="str">
        <f>IF(Main[[#This Row],[Tech Start Date]]&lt;1/1/1990,"",IF(Main[[#This Row],[Class]]="C",WORKDAY(Main[[#This Row],[Tech Start Date]],9),IF(Main[[#This Row],[Class]]="B", WORKDAY(Main[[#This Row],[Tech Start Date]],6),IF(Main[[#This Row],[Class]]="A",WORKDAY(Main[[#This Row],[Tech Start Date]],2),""))))</f>
        <v/>
      </c>
      <c r="N1041" s="69" t="str">
        <f>IF(Main[[#This Row],[Tech Start Date]]&lt;1/1/1990,"",IF(Main[[#This Row],[Class]]="C",WORKDAY(Main[[#This Row],[Tech Start Date]],19),IF(Main[[#This Row],[Class]]="B", WORKDAY(Main[[#This Row],[Tech Start Date]],12),IF(Main[[#This Row],[Class]]="A",WORKDAY(Main[[#This Row],[Tech Start Date]],4),""))))</f>
        <v/>
      </c>
      <c r="O1041" s="69" t="str">
        <f>IF(Main[[#This Row],[Tech Start Date]]&lt;1/1/1990,"",IF(Main[[#This Row],[Class]]="C",WORKDAY(Main[[#This Row],[Tech Start Date]],23),IF(Main[[#This Row],[Class]]="B", WORKDAY(Main[[#This Row],[Tech Start Date]],15),IF(Main[[#This Row],[Class]]="A",WORKDAY(Main[[#This Row],[Tech Start Date]],5),""))))</f>
        <v/>
      </c>
      <c r="P1041" s="69" t="str">
        <f>IF(Main[[#This Row],[Tech Start Date]]&lt;1/1/1990,"",IF(Main[[#This Row],[Class]]="C",WORKDAY(Main[[#This Row],[Tech Start Date]],28),IF(Main[[#This Row],[Class]]="B", WORKDAY(Main[[#This Row],[Tech Start Date]],19),IF(Main[[#This Row],[Class]]="A",WORKDAY(Main[[#This Row],[Tech Start Date]],9),""))))</f>
        <v/>
      </c>
      <c r="Q1041" s="67">
        <v>40592</v>
      </c>
      <c r="R1041" s="67"/>
      <c r="S1041" s="65" t="s">
        <v>6</v>
      </c>
      <c r="T1041" s="70" t="s">
        <v>2029</v>
      </c>
      <c r="U1041" s="65" t="s">
        <v>29</v>
      </c>
      <c r="V1041" s="65" t="s">
        <v>1914</v>
      </c>
      <c r="W1041" s="65" t="s">
        <v>1916</v>
      </c>
      <c r="X1041" s="65" t="s">
        <v>2903</v>
      </c>
      <c r="Y1041" s="65" t="s">
        <v>3083</v>
      </c>
      <c r="Z1041" s="65" t="s">
        <v>129</v>
      </c>
      <c r="AA1041" s="65" t="s">
        <v>2903</v>
      </c>
    </row>
    <row r="1042" spans="1:27" ht="17.45" hidden="1" customHeight="1">
      <c r="A1042" s="100" t="str">
        <f>IF(priority(Main[[#This Row],[Comments]])&lt;&gt;0, priority(Main[[#This Row],[Comments]]),"")</f>
        <v/>
      </c>
      <c r="B1042" s="77" t="s">
        <v>2466</v>
      </c>
      <c r="C1042" s="65" t="s">
        <v>47</v>
      </c>
      <c r="D1042" s="66" t="s">
        <v>2467</v>
      </c>
      <c r="E1042" s="67">
        <v>40847.703182870369</v>
      </c>
      <c r="F1042" s="67"/>
      <c r="G1042" s="64" t="str">
        <f>IF(stdProdLT(Main[[#This Row],[Comments]])=0.1,"N/A",IF(stdProdLT(Main[[#This Row],[Comments]])=0,"",stdProdLT(Main[[#This Row],[Comments]])))</f>
        <v/>
      </c>
      <c r="H1042" s="68" t="str">
        <f>IF(AND(Main[[#This Row],[In Stock Date]]&lt;&gt;"",Main[[#This Row],[Revised Due Date]]&lt;&gt;""),Main[[#This Row],[In Stock Date]]-Main[[#This Row],[Revised Due Date]],"")</f>
        <v/>
      </c>
      <c r="I1042" s="65" t="s">
        <v>69</v>
      </c>
      <c r="J1042" s="65" t="s">
        <v>28</v>
      </c>
      <c r="K1042" s="65" t="s">
        <v>1923</v>
      </c>
      <c r="L1042" s="67"/>
      <c r="M1042" s="69" t="str">
        <f>IF(Main[[#This Row],[Tech Start Date]]&lt;1/1/1990,"",IF(Main[[#This Row],[Class]]="C",WORKDAY(Main[[#This Row],[Tech Start Date]],9),IF(Main[[#This Row],[Class]]="B", WORKDAY(Main[[#This Row],[Tech Start Date]],6),IF(Main[[#This Row],[Class]]="A",WORKDAY(Main[[#This Row],[Tech Start Date]],2),""))))</f>
        <v/>
      </c>
      <c r="N1042" s="69" t="str">
        <f>IF(Main[[#This Row],[Tech Start Date]]&lt;1/1/1990,"",IF(Main[[#This Row],[Class]]="C",WORKDAY(Main[[#This Row],[Tech Start Date]],19),IF(Main[[#This Row],[Class]]="B", WORKDAY(Main[[#This Row],[Tech Start Date]],12),IF(Main[[#This Row],[Class]]="A",WORKDAY(Main[[#This Row],[Tech Start Date]],4),""))))</f>
        <v/>
      </c>
      <c r="O1042" s="69" t="str">
        <f>IF(Main[[#This Row],[Tech Start Date]]&lt;1/1/1990,"",IF(Main[[#This Row],[Class]]="C",WORKDAY(Main[[#This Row],[Tech Start Date]],23),IF(Main[[#This Row],[Class]]="B", WORKDAY(Main[[#This Row],[Tech Start Date]],15),IF(Main[[#This Row],[Class]]="A",WORKDAY(Main[[#This Row],[Tech Start Date]],5),""))))</f>
        <v/>
      </c>
      <c r="P1042" s="69" t="str">
        <f>IF(Main[[#This Row],[Tech Start Date]]&lt;1/1/1990,"",IF(Main[[#This Row],[Class]]="C",WORKDAY(Main[[#This Row],[Tech Start Date]],28),IF(Main[[#This Row],[Class]]="B", WORKDAY(Main[[#This Row],[Tech Start Date]],19),IF(Main[[#This Row],[Class]]="A",WORKDAY(Main[[#This Row],[Tech Start Date]],9),""))))</f>
        <v/>
      </c>
      <c r="Q1042" s="67">
        <v>40862</v>
      </c>
      <c r="R1042" s="67"/>
      <c r="S1042" s="65" t="s">
        <v>6</v>
      </c>
      <c r="T1042" s="70" t="s">
        <v>4</v>
      </c>
      <c r="U1042" s="65" t="s">
        <v>29</v>
      </c>
      <c r="V1042" s="65" t="s">
        <v>1917</v>
      </c>
      <c r="W1042" s="65" t="s">
        <v>1918</v>
      </c>
      <c r="X1042" s="65" t="s">
        <v>2865</v>
      </c>
      <c r="Y1042" s="65" t="s">
        <v>3010</v>
      </c>
      <c r="Z1042" s="65" t="s">
        <v>30</v>
      </c>
      <c r="AA1042" s="65" t="s">
        <v>2865</v>
      </c>
    </row>
    <row r="1043" spans="1:27" ht="17.45" hidden="1" customHeight="1">
      <c r="A1043" s="100" t="str">
        <f>IF(priority(Main[[#This Row],[Comments]])&lt;&gt;0, priority(Main[[#This Row],[Comments]]),"")</f>
        <v/>
      </c>
      <c r="B1043" s="77" t="s">
        <v>3656</v>
      </c>
      <c r="C1043" s="65" t="s">
        <v>3657</v>
      </c>
      <c r="D1043" s="66" t="s">
        <v>3658</v>
      </c>
      <c r="E1043" s="67">
        <v>40954.604432870372</v>
      </c>
      <c r="F1043" s="67"/>
      <c r="G1043" s="64" t="str">
        <f>IF(stdProdLT(Main[[#This Row],[Comments]])=0.1,"N/A",IF(stdProdLT(Main[[#This Row],[Comments]])=0,"",stdProdLT(Main[[#This Row],[Comments]])))</f>
        <v/>
      </c>
      <c r="H1043" s="68" t="str">
        <f>IF(AND(Main[[#This Row],[In Stock Date]]&lt;&gt;"",Main[[#This Row],[Revised Due Date]]&lt;&gt;""),Main[[#This Row],[In Stock Date]]-Main[[#This Row],[Revised Due Date]],"")</f>
        <v/>
      </c>
      <c r="I1043" s="65" t="s">
        <v>940</v>
      </c>
      <c r="J1043" s="65" t="s">
        <v>28</v>
      </c>
      <c r="K1043" s="71" t="s">
        <v>1927</v>
      </c>
      <c r="L1043" s="67"/>
      <c r="M1043" s="69" t="str">
        <f>IF(Main[[#This Row],[Tech Start Date]]&lt;1/1/1990,"",IF(Main[[#This Row],[Class]]="C",WORKDAY(Main[[#This Row],[Tech Start Date]],9),IF(Main[[#This Row],[Class]]="B", WORKDAY(Main[[#This Row],[Tech Start Date]],6),IF(Main[[#This Row],[Class]]="A",WORKDAY(Main[[#This Row],[Tech Start Date]],2),""))))</f>
        <v/>
      </c>
      <c r="N1043" s="69" t="str">
        <f>IF(Main[[#This Row],[Tech Start Date]]&lt;1/1/1990,"",IF(Main[[#This Row],[Class]]="C",WORKDAY(Main[[#This Row],[Tech Start Date]],19),IF(Main[[#This Row],[Class]]="B", WORKDAY(Main[[#This Row],[Tech Start Date]],12),IF(Main[[#This Row],[Class]]="A",WORKDAY(Main[[#This Row],[Tech Start Date]],4),""))))</f>
        <v/>
      </c>
      <c r="O1043" s="69" t="str">
        <f>IF(Main[[#This Row],[Tech Start Date]]&lt;1/1/1990,"",IF(Main[[#This Row],[Class]]="C",WORKDAY(Main[[#This Row],[Tech Start Date]],23),IF(Main[[#This Row],[Class]]="B", WORKDAY(Main[[#This Row],[Tech Start Date]],15),IF(Main[[#This Row],[Class]]="A",WORKDAY(Main[[#This Row],[Tech Start Date]],5),""))))</f>
        <v/>
      </c>
      <c r="P1043" s="69" t="str">
        <f>IF(Main[[#This Row],[Tech Start Date]]&lt;1/1/1990,"",IF(Main[[#This Row],[Class]]="C",WORKDAY(Main[[#This Row],[Tech Start Date]],28),IF(Main[[#This Row],[Class]]="B", WORKDAY(Main[[#This Row],[Tech Start Date]],19),IF(Main[[#This Row],[Class]]="A",WORKDAY(Main[[#This Row],[Tech Start Date]],9),""))))</f>
        <v/>
      </c>
      <c r="Q1043" s="67">
        <v>40968</v>
      </c>
      <c r="R1043" s="67"/>
      <c r="S1043" s="65" t="s">
        <v>11</v>
      </c>
      <c r="T1043" s="70" t="s">
        <v>4</v>
      </c>
      <c r="U1043" s="65" t="s">
        <v>7</v>
      </c>
      <c r="V1043" s="65" t="s">
        <v>1915</v>
      </c>
      <c r="W1043" s="65" t="s">
        <v>1916</v>
      </c>
      <c r="X1043" s="65" t="s">
        <v>2862</v>
      </c>
      <c r="Y1043" s="65" t="s">
        <v>4</v>
      </c>
      <c r="Z1043" s="65" t="s">
        <v>2053</v>
      </c>
      <c r="AA1043" s="65" t="s">
        <v>4</v>
      </c>
    </row>
    <row r="1044" spans="1:27" ht="17.45" hidden="1" customHeight="1">
      <c r="A1044" s="100" t="str">
        <f>IF(priority(Main[[#This Row],[Comments]])&lt;&gt;0, priority(Main[[#This Row],[Comments]]),"")</f>
        <v/>
      </c>
      <c r="B1044" s="77" t="s">
        <v>1438</v>
      </c>
      <c r="C1044" s="65" t="s">
        <v>4</v>
      </c>
      <c r="D1044" s="66" t="s">
        <v>516</v>
      </c>
      <c r="E1044" s="67">
        <v>40584.460439814815</v>
      </c>
      <c r="F1044" s="67">
        <v>40599</v>
      </c>
      <c r="G1044" s="64" t="str">
        <f>IF(stdProdLT(Main[[#This Row],[Comments]])=0.1,"N/A",IF(stdProdLT(Main[[#This Row],[Comments]])=0,"",stdProdLT(Main[[#This Row],[Comments]])))</f>
        <v/>
      </c>
      <c r="H1044" s="68" t="str">
        <f>IF(AND(Main[[#This Row],[In Stock Date]]&lt;&gt;"",Main[[#This Row],[Revised Due Date]]&lt;&gt;""),Main[[#This Row],[In Stock Date]]-Main[[#This Row],[Revised Due Date]],"")</f>
        <v/>
      </c>
      <c r="I1044" s="65" t="s">
        <v>415</v>
      </c>
      <c r="J1044" s="65" t="s">
        <v>21</v>
      </c>
      <c r="K1044" s="71" t="s">
        <v>1923</v>
      </c>
      <c r="L1044" s="67"/>
      <c r="M1044" s="69" t="str">
        <f>IF(Main[[#This Row],[Tech Start Date]]&lt;1/1/1990,"",IF(Main[[#This Row],[Class]]="C",WORKDAY(Main[[#This Row],[Tech Start Date]],9),IF(Main[[#This Row],[Class]]="B", WORKDAY(Main[[#This Row],[Tech Start Date]],6),IF(Main[[#This Row],[Class]]="A",WORKDAY(Main[[#This Row],[Tech Start Date]],2),""))))</f>
        <v/>
      </c>
      <c r="N1044" s="69" t="str">
        <f>IF(Main[[#This Row],[Tech Start Date]]&lt;1/1/1990,"",IF(Main[[#This Row],[Class]]="C",WORKDAY(Main[[#This Row],[Tech Start Date]],19),IF(Main[[#This Row],[Class]]="B", WORKDAY(Main[[#This Row],[Tech Start Date]],12),IF(Main[[#This Row],[Class]]="A",WORKDAY(Main[[#This Row],[Tech Start Date]],4),""))))</f>
        <v/>
      </c>
      <c r="O1044" s="69" t="str">
        <f>IF(Main[[#This Row],[Tech Start Date]]&lt;1/1/1990,"",IF(Main[[#This Row],[Class]]="C",WORKDAY(Main[[#This Row],[Tech Start Date]],23),IF(Main[[#This Row],[Class]]="B", WORKDAY(Main[[#This Row],[Tech Start Date]],15),IF(Main[[#This Row],[Class]]="A",WORKDAY(Main[[#This Row],[Tech Start Date]],5),""))))</f>
        <v/>
      </c>
      <c r="P1044" s="69" t="str">
        <f>IF(Main[[#This Row],[Tech Start Date]]&lt;1/1/1990,"",IF(Main[[#This Row],[Class]]="C",WORKDAY(Main[[#This Row],[Tech Start Date]],28),IF(Main[[#This Row],[Class]]="B", WORKDAY(Main[[#This Row],[Tech Start Date]],19),IF(Main[[#This Row],[Class]]="A",WORKDAY(Main[[#This Row],[Tech Start Date]],9),""))))</f>
        <v/>
      </c>
      <c r="Q1044" s="67">
        <v>40599</v>
      </c>
      <c r="R1044" s="67"/>
      <c r="S1044" s="65" t="s">
        <v>6</v>
      </c>
      <c r="T1044" s="70" t="s">
        <v>4</v>
      </c>
      <c r="U1044" s="65" t="s">
        <v>29</v>
      </c>
      <c r="V1044" s="65" t="s">
        <v>1924</v>
      </c>
      <c r="W1044" s="65" t="s">
        <v>1916</v>
      </c>
      <c r="X1044" s="65" t="s">
        <v>415</v>
      </c>
      <c r="Y1044" s="65" t="s">
        <v>2975</v>
      </c>
      <c r="Z1044" s="65" t="s">
        <v>415</v>
      </c>
      <c r="AA1044" s="65" t="s">
        <v>415</v>
      </c>
    </row>
    <row r="1045" spans="1:27" ht="17.45" hidden="1" customHeight="1">
      <c r="A1045" s="100" t="str">
        <f>IF(priority(Main[[#This Row],[Comments]])&lt;&gt;0, priority(Main[[#This Row],[Comments]]),"")</f>
        <v/>
      </c>
      <c r="B1045" s="77" t="s">
        <v>2468</v>
      </c>
      <c r="C1045" s="65" t="s">
        <v>4</v>
      </c>
      <c r="D1045" s="66" t="s">
        <v>2469</v>
      </c>
      <c r="E1045" s="67"/>
      <c r="F1045" s="67"/>
      <c r="G1045" s="64" t="str">
        <f>IF(stdProdLT(Main[[#This Row],[Comments]])=0.1,"N/A",IF(stdProdLT(Main[[#This Row],[Comments]])=0,"",stdProdLT(Main[[#This Row],[Comments]])))</f>
        <v/>
      </c>
      <c r="H1045" s="68" t="str">
        <f>IF(AND(Main[[#This Row],[In Stock Date]]&lt;&gt;"",Main[[#This Row],[Revised Due Date]]&lt;&gt;""),Main[[#This Row],[In Stock Date]]-Main[[#This Row],[Revised Due Date]],"")</f>
        <v/>
      </c>
      <c r="I1045" s="65" t="s">
        <v>4</v>
      </c>
      <c r="J1045" s="65" t="s">
        <v>4</v>
      </c>
      <c r="K1045" s="65" t="s">
        <v>4</v>
      </c>
      <c r="L1045" s="67"/>
      <c r="M1045" s="69" t="str">
        <f>IF(Main[[#This Row],[Tech Start Date]]&lt;1/1/1990,"",IF(Main[[#This Row],[Class]]="C",WORKDAY(Main[[#This Row],[Tech Start Date]],9),IF(Main[[#This Row],[Class]]="B", WORKDAY(Main[[#This Row],[Tech Start Date]],6),IF(Main[[#This Row],[Class]]="A",WORKDAY(Main[[#This Row],[Tech Start Date]],2),""))))</f>
        <v/>
      </c>
      <c r="N1045" s="69" t="str">
        <f>IF(Main[[#This Row],[Tech Start Date]]&lt;1/1/1990,"",IF(Main[[#This Row],[Class]]="C",WORKDAY(Main[[#This Row],[Tech Start Date]],19),IF(Main[[#This Row],[Class]]="B", WORKDAY(Main[[#This Row],[Tech Start Date]],12),IF(Main[[#This Row],[Class]]="A",WORKDAY(Main[[#This Row],[Tech Start Date]],4),""))))</f>
        <v/>
      </c>
      <c r="O1045" s="69" t="str">
        <f>IF(Main[[#This Row],[Tech Start Date]]&lt;1/1/1990,"",IF(Main[[#This Row],[Class]]="C",WORKDAY(Main[[#This Row],[Tech Start Date]],23),IF(Main[[#This Row],[Class]]="B", WORKDAY(Main[[#This Row],[Tech Start Date]],15),IF(Main[[#This Row],[Class]]="A",WORKDAY(Main[[#This Row],[Tech Start Date]],5),""))))</f>
        <v/>
      </c>
      <c r="P1045" s="69" t="str">
        <f>IF(Main[[#This Row],[Tech Start Date]]&lt;1/1/1990,"",IF(Main[[#This Row],[Class]]="C",WORKDAY(Main[[#This Row],[Tech Start Date]],28),IF(Main[[#This Row],[Class]]="B", WORKDAY(Main[[#This Row],[Tech Start Date]],19),IF(Main[[#This Row],[Class]]="A",WORKDAY(Main[[#This Row],[Tech Start Date]],9),""))))</f>
        <v/>
      </c>
      <c r="Q1045" s="67"/>
      <c r="R1045" s="67"/>
      <c r="S1045" s="65" t="s">
        <v>11</v>
      </c>
      <c r="T1045" s="70" t="s">
        <v>4</v>
      </c>
      <c r="U1045" s="65" t="s">
        <v>14</v>
      </c>
      <c r="V1045" s="65" t="s">
        <v>1915</v>
      </c>
      <c r="W1045" s="65" t="s">
        <v>4</v>
      </c>
      <c r="X1045" s="65" t="s">
        <v>2249</v>
      </c>
      <c r="Y1045" s="65" t="s">
        <v>4</v>
      </c>
      <c r="Z1045" s="65" t="s">
        <v>4</v>
      </c>
      <c r="AA1045" s="65" t="s">
        <v>4</v>
      </c>
    </row>
    <row r="1046" spans="1:27" ht="17.45" hidden="1" customHeight="1">
      <c r="A1046" s="100" t="str">
        <f>IF(priority(Main[[#This Row],[Comments]])&lt;&gt;0, priority(Main[[#This Row],[Comments]]),"")</f>
        <v/>
      </c>
      <c r="B1046" s="77" t="s">
        <v>2470</v>
      </c>
      <c r="C1046" s="65" t="s">
        <v>2418</v>
      </c>
      <c r="D1046" s="66" t="s">
        <v>2471</v>
      </c>
      <c r="E1046" s="67"/>
      <c r="F1046" s="67">
        <v>40969</v>
      </c>
      <c r="G1046" s="64" t="str">
        <f>IF(stdProdLT(Main[[#This Row],[Comments]])=0.1,"N/A",IF(stdProdLT(Main[[#This Row],[Comments]])=0,"",stdProdLT(Main[[#This Row],[Comments]])))</f>
        <v/>
      </c>
      <c r="H1046" s="68" t="str">
        <f>IF(AND(Main[[#This Row],[In Stock Date]]&lt;&gt;"",Main[[#This Row],[Revised Due Date]]&lt;&gt;""),Main[[#This Row],[In Stock Date]]-Main[[#This Row],[Revised Due Date]],"")</f>
        <v/>
      </c>
      <c r="I1046" s="65" t="s">
        <v>4</v>
      </c>
      <c r="J1046" s="65" t="s">
        <v>4</v>
      </c>
      <c r="K1046" s="65" t="s">
        <v>4</v>
      </c>
      <c r="L1046" s="67"/>
      <c r="M1046" s="69" t="str">
        <f>IF(Main[[#This Row],[Tech Start Date]]&lt;1/1/1990,"",IF(Main[[#This Row],[Class]]="C",WORKDAY(Main[[#This Row],[Tech Start Date]],9),IF(Main[[#This Row],[Class]]="B", WORKDAY(Main[[#This Row],[Tech Start Date]],6),IF(Main[[#This Row],[Class]]="A",WORKDAY(Main[[#This Row],[Tech Start Date]],2),""))))</f>
        <v/>
      </c>
      <c r="N1046" s="69" t="str">
        <f>IF(Main[[#This Row],[Tech Start Date]]&lt;1/1/1990,"",IF(Main[[#This Row],[Class]]="C",WORKDAY(Main[[#This Row],[Tech Start Date]],19),IF(Main[[#This Row],[Class]]="B", WORKDAY(Main[[#This Row],[Tech Start Date]],12),IF(Main[[#This Row],[Class]]="A",WORKDAY(Main[[#This Row],[Tech Start Date]],4),""))))</f>
        <v/>
      </c>
      <c r="O1046" s="69" t="str">
        <f>IF(Main[[#This Row],[Tech Start Date]]&lt;1/1/1990,"",IF(Main[[#This Row],[Class]]="C",WORKDAY(Main[[#This Row],[Tech Start Date]],23),IF(Main[[#This Row],[Class]]="B", WORKDAY(Main[[#This Row],[Tech Start Date]],15),IF(Main[[#This Row],[Class]]="A",WORKDAY(Main[[#This Row],[Tech Start Date]],5),""))))</f>
        <v/>
      </c>
      <c r="P1046" s="69" t="str">
        <f>IF(Main[[#This Row],[Tech Start Date]]&lt;1/1/1990,"",IF(Main[[#This Row],[Class]]="C",WORKDAY(Main[[#This Row],[Tech Start Date]],28),IF(Main[[#This Row],[Class]]="B", WORKDAY(Main[[#This Row],[Tech Start Date]],19),IF(Main[[#This Row],[Class]]="A",WORKDAY(Main[[#This Row],[Tech Start Date]],9),""))))</f>
        <v/>
      </c>
      <c r="Q1046" s="67"/>
      <c r="R1046" s="67"/>
      <c r="S1046" s="65" t="s">
        <v>4</v>
      </c>
      <c r="T1046" s="70" t="s">
        <v>2472</v>
      </c>
      <c r="U1046" s="65" t="s">
        <v>14</v>
      </c>
      <c r="V1046" s="65" t="s">
        <v>1917</v>
      </c>
      <c r="W1046" s="65" t="s">
        <v>4</v>
      </c>
      <c r="X1046" s="65" t="s">
        <v>2856</v>
      </c>
      <c r="Y1046" s="65" t="s">
        <v>4</v>
      </c>
      <c r="Z1046" s="65" t="s">
        <v>4</v>
      </c>
      <c r="AA1046" s="65" t="s">
        <v>4</v>
      </c>
    </row>
    <row r="1047" spans="1:27" ht="17.45" hidden="1" customHeight="1">
      <c r="A1047" s="100" t="str">
        <f>IF(priority(Main[[#This Row],[Comments]])&lt;&gt;0, priority(Main[[#This Row],[Comments]]),"")</f>
        <v/>
      </c>
      <c r="B1047" s="77" t="s">
        <v>2475</v>
      </c>
      <c r="C1047" s="65" t="s">
        <v>4</v>
      </c>
      <c r="D1047" s="66" t="s">
        <v>2476</v>
      </c>
      <c r="E1047" s="67">
        <v>40834.323900462965</v>
      </c>
      <c r="F1047" s="67"/>
      <c r="G1047" s="64" t="str">
        <f>IF(stdProdLT(Main[[#This Row],[Comments]])=0.1,"N/A",IF(stdProdLT(Main[[#This Row],[Comments]])=0,"",stdProdLT(Main[[#This Row],[Comments]])))</f>
        <v/>
      </c>
      <c r="H1047" s="68" t="str">
        <f>IF(AND(Main[[#This Row],[In Stock Date]]&lt;&gt;"",Main[[#This Row],[Revised Due Date]]&lt;&gt;""),Main[[#This Row],[In Stock Date]]-Main[[#This Row],[Revised Due Date]],"")</f>
        <v/>
      </c>
      <c r="I1047" s="65" t="s">
        <v>4</v>
      </c>
      <c r="J1047" s="65" t="s">
        <v>4</v>
      </c>
      <c r="K1047" s="65" t="s">
        <v>4</v>
      </c>
      <c r="L1047" s="67"/>
      <c r="M1047" s="69" t="str">
        <f>IF(Main[[#This Row],[Tech Start Date]]&lt;1/1/1990,"",IF(Main[[#This Row],[Class]]="C",WORKDAY(Main[[#This Row],[Tech Start Date]],9),IF(Main[[#This Row],[Class]]="B", WORKDAY(Main[[#This Row],[Tech Start Date]],6),IF(Main[[#This Row],[Class]]="A",WORKDAY(Main[[#This Row],[Tech Start Date]],2),""))))</f>
        <v/>
      </c>
      <c r="N1047" s="69" t="str">
        <f>IF(Main[[#This Row],[Tech Start Date]]&lt;1/1/1990,"",IF(Main[[#This Row],[Class]]="C",WORKDAY(Main[[#This Row],[Tech Start Date]],19),IF(Main[[#This Row],[Class]]="B", WORKDAY(Main[[#This Row],[Tech Start Date]],12),IF(Main[[#This Row],[Class]]="A",WORKDAY(Main[[#This Row],[Tech Start Date]],4),""))))</f>
        <v/>
      </c>
      <c r="O1047" s="69" t="str">
        <f>IF(Main[[#This Row],[Tech Start Date]]&lt;1/1/1990,"",IF(Main[[#This Row],[Class]]="C",WORKDAY(Main[[#This Row],[Tech Start Date]],23),IF(Main[[#This Row],[Class]]="B", WORKDAY(Main[[#This Row],[Tech Start Date]],15),IF(Main[[#This Row],[Class]]="A",WORKDAY(Main[[#This Row],[Tech Start Date]],5),""))))</f>
        <v/>
      </c>
      <c r="P1047" s="69" t="str">
        <f>IF(Main[[#This Row],[Tech Start Date]]&lt;1/1/1990,"",IF(Main[[#This Row],[Class]]="C",WORKDAY(Main[[#This Row],[Tech Start Date]],28),IF(Main[[#This Row],[Class]]="B", WORKDAY(Main[[#This Row],[Tech Start Date]],19),IF(Main[[#This Row],[Class]]="A",WORKDAY(Main[[#This Row],[Tech Start Date]],9),""))))</f>
        <v/>
      </c>
      <c r="Q1047" s="67"/>
      <c r="R1047" s="67"/>
      <c r="S1047" s="65" t="s">
        <v>6</v>
      </c>
      <c r="T1047" s="70" t="s">
        <v>4</v>
      </c>
      <c r="U1047" s="65" t="s">
        <v>7</v>
      </c>
      <c r="V1047" s="65" t="s">
        <v>1914</v>
      </c>
      <c r="W1047" s="65" t="s">
        <v>1918</v>
      </c>
      <c r="X1047" s="65" t="s">
        <v>399</v>
      </c>
      <c r="Y1047" s="65" t="s">
        <v>4</v>
      </c>
      <c r="Z1047" s="65" t="s">
        <v>4</v>
      </c>
      <c r="AA1047" s="65" t="s">
        <v>3386</v>
      </c>
    </row>
    <row r="1048" spans="1:27" ht="17.45" hidden="1" customHeight="1">
      <c r="A1048" s="100" t="str">
        <f>IF(priority(Main[[#This Row],[Comments]])&lt;&gt;0, priority(Main[[#This Row],[Comments]]),"")</f>
        <v/>
      </c>
      <c r="B1048" s="77" t="s">
        <v>2477</v>
      </c>
      <c r="C1048" s="65" t="s">
        <v>347</v>
      </c>
      <c r="D1048" s="66" t="s">
        <v>2336</v>
      </c>
      <c r="E1048" s="67">
        <v>40827.600601851853</v>
      </c>
      <c r="F1048" s="67"/>
      <c r="G1048" s="64" t="str">
        <f>IF(stdProdLT(Main[[#This Row],[Comments]])=0.1,"N/A",IF(stdProdLT(Main[[#This Row],[Comments]])=0,"",stdProdLT(Main[[#This Row],[Comments]])))</f>
        <v/>
      </c>
      <c r="H1048" s="68" t="str">
        <f>IF(AND(Main[[#This Row],[In Stock Date]]&lt;&gt;"",Main[[#This Row],[Revised Due Date]]&lt;&gt;""),Main[[#This Row],[In Stock Date]]-Main[[#This Row],[Revised Due Date]],"")</f>
        <v/>
      </c>
      <c r="I1048" s="65" t="s">
        <v>4</v>
      </c>
      <c r="J1048" s="65" t="s">
        <v>4</v>
      </c>
      <c r="K1048" s="65" t="s">
        <v>4</v>
      </c>
      <c r="L1048" s="67"/>
      <c r="M1048" s="69" t="str">
        <f>IF(Main[[#This Row],[Tech Start Date]]&lt;1/1/1990,"",IF(Main[[#This Row],[Class]]="C",WORKDAY(Main[[#This Row],[Tech Start Date]],9),IF(Main[[#This Row],[Class]]="B", WORKDAY(Main[[#This Row],[Tech Start Date]],6),IF(Main[[#This Row],[Class]]="A",WORKDAY(Main[[#This Row],[Tech Start Date]],2),""))))</f>
        <v/>
      </c>
      <c r="N1048" s="69" t="str">
        <f>IF(Main[[#This Row],[Tech Start Date]]&lt;1/1/1990,"",IF(Main[[#This Row],[Class]]="C",WORKDAY(Main[[#This Row],[Tech Start Date]],19),IF(Main[[#This Row],[Class]]="B", WORKDAY(Main[[#This Row],[Tech Start Date]],12),IF(Main[[#This Row],[Class]]="A",WORKDAY(Main[[#This Row],[Tech Start Date]],4),""))))</f>
        <v/>
      </c>
      <c r="O1048" s="69" t="str">
        <f>IF(Main[[#This Row],[Tech Start Date]]&lt;1/1/1990,"",IF(Main[[#This Row],[Class]]="C",WORKDAY(Main[[#This Row],[Tech Start Date]],23),IF(Main[[#This Row],[Class]]="B", WORKDAY(Main[[#This Row],[Tech Start Date]],15),IF(Main[[#This Row],[Class]]="A",WORKDAY(Main[[#This Row],[Tech Start Date]],5),""))))</f>
        <v/>
      </c>
      <c r="P1048" s="69" t="str">
        <f>IF(Main[[#This Row],[Tech Start Date]]&lt;1/1/1990,"",IF(Main[[#This Row],[Class]]="C",WORKDAY(Main[[#This Row],[Tech Start Date]],28),IF(Main[[#This Row],[Class]]="B", WORKDAY(Main[[#This Row],[Tech Start Date]],19),IF(Main[[#This Row],[Class]]="A",WORKDAY(Main[[#This Row],[Tech Start Date]],9),""))))</f>
        <v/>
      </c>
      <c r="Q1048" s="67">
        <v>40847</v>
      </c>
      <c r="R1048" s="67"/>
      <c r="S1048" s="65" t="s">
        <v>4</v>
      </c>
      <c r="T1048" s="70" t="s">
        <v>4</v>
      </c>
      <c r="U1048" s="65" t="s">
        <v>7</v>
      </c>
      <c r="V1048" s="65" t="s">
        <v>1914</v>
      </c>
      <c r="W1048" s="65" t="s">
        <v>4</v>
      </c>
      <c r="X1048" s="65" t="s">
        <v>2849</v>
      </c>
      <c r="Y1048" s="65" t="s">
        <v>2983</v>
      </c>
      <c r="Z1048" s="65" t="s">
        <v>4</v>
      </c>
      <c r="AA1048" s="65" t="s">
        <v>2849</v>
      </c>
    </row>
    <row r="1049" spans="1:27" ht="17.45" hidden="1" customHeight="1">
      <c r="A1049" s="100" t="str">
        <f>IF(priority(Main[[#This Row],[Comments]])&lt;&gt;0, priority(Main[[#This Row],[Comments]]),"")</f>
        <v/>
      </c>
      <c r="B1049" s="77" t="s">
        <v>2478</v>
      </c>
      <c r="C1049" s="65" t="s">
        <v>347</v>
      </c>
      <c r="D1049" s="66" t="s">
        <v>2479</v>
      </c>
      <c r="E1049" s="67">
        <v>40827.603530092594</v>
      </c>
      <c r="F1049" s="67"/>
      <c r="G1049" s="64" t="str">
        <f>IF(stdProdLT(Main[[#This Row],[Comments]])=0.1,"N/A",IF(stdProdLT(Main[[#This Row],[Comments]])=0,"",stdProdLT(Main[[#This Row],[Comments]])))</f>
        <v/>
      </c>
      <c r="H1049" s="68" t="str">
        <f>IF(AND(Main[[#This Row],[In Stock Date]]&lt;&gt;"",Main[[#This Row],[Revised Due Date]]&lt;&gt;""),Main[[#This Row],[In Stock Date]]-Main[[#This Row],[Revised Due Date]],"")</f>
        <v/>
      </c>
      <c r="I1049" s="65" t="s">
        <v>4</v>
      </c>
      <c r="J1049" s="65" t="s">
        <v>4</v>
      </c>
      <c r="K1049" s="65" t="s">
        <v>4</v>
      </c>
      <c r="L1049" s="67"/>
      <c r="M1049" s="69" t="str">
        <f>IF(Main[[#This Row],[Tech Start Date]]&lt;1/1/1990,"",IF(Main[[#This Row],[Class]]="C",WORKDAY(Main[[#This Row],[Tech Start Date]],9),IF(Main[[#This Row],[Class]]="B", WORKDAY(Main[[#This Row],[Tech Start Date]],6),IF(Main[[#This Row],[Class]]="A",WORKDAY(Main[[#This Row],[Tech Start Date]],2),""))))</f>
        <v/>
      </c>
      <c r="N1049" s="69" t="str">
        <f>IF(Main[[#This Row],[Tech Start Date]]&lt;1/1/1990,"",IF(Main[[#This Row],[Class]]="C",WORKDAY(Main[[#This Row],[Tech Start Date]],19),IF(Main[[#This Row],[Class]]="B", WORKDAY(Main[[#This Row],[Tech Start Date]],12),IF(Main[[#This Row],[Class]]="A",WORKDAY(Main[[#This Row],[Tech Start Date]],4),""))))</f>
        <v/>
      </c>
      <c r="O1049" s="69" t="str">
        <f>IF(Main[[#This Row],[Tech Start Date]]&lt;1/1/1990,"",IF(Main[[#This Row],[Class]]="C",WORKDAY(Main[[#This Row],[Tech Start Date]],23),IF(Main[[#This Row],[Class]]="B", WORKDAY(Main[[#This Row],[Tech Start Date]],15),IF(Main[[#This Row],[Class]]="A",WORKDAY(Main[[#This Row],[Tech Start Date]],5),""))))</f>
        <v/>
      </c>
      <c r="P1049" s="69" t="str">
        <f>IF(Main[[#This Row],[Tech Start Date]]&lt;1/1/1990,"",IF(Main[[#This Row],[Class]]="C",WORKDAY(Main[[#This Row],[Tech Start Date]],28),IF(Main[[#This Row],[Class]]="B", WORKDAY(Main[[#This Row],[Tech Start Date]],19),IF(Main[[#This Row],[Class]]="A",WORKDAY(Main[[#This Row],[Tech Start Date]],9),""))))</f>
        <v/>
      </c>
      <c r="Q1049" s="67">
        <v>40847</v>
      </c>
      <c r="R1049" s="67"/>
      <c r="S1049" s="65" t="s">
        <v>11</v>
      </c>
      <c r="T1049" s="70" t="s">
        <v>4</v>
      </c>
      <c r="U1049" s="65" t="s">
        <v>7</v>
      </c>
      <c r="V1049" s="65" t="s">
        <v>1914</v>
      </c>
      <c r="W1049" s="65" t="s">
        <v>4</v>
      </c>
      <c r="X1049" s="65" t="s">
        <v>2849</v>
      </c>
      <c r="Y1049" s="65" t="s">
        <v>2983</v>
      </c>
      <c r="Z1049" s="65" t="s">
        <v>4</v>
      </c>
      <c r="AA1049" s="65" t="s">
        <v>2849</v>
      </c>
    </row>
    <row r="1050" spans="1:27" ht="17.45" hidden="1" customHeight="1">
      <c r="A1050" s="100" t="str">
        <f>IF(priority(Main[[#This Row],[Comments]])&lt;&gt;0, priority(Main[[#This Row],[Comments]]),"")</f>
        <v/>
      </c>
      <c r="B1050" s="77" t="s">
        <v>2480</v>
      </c>
      <c r="C1050" s="65" t="s">
        <v>4</v>
      </c>
      <c r="D1050" s="66" t="s">
        <v>2481</v>
      </c>
      <c r="E1050" s="67"/>
      <c r="F1050" s="67"/>
      <c r="G1050" s="64" t="str">
        <f>IF(stdProdLT(Main[[#This Row],[Comments]])=0.1,"N/A",IF(stdProdLT(Main[[#This Row],[Comments]])=0,"",stdProdLT(Main[[#This Row],[Comments]])))</f>
        <v/>
      </c>
      <c r="H1050" s="68" t="str">
        <f>IF(AND(Main[[#This Row],[In Stock Date]]&lt;&gt;"",Main[[#This Row],[Revised Due Date]]&lt;&gt;""),Main[[#This Row],[In Stock Date]]-Main[[#This Row],[Revised Due Date]],"")</f>
        <v/>
      </c>
      <c r="I1050" s="65" t="s">
        <v>4</v>
      </c>
      <c r="J1050" s="65" t="s">
        <v>4</v>
      </c>
      <c r="K1050" s="65" t="s">
        <v>4</v>
      </c>
      <c r="L1050" s="67"/>
      <c r="M1050" s="69" t="str">
        <f>IF(Main[[#This Row],[Tech Start Date]]&lt;1/1/1990,"",IF(Main[[#This Row],[Class]]="C",WORKDAY(Main[[#This Row],[Tech Start Date]],9),IF(Main[[#This Row],[Class]]="B", WORKDAY(Main[[#This Row],[Tech Start Date]],6),IF(Main[[#This Row],[Class]]="A",WORKDAY(Main[[#This Row],[Tech Start Date]],2),""))))</f>
        <v/>
      </c>
      <c r="N1050" s="69" t="str">
        <f>IF(Main[[#This Row],[Tech Start Date]]&lt;1/1/1990,"",IF(Main[[#This Row],[Class]]="C",WORKDAY(Main[[#This Row],[Tech Start Date]],19),IF(Main[[#This Row],[Class]]="B", WORKDAY(Main[[#This Row],[Tech Start Date]],12),IF(Main[[#This Row],[Class]]="A",WORKDAY(Main[[#This Row],[Tech Start Date]],4),""))))</f>
        <v/>
      </c>
      <c r="O1050" s="69" t="str">
        <f>IF(Main[[#This Row],[Tech Start Date]]&lt;1/1/1990,"",IF(Main[[#This Row],[Class]]="C",WORKDAY(Main[[#This Row],[Tech Start Date]],23),IF(Main[[#This Row],[Class]]="B", WORKDAY(Main[[#This Row],[Tech Start Date]],15),IF(Main[[#This Row],[Class]]="A",WORKDAY(Main[[#This Row],[Tech Start Date]],5),""))))</f>
        <v/>
      </c>
      <c r="P1050" s="69" t="str">
        <f>IF(Main[[#This Row],[Tech Start Date]]&lt;1/1/1990,"",IF(Main[[#This Row],[Class]]="C",WORKDAY(Main[[#This Row],[Tech Start Date]],28),IF(Main[[#This Row],[Class]]="B", WORKDAY(Main[[#This Row],[Tech Start Date]],19),IF(Main[[#This Row],[Class]]="A",WORKDAY(Main[[#This Row],[Tech Start Date]],9),""))))</f>
        <v/>
      </c>
      <c r="Q1050" s="67"/>
      <c r="R1050" s="67"/>
      <c r="S1050" s="65" t="s">
        <v>11</v>
      </c>
      <c r="T1050" s="70" t="s">
        <v>4</v>
      </c>
      <c r="U1050" s="65" t="s">
        <v>14</v>
      </c>
      <c r="V1050" s="65" t="s">
        <v>1915</v>
      </c>
      <c r="W1050" s="65" t="s">
        <v>4</v>
      </c>
      <c r="X1050" s="65" t="s">
        <v>2249</v>
      </c>
      <c r="Y1050" s="65" t="s">
        <v>4</v>
      </c>
      <c r="Z1050" s="65" t="s">
        <v>4</v>
      </c>
      <c r="AA1050" s="65" t="s">
        <v>4</v>
      </c>
    </row>
    <row r="1051" spans="1:27" ht="17.45" hidden="1" customHeight="1">
      <c r="A1051" s="100" t="str">
        <f>IF(priority(Main[[#This Row],[Comments]])&lt;&gt;0, priority(Main[[#This Row],[Comments]]),"")</f>
        <v/>
      </c>
      <c r="B1051" s="77" t="s">
        <v>1283</v>
      </c>
      <c r="C1051" s="65" t="s">
        <v>37</v>
      </c>
      <c r="D1051" s="66" t="s">
        <v>2482</v>
      </c>
      <c r="E1051" s="67">
        <v>40767.457106481481</v>
      </c>
      <c r="F1051" s="67"/>
      <c r="G1051" s="64" t="str">
        <f>IF(stdProdLT(Main[[#This Row],[Comments]])=0.1,"N/A",IF(stdProdLT(Main[[#This Row],[Comments]])=0,"",stdProdLT(Main[[#This Row],[Comments]])))</f>
        <v/>
      </c>
      <c r="H1051" s="68" t="str">
        <f>IF(AND(Main[[#This Row],[In Stock Date]]&lt;&gt;"",Main[[#This Row],[Revised Due Date]]&lt;&gt;""),Main[[#This Row],[In Stock Date]]-Main[[#This Row],[Revised Due Date]],"")</f>
        <v/>
      </c>
      <c r="I1051" s="65" t="s">
        <v>4</v>
      </c>
      <c r="J1051" s="65" t="s">
        <v>4</v>
      </c>
      <c r="K1051" s="65" t="s">
        <v>4</v>
      </c>
      <c r="L1051" s="67"/>
      <c r="M1051" s="69" t="str">
        <f>IF(Main[[#This Row],[Tech Start Date]]&lt;1/1/1990,"",IF(Main[[#This Row],[Class]]="C",WORKDAY(Main[[#This Row],[Tech Start Date]],9),IF(Main[[#This Row],[Class]]="B", WORKDAY(Main[[#This Row],[Tech Start Date]],6),IF(Main[[#This Row],[Class]]="A",WORKDAY(Main[[#This Row],[Tech Start Date]],2),""))))</f>
        <v/>
      </c>
      <c r="N1051" s="69" t="str">
        <f>IF(Main[[#This Row],[Tech Start Date]]&lt;1/1/1990,"",IF(Main[[#This Row],[Class]]="C",WORKDAY(Main[[#This Row],[Tech Start Date]],19),IF(Main[[#This Row],[Class]]="B", WORKDAY(Main[[#This Row],[Tech Start Date]],12),IF(Main[[#This Row],[Class]]="A",WORKDAY(Main[[#This Row],[Tech Start Date]],4),""))))</f>
        <v/>
      </c>
      <c r="O1051" s="69" t="str">
        <f>IF(Main[[#This Row],[Tech Start Date]]&lt;1/1/1990,"",IF(Main[[#This Row],[Class]]="C",WORKDAY(Main[[#This Row],[Tech Start Date]],23),IF(Main[[#This Row],[Class]]="B", WORKDAY(Main[[#This Row],[Tech Start Date]],15),IF(Main[[#This Row],[Class]]="A",WORKDAY(Main[[#This Row],[Tech Start Date]],5),""))))</f>
        <v/>
      </c>
      <c r="P1051" s="69" t="str">
        <f>IF(Main[[#This Row],[Tech Start Date]]&lt;1/1/1990,"",IF(Main[[#This Row],[Class]]="C",WORKDAY(Main[[#This Row],[Tech Start Date]],28),IF(Main[[#This Row],[Class]]="B", WORKDAY(Main[[#This Row],[Tech Start Date]],19),IF(Main[[#This Row],[Class]]="A",WORKDAY(Main[[#This Row],[Tech Start Date]],9),""))))</f>
        <v/>
      </c>
      <c r="Q1051" s="67">
        <v>40715</v>
      </c>
      <c r="R1051" s="67"/>
      <c r="S1051" s="65" t="s">
        <v>6</v>
      </c>
      <c r="T1051" s="70" t="s">
        <v>4</v>
      </c>
      <c r="U1051" s="65" t="s">
        <v>7</v>
      </c>
      <c r="V1051" s="65" t="s">
        <v>1914</v>
      </c>
      <c r="W1051" s="65" t="s">
        <v>1925</v>
      </c>
      <c r="X1051" s="65" t="s">
        <v>970</v>
      </c>
      <c r="Y1051" s="65" t="s">
        <v>3097</v>
      </c>
      <c r="Z1051" s="65" t="s">
        <v>4</v>
      </c>
      <c r="AA1051" s="65" t="s">
        <v>970</v>
      </c>
    </row>
    <row r="1052" spans="1:27" ht="17.45" hidden="1" customHeight="1">
      <c r="A1052" s="100" t="str">
        <f>IF(priority(Main[[#This Row],[Comments]])&lt;&gt;0, priority(Main[[#This Row],[Comments]]),"")</f>
        <v/>
      </c>
      <c r="B1052" s="77" t="s">
        <v>1113</v>
      </c>
      <c r="C1052" s="65" t="s">
        <v>37</v>
      </c>
      <c r="D1052" s="66" t="s">
        <v>2483</v>
      </c>
      <c r="E1052" s="67">
        <v>40767.459861111114</v>
      </c>
      <c r="F1052" s="67"/>
      <c r="G1052" s="64" t="str">
        <f>IF(stdProdLT(Main[[#This Row],[Comments]])=0.1,"N/A",IF(stdProdLT(Main[[#This Row],[Comments]])=0,"",stdProdLT(Main[[#This Row],[Comments]])))</f>
        <v/>
      </c>
      <c r="H1052" s="68" t="str">
        <f>IF(AND(Main[[#This Row],[In Stock Date]]&lt;&gt;"",Main[[#This Row],[Revised Due Date]]&lt;&gt;""),Main[[#This Row],[In Stock Date]]-Main[[#This Row],[Revised Due Date]],"")</f>
        <v/>
      </c>
      <c r="I1052" s="65" t="s">
        <v>4</v>
      </c>
      <c r="J1052" s="65" t="s">
        <v>4</v>
      </c>
      <c r="K1052" s="65" t="s">
        <v>4</v>
      </c>
      <c r="L1052" s="67"/>
      <c r="M1052" s="69" t="str">
        <f>IF(Main[[#This Row],[Tech Start Date]]&lt;1/1/1990,"",IF(Main[[#This Row],[Class]]="C",WORKDAY(Main[[#This Row],[Tech Start Date]],9),IF(Main[[#This Row],[Class]]="B", WORKDAY(Main[[#This Row],[Tech Start Date]],6),IF(Main[[#This Row],[Class]]="A",WORKDAY(Main[[#This Row],[Tech Start Date]],2),""))))</f>
        <v/>
      </c>
      <c r="N1052" s="69" t="str">
        <f>IF(Main[[#This Row],[Tech Start Date]]&lt;1/1/1990,"",IF(Main[[#This Row],[Class]]="C",WORKDAY(Main[[#This Row],[Tech Start Date]],19),IF(Main[[#This Row],[Class]]="B", WORKDAY(Main[[#This Row],[Tech Start Date]],12),IF(Main[[#This Row],[Class]]="A",WORKDAY(Main[[#This Row],[Tech Start Date]],4),""))))</f>
        <v/>
      </c>
      <c r="O1052" s="69" t="str">
        <f>IF(Main[[#This Row],[Tech Start Date]]&lt;1/1/1990,"",IF(Main[[#This Row],[Class]]="C",WORKDAY(Main[[#This Row],[Tech Start Date]],23),IF(Main[[#This Row],[Class]]="B", WORKDAY(Main[[#This Row],[Tech Start Date]],15),IF(Main[[#This Row],[Class]]="A",WORKDAY(Main[[#This Row],[Tech Start Date]],5),""))))</f>
        <v/>
      </c>
      <c r="P1052" s="69" t="str">
        <f>IF(Main[[#This Row],[Tech Start Date]]&lt;1/1/1990,"",IF(Main[[#This Row],[Class]]="C",WORKDAY(Main[[#This Row],[Tech Start Date]],28),IF(Main[[#This Row],[Class]]="B", WORKDAY(Main[[#This Row],[Tech Start Date]],19),IF(Main[[#This Row],[Class]]="A",WORKDAY(Main[[#This Row],[Tech Start Date]],9),""))))</f>
        <v/>
      </c>
      <c r="Q1052" s="67">
        <v>40716</v>
      </c>
      <c r="R1052" s="67"/>
      <c r="S1052" s="65" t="s">
        <v>6</v>
      </c>
      <c r="T1052" s="70" t="s">
        <v>4</v>
      </c>
      <c r="U1052" s="65" t="s">
        <v>7</v>
      </c>
      <c r="V1052" s="65" t="s">
        <v>1914</v>
      </c>
      <c r="W1052" s="65" t="s">
        <v>1925</v>
      </c>
      <c r="X1052" s="65" t="s">
        <v>970</v>
      </c>
      <c r="Y1052" s="65" t="s">
        <v>3097</v>
      </c>
      <c r="Z1052" s="65" t="s">
        <v>4</v>
      </c>
      <c r="AA1052" s="65" t="s">
        <v>970</v>
      </c>
    </row>
    <row r="1053" spans="1:27" ht="17.45" hidden="1" customHeight="1">
      <c r="A1053" s="100" t="str">
        <f>IF(priority(Main[[#This Row],[Comments]])&lt;&gt;0, priority(Main[[#This Row],[Comments]]),"")</f>
        <v/>
      </c>
      <c r="B1053" s="77" t="s">
        <v>2486</v>
      </c>
      <c r="C1053" s="65" t="s">
        <v>4</v>
      </c>
      <c r="D1053" s="66" t="s">
        <v>2487</v>
      </c>
      <c r="E1053" s="67">
        <v>40857.542858796296</v>
      </c>
      <c r="F1053" s="67"/>
      <c r="G1053" s="64" t="str">
        <f>IF(stdProdLT(Main[[#This Row],[Comments]])=0.1,"N/A",IF(stdProdLT(Main[[#This Row],[Comments]])=0,"",stdProdLT(Main[[#This Row],[Comments]])))</f>
        <v/>
      </c>
      <c r="H1053" s="68" t="str">
        <f>IF(AND(Main[[#This Row],[In Stock Date]]&lt;&gt;"",Main[[#This Row],[Revised Due Date]]&lt;&gt;""),Main[[#This Row],[In Stock Date]]-Main[[#This Row],[Revised Due Date]],"")</f>
        <v/>
      </c>
      <c r="I1053" s="65" t="s">
        <v>4</v>
      </c>
      <c r="J1053" s="65" t="s">
        <v>4</v>
      </c>
      <c r="K1053" s="65" t="s">
        <v>4</v>
      </c>
      <c r="L1053" s="67"/>
      <c r="M1053" s="69" t="str">
        <f>IF(Main[[#This Row],[Tech Start Date]]&lt;1/1/1990,"",IF(Main[[#This Row],[Class]]="C",WORKDAY(Main[[#This Row],[Tech Start Date]],9),IF(Main[[#This Row],[Class]]="B", WORKDAY(Main[[#This Row],[Tech Start Date]],6),IF(Main[[#This Row],[Class]]="A",WORKDAY(Main[[#This Row],[Tech Start Date]],2),""))))</f>
        <v/>
      </c>
      <c r="N1053" s="69" t="str">
        <f>IF(Main[[#This Row],[Tech Start Date]]&lt;1/1/1990,"",IF(Main[[#This Row],[Class]]="C",WORKDAY(Main[[#This Row],[Tech Start Date]],19),IF(Main[[#This Row],[Class]]="B", WORKDAY(Main[[#This Row],[Tech Start Date]],12),IF(Main[[#This Row],[Class]]="A",WORKDAY(Main[[#This Row],[Tech Start Date]],4),""))))</f>
        <v/>
      </c>
      <c r="O1053" s="69" t="str">
        <f>IF(Main[[#This Row],[Tech Start Date]]&lt;1/1/1990,"",IF(Main[[#This Row],[Class]]="C",WORKDAY(Main[[#This Row],[Tech Start Date]],23),IF(Main[[#This Row],[Class]]="B", WORKDAY(Main[[#This Row],[Tech Start Date]],15),IF(Main[[#This Row],[Class]]="A",WORKDAY(Main[[#This Row],[Tech Start Date]],5),""))))</f>
        <v/>
      </c>
      <c r="P1053" s="69" t="str">
        <f>IF(Main[[#This Row],[Tech Start Date]]&lt;1/1/1990,"",IF(Main[[#This Row],[Class]]="C",WORKDAY(Main[[#This Row],[Tech Start Date]],28),IF(Main[[#This Row],[Class]]="B", WORKDAY(Main[[#This Row],[Tech Start Date]],19),IF(Main[[#This Row],[Class]]="A",WORKDAY(Main[[#This Row],[Tech Start Date]],9),""))))</f>
        <v/>
      </c>
      <c r="Q1053" s="67"/>
      <c r="R1053" s="67"/>
      <c r="S1053" s="65" t="s">
        <v>11</v>
      </c>
      <c r="T1053" s="70" t="s">
        <v>4</v>
      </c>
      <c r="U1053" s="65" t="s">
        <v>29</v>
      </c>
      <c r="V1053" s="65" t="s">
        <v>1915</v>
      </c>
      <c r="W1053" s="65" t="s">
        <v>4</v>
      </c>
      <c r="X1053" s="65" t="s">
        <v>2249</v>
      </c>
      <c r="Y1053" s="65" t="s">
        <v>4</v>
      </c>
      <c r="Z1053" s="65" t="s">
        <v>4</v>
      </c>
      <c r="AA1053" s="65" t="s">
        <v>4</v>
      </c>
    </row>
    <row r="1054" spans="1:27" ht="17.45" hidden="1" customHeight="1">
      <c r="A1054" s="100" t="str">
        <f>IF(priority(Main[[#This Row],[Comments]])&lt;&gt;0, priority(Main[[#This Row],[Comments]]),"")</f>
        <v/>
      </c>
      <c r="B1054" s="77" t="s">
        <v>2488</v>
      </c>
      <c r="C1054" s="65" t="s">
        <v>4</v>
      </c>
      <c r="D1054" s="66" t="s">
        <v>2489</v>
      </c>
      <c r="E1054" s="67">
        <v>40820.695763888885</v>
      </c>
      <c r="F1054" s="67"/>
      <c r="G1054" s="64" t="str">
        <f>IF(stdProdLT(Main[[#This Row],[Comments]])=0.1,"N/A",IF(stdProdLT(Main[[#This Row],[Comments]])=0,"",stdProdLT(Main[[#This Row],[Comments]])))</f>
        <v/>
      </c>
      <c r="H1054" s="68" t="str">
        <f>IF(AND(Main[[#This Row],[In Stock Date]]&lt;&gt;"",Main[[#This Row],[Revised Due Date]]&lt;&gt;""),Main[[#This Row],[In Stock Date]]-Main[[#This Row],[Revised Due Date]],"")</f>
        <v/>
      </c>
      <c r="I1054" s="65" t="s">
        <v>4</v>
      </c>
      <c r="J1054" s="65" t="s">
        <v>4</v>
      </c>
      <c r="K1054" s="65" t="s">
        <v>4</v>
      </c>
      <c r="L1054" s="67"/>
      <c r="M1054" s="69" t="str">
        <f>IF(Main[[#This Row],[Tech Start Date]]&lt;1/1/1990,"",IF(Main[[#This Row],[Class]]="C",WORKDAY(Main[[#This Row],[Tech Start Date]],9),IF(Main[[#This Row],[Class]]="B", WORKDAY(Main[[#This Row],[Tech Start Date]],6),IF(Main[[#This Row],[Class]]="A",WORKDAY(Main[[#This Row],[Tech Start Date]],2),""))))</f>
        <v/>
      </c>
      <c r="N1054" s="69" t="str">
        <f>IF(Main[[#This Row],[Tech Start Date]]&lt;1/1/1990,"",IF(Main[[#This Row],[Class]]="C",WORKDAY(Main[[#This Row],[Tech Start Date]],19),IF(Main[[#This Row],[Class]]="B", WORKDAY(Main[[#This Row],[Tech Start Date]],12),IF(Main[[#This Row],[Class]]="A",WORKDAY(Main[[#This Row],[Tech Start Date]],4),""))))</f>
        <v/>
      </c>
      <c r="O1054" s="69" t="str">
        <f>IF(Main[[#This Row],[Tech Start Date]]&lt;1/1/1990,"",IF(Main[[#This Row],[Class]]="C",WORKDAY(Main[[#This Row],[Tech Start Date]],23),IF(Main[[#This Row],[Class]]="B", WORKDAY(Main[[#This Row],[Tech Start Date]],15),IF(Main[[#This Row],[Class]]="A",WORKDAY(Main[[#This Row],[Tech Start Date]],5),""))))</f>
        <v/>
      </c>
      <c r="P1054" s="69" t="str">
        <f>IF(Main[[#This Row],[Tech Start Date]]&lt;1/1/1990,"",IF(Main[[#This Row],[Class]]="C",WORKDAY(Main[[#This Row],[Tech Start Date]],28),IF(Main[[#This Row],[Class]]="B", WORKDAY(Main[[#This Row],[Tech Start Date]],19),IF(Main[[#This Row],[Class]]="A",WORKDAY(Main[[#This Row],[Tech Start Date]],9),""))))</f>
        <v/>
      </c>
      <c r="Q1054" s="67"/>
      <c r="R1054" s="67"/>
      <c r="S1054" s="65" t="s">
        <v>6</v>
      </c>
      <c r="T1054" s="70" t="s">
        <v>4</v>
      </c>
      <c r="U1054" s="65" t="s">
        <v>29</v>
      </c>
      <c r="V1054" s="65" t="s">
        <v>1917</v>
      </c>
      <c r="W1054" s="65" t="s">
        <v>1918</v>
      </c>
      <c r="X1054" s="65" t="s">
        <v>102</v>
      </c>
      <c r="Y1054" s="65" t="s">
        <v>3114</v>
      </c>
      <c r="Z1054" s="65" t="s">
        <v>4</v>
      </c>
      <c r="AA1054" s="65" t="s">
        <v>883</v>
      </c>
    </row>
    <row r="1055" spans="1:27" ht="17.45" hidden="1" customHeight="1">
      <c r="A1055" s="100" t="str">
        <f>IF(priority(Main[[#This Row],[Comments]])&lt;&gt;0, priority(Main[[#This Row],[Comments]]),"")</f>
        <v/>
      </c>
      <c r="B1055" s="77" t="s">
        <v>3534</v>
      </c>
      <c r="C1055" s="65" t="s">
        <v>4</v>
      </c>
      <c r="D1055" s="66" t="s">
        <v>3535</v>
      </c>
      <c r="E1055" s="67">
        <v>40949.644756944443</v>
      </c>
      <c r="F1055" s="67"/>
      <c r="G1055" s="64" t="str">
        <f>IF(stdProdLT(Main[[#This Row],[Comments]])=0.1,"N/A",IF(stdProdLT(Main[[#This Row],[Comments]])=0,"",stdProdLT(Main[[#This Row],[Comments]])))</f>
        <v/>
      </c>
      <c r="H1055" s="68" t="str">
        <f>IF(AND(Main[[#This Row],[In Stock Date]]&lt;&gt;"",Main[[#This Row],[Revised Due Date]]&lt;&gt;""),Main[[#This Row],[In Stock Date]]-Main[[#This Row],[Revised Due Date]],"")</f>
        <v/>
      </c>
      <c r="I1055" s="65" t="s">
        <v>4</v>
      </c>
      <c r="J1055" s="65" t="s">
        <v>4</v>
      </c>
      <c r="K1055" s="65" t="s">
        <v>4</v>
      </c>
      <c r="L1055" s="67"/>
      <c r="M1055" s="69" t="str">
        <f>IF(Main[[#This Row],[Tech Start Date]]&lt;1/1/1990,"",IF(Main[[#This Row],[Class]]="C",WORKDAY(Main[[#This Row],[Tech Start Date]],9),IF(Main[[#This Row],[Class]]="B", WORKDAY(Main[[#This Row],[Tech Start Date]],6),IF(Main[[#This Row],[Class]]="A",WORKDAY(Main[[#This Row],[Tech Start Date]],2),""))))</f>
        <v/>
      </c>
      <c r="N1055" s="69" t="str">
        <f>IF(Main[[#This Row],[Tech Start Date]]&lt;1/1/1990,"",IF(Main[[#This Row],[Class]]="C",WORKDAY(Main[[#This Row],[Tech Start Date]],19),IF(Main[[#This Row],[Class]]="B", WORKDAY(Main[[#This Row],[Tech Start Date]],12),IF(Main[[#This Row],[Class]]="A",WORKDAY(Main[[#This Row],[Tech Start Date]],4),""))))</f>
        <v/>
      </c>
      <c r="O1055" s="69" t="str">
        <f>IF(Main[[#This Row],[Tech Start Date]]&lt;1/1/1990,"",IF(Main[[#This Row],[Class]]="C",WORKDAY(Main[[#This Row],[Tech Start Date]],23),IF(Main[[#This Row],[Class]]="B", WORKDAY(Main[[#This Row],[Tech Start Date]],15),IF(Main[[#This Row],[Class]]="A",WORKDAY(Main[[#This Row],[Tech Start Date]],5),""))))</f>
        <v/>
      </c>
      <c r="P1055" s="69" t="str">
        <f>IF(Main[[#This Row],[Tech Start Date]]&lt;1/1/1990,"",IF(Main[[#This Row],[Class]]="C",WORKDAY(Main[[#This Row],[Tech Start Date]],28),IF(Main[[#This Row],[Class]]="B", WORKDAY(Main[[#This Row],[Tech Start Date]],19),IF(Main[[#This Row],[Class]]="A",WORKDAY(Main[[#This Row],[Tech Start Date]],9),""))))</f>
        <v/>
      </c>
      <c r="Q1055" s="67">
        <v>40959</v>
      </c>
      <c r="R1055" s="67"/>
      <c r="S1055" s="65" t="s">
        <v>4</v>
      </c>
      <c r="T1055" s="70" t="s">
        <v>4</v>
      </c>
      <c r="U1055" s="65" t="s">
        <v>7</v>
      </c>
      <c r="V1055" s="65" t="s">
        <v>1914</v>
      </c>
      <c r="W1055" s="65" t="s">
        <v>4</v>
      </c>
      <c r="X1055" s="65" t="s">
        <v>956</v>
      </c>
      <c r="Y1055" s="65" t="s">
        <v>4</v>
      </c>
      <c r="Z1055" s="65" t="s">
        <v>4</v>
      </c>
      <c r="AA1055" s="65" t="s">
        <v>4</v>
      </c>
    </row>
    <row r="1056" spans="1:27" ht="17.45" hidden="1" customHeight="1">
      <c r="A1056" s="100" t="str">
        <f>IF(priority(Main[[#This Row],[Comments]])&lt;&gt;0, priority(Main[[#This Row],[Comments]]),"")</f>
        <v/>
      </c>
      <c r="B1056" s="77" t="s">
        <v>2492</v>
      </c>
      <c r="C1056" s="65" t="s">
        <v>4</v>
      </c>
      <c r="D1056" s="66" t="s">
        <v>2493</v>
      </c>
      <c r="E1056" s="67">
        <v>40855.647002314814</v>
      </c>
      <c r="F1056" s="67"/>
      <c r="G1056" s="64" t="str">
        <f>IF(stdProdLT(Main[[#This Row],[Comments]])=0.1,"N/A",IF(stdProdLT(Main[[#This Row],[Comments]])=0,"",stdProdLT(Main[[#This Row],[Comments]])))</f>
        <v/>
      </c>
      <c r="H1056" s="68" t="str">
        <f>IF(AND(Main[[#This Row],[In Stock Date]]&lt;&gt;"",Main[[#This Row],[Revised Due Date]]&lt;&gt;""),Main[[#This Row],[In Stock Date]]-Main[[#This Row],[Revised Due Date]],"")</f>
        <v/>
      </c>
      <c r="I1056" s="65" t="s">
        <v>4</v>
      </c>
      <c r="J1056" s="65" t="s">
        <v>4</v>
      </c>
      <c r="K1056" s="71" t="s">
        <v>4</v>
      </c>
      <c r="L1056" s="67"/>
      <c r="M1056" s="69" t="str">
        <f>IF(Main[[#This Row],[Tech Start Date]]&lt;1/1/1990,"",IF(Main[[#This Row],[Class]]="C",WORKDAY(Main[[#This Row],[Tech Start Date]],9),IF(Main[[#This Row],[Class]]="B", WORKDAY(Main[[#This Row],[Tech Start Date]],6),IF(Main[[#This Row],[Class]]="A",WORKDAY(Main[[#This Row],[Tech Start Date]],2),""))))</f>
        <v/>
      </c>
      <c r="N1056" s="69" t="str">
        <f>IF(Main[[#This Row],[Tech Start Date]]&lt;1/1/1990,"",IF(Main[[#This Row],[Class]]="C",WORKDAY(Main[[#This Row],[Tech Start Date]],19),IF(Main[[#This Row],[Class]]="B", WORKDAY(Main[[#This Row],[Tech Start Date]],12),IF(Main[[#This Row],[Class]]="A",WORKDAY(Main[[#This Row],[Tech Start Date]],4),""))))</f>
        <v/>
      </c>
      <c r="O1056" s="69" t="str">
        <f>IF(Main[[#This Row],[Tech Start Date]]&lt;1/1/1990,"",IF(Main[[#This Row],[Class]]="C",WORKDAY(Main[[#This Row],[Tech Start Date]],23),IF(Main[[#This Row],[Class]]="B", WORKDAY(Main[[#This Row],[Tech Start Date]],15),IF(Main[[#This Row],[Class]]="A",WORKDAY(Main[[#This Row],[Tech Start Date]],5),""))))</f>
        <v/>
      </c>
      <c r="P1056" s="69" t="str">
        <f>IF(Main[[#This Row],[Tech Start Date]]&lt;1/1/1990,"",IF(Main[[#This Row],[Class]]="C",WORKDAY(Main[[#This Row],[Tech Start Date]],28),IF(Main[[#This Row],[Class]]="B", WORKDAY(Main[[#This Row],[Tech Start Date]],19),IF(Main[[#This Row],[Class]]="A",WORKDAY(Main[[#This Row],[Tech Start Date]],9),""))))</f>
        <v/>
      </c>
      <c r="Q1056" s="67">
        <v>40892</v>
      </c>
      <c r="R1056" s="67"/>
      <c r="S1056" s="65" t="s">
        <v>6</v>
      </c>
      <c r="T1056" s="70" t="s">
        <v>4</v>
      </c>
      <c r="U1056" s="65" t="s">
        <v>7</v>
      </c>
      <c r="V1056" s="65" t="s">
        <v>1914</v>
      </c>
      <c r="W1056" s="65" t="s">
        <v>1922</v>
      </c>
      <c r="X1056" s="65" t="s">
        <v>2821</v>
      </c>
      <c r="Y1056" s="65" t="s">
        <v>2936</v>
      </c>
      <c r="Z1056" s="65" t="s">
        <v>4</v>
      </c>
      <c r="AA1056" s="65" t="s">
        <v>2821</v>
      </c>
    </row>
    <row r="1057" spans="1:27" ht="17.45" hidden="1" customHeight="1">
      <c r="A1057" s="100" t="str">
        <f>IF(priority(Main[[#This Row],[Comments]])&lt;&gt;0, priority(Main[[#This Row],[Comments]]),"")</f>
        <v/>
      </c>
      <c r="B1057" s="77" t="s">
        <v>3303</v>
      </c>
      <c r="C1057" s="65" t="s">
        <v>4</v>
      </c>
      <c r="D1057" s="66" t="s">
        <v>3654</v>
      </c>
      <c r="E1057" s="67">
        <v>40934.445497685185</v>
      </c>
      <c r="F1057" s="67"/>
      <c r="G1057" s="64" t="str">
        <f>IF(stdProdLT(Main[[#This Row],[Comments]])=0.1,"N/A",IF(stdProdLT(Main[[#This Row],[Comments]])=0,"",stdProdLT(Main[[#This Row],[Comments]])))</f>
        <v/>
      </c>
      <c r="H1057" s="68" t="str">
        <f>IF(AND(Main[[#This Row],[In Stock Date]]&lt;&gt;"",Main[[#This Row],[Revised Due Date]]&lt;&gt;""),Main[[#This Row],[In Stock Date]]-Main[[#This Row],[Revised Due Date]],"")</f>
        <v/>
      </c>
      <c r="I1057" s="65" t="s">
        <v>69</v>
      </c>
      <c r="J1057" s="65" t="s">
        <v>70</v>
      </c>
      <c r="K1057" s="65" t="s">
        <v>4</v>
      </c>
      <c r="L1057" s="67"/>
      <c r="M1057" s="69" t="str">
        <f>IF(Main[[#This Row],[Tech Start Date]]&lt;1/1/1990,"",IF(Main[[#This Row],[Class]]="C",WORKDAY(Main[[#This Row],[Tech Start Date]],9),IF(Main[[#This Row],[Class]]="B", WORKDAY(Main[[#This Row],[Tech Start Date]],6),IF(Main[[#This Row],[Class]]="A",WORKDAY(Main[[#This Row],[Tech Start Date]],2),""))))</f>
        <v/>
      </c>
      <c r="N1057" s="69" t="str">
        <f>IF(Main[[#This Row],[Tech Start Date]]&lt;1/1/1990,"",IF(Main[[#This Row],[Class]]="C",WORKDAY(Main[[#This Row],[Tech Start Date]],19),IF(Main[[#This Row],[Class]]="B", WORKDAY(Main[[#This Row],[Tech Start Date]],12),IF(Main[[#This Row],[Class]]="A",WORKDAY(Main[[#This Row],[Tech Start Date]],4),""))))</f>
        <v/>
      </c>
      <c r="O1057" s="69" t="str">
        <f>IF(Main[[#This Row],[Tech Start Date]]&lt;1/1/1990,"",IF(Main[[#This Row],[Class]]="C",WORKDAY(Main[[#This Row],[Tech Start Date]],23),IF(Main[[#This Row],[Class]]="B", WORKDAY(Main[[#This Row],[Tech Start Date]],15),IF(Main[[#This Row],[Class]]="A",WORKDAY(Main[[#This Row],[Tech Start Date]],5),""))))</f>
        <v/>
      </c>
      <c r="P1057" s="69" t="str">
        <f>IF(Main[[#This Row],[Tech Start Date]]&lt;1/1/1990,"",IF(Main[[#This Row],[Class]]="C",WORKDAY(Main[[#This Row],[Tech Start Date]],28),IF(Main[[#This Row],[Class]]="B", WORKDAY(Main[[#This Row],[Tech Start Date]],19),IF(Main[[#This Row],[Class]]="A",WORKDAY(Main[[#This Row],[Tech Start Date]],9),""))))</f>
        <v/>
      </c>
      <c r="Q1057" s="67">
        <v>40968</v>
      </c>
      <c r="R1057" s="67"/>
      <c r="S1057" s="65" t="s">
        <v>6</v>
      </c>
      <c r="T1057" s="70" t="s">
        <v>4</v>
      </c>
      <c r="U1057" s="65" t="s">
        <v>29</v>
      </c>
      <c r="V1057" s="65" t="s">
        <v>1917</v>
      </c>
      <c r="W1057" s="65" t="s">
        <v>4</v>
      </c>
      <c r="X1057" s="65" t="s">
        <v>2819</v>
      </c>
      <c r="Y1057" s="65" t="s">
        <v>2932</v>
      </c>
      <c r="Z1057" s="65" t="s">
        <v>4</v>
      </c>
      <c r="AA1057" s="65" t="s">
        <v>2819</v>
      </c>
    </row>
    <row r="1058" spans="1:27" ht="17.45" hidden="1" customHeight="1">
      <c r="A1058" s="100" t="str">
        <f>IF(priority(Main[[#This Row],[Comments]])&lt;&gt;0, priority(Main[[#This Row],[Comments]]),"")</f>
        <v/>
      </c>
      <c r="B1058" s="77" t="s">
        <v>2361</v>
      </c>
      <c r="C1058" s="65" t="s">
        <v>4</v>
      </c>
      <c r="D1058" s="66" t="s">
        <v>3502</v>
      </c>
      <c r="E1058" s="67">
        <v>40854.718263888892</v>
      </c>
      <c r="F1058" s="67"/>
      <c r="G1058" s="64" t="str">
        <f>IF(stdProdLT(Main[[#This Row],[Comments]])=0.1,"N/A",IF(stdProdLT(Main[[#This Row],[Comments]])=0,"",stdProdLT(Main[[#This Row],[Comments]])))</f>
        <v/>
      </c>
      <c r="H1058" s="68" t="str">
        <f>IF(AND(Main[[#This Row],[In Stock Date]]&lt;&gt;"",Main[[#This Row],[Revised Due Date]]&lt;&gt;""),Main[[#This Row],[In Stock Date]]-Main[[#This Row],[Revised Due Date]],"")</f>
        <v/>
      </c>
      <c r="I1058" s="65" t="s">
        <v>4</v>
      </c>
      <c r="J1058" s="65" t="s">
        <v>4</v>
      </c>
      <c r="K1058" s="65" t="s">
        <v>4</v>
      </c>
      <c r="L1058" s="67"/>
      <c r="M1058" s="69" t="str">
        <f>IF(Main[[#This Row],[Tech Start Date]]&lt;1/1/1990,"",IF(Main[[#This Row],[Class]]="C",WORKDAY(Main[[#This Row],[Tech Start Date]],9),IF(Main[[#This Row],[Class]]="B", WORKDAY(Main[[#This Row],[Tech Start Date]],6),IF(Main[[#This Row],[Class]]="A",WORKDAY(Main[[#This Row],[Tech Start Date]],2),""))))</f>
        <v/>
      </c>
      <c r="N1058" s="69" t="str">
        <f>IF(Main[[#This Row],[Tech Start Date]]&lt;1/1/1990,"",IF(Main[[#This Row],[Class]]="C",WORKDAY(Main[[#This Row],[Tech Start Date]],19),IF(Main[[#This Row],[Class]]="B", WORKDAY(Main[[#This Row],[Tech Start Date]],12),IF(Main[[#This Row],[Class]]="A",WORKDAY(Main[[#This Row],[Tech Start Date]],4),""))))</f>
        <v/>
      </c>
      <c r="O1058" s="69" t="str">
        <f>IF(Main[[#This Row],[Tech Start Date]]&lt;1/1/1990,"",IF(Main[[#This Row],[Class]]="C",WORKDAY(Main[[#This Row],[Tech Start Date]],23),IF(Main[[#This Row],[Class]]="B", WORKDAY(Main[[#This Row],[Tech Start Date]],15),IF(Main[[#This Row],[Class]]="A",WORKDAY(Main[[#This Row],[Tech Start Date]],5),""))))</f>
        <v/>
      </c>
      <c r="P1058" s="69" t="str">
        <f>IF(Main[[#This Row],[Tech Start Date]]&lt;1/1/1990,"",IF(Main[[#This Row],[Class]]="C",WORKDAY(Main[[#This Row],[Tech Start Date]],28),IF(Main[[#This Row],[Class]]="B", WORKDAY(Main[[#This Row],[Tech Start Date]],19),IF(Main[[#This Row],[Class]]="A",WORKDAY(Main[[#This Row],[Tech Start Date]],9),""))))</f>
        <v/>
      </c>
      <c r="Q1058" s="67">
        <v>40884</v>
      </c>
      <c r="R1058" s="67"/>
      <c r="S1058" s="65" t="s">
        <v>6</v>
      </c>
      <c r="T1058" s="70" t="s">
        <v>4</v>
      </c>
      <c r="U1058" s="65" t="s">
        <v>7</v>
      </c>
      <c r="V1058" s="65" t="s">
        <v>2283</v>
      </c>
      <c r="W1058" s="65" t="s">
        <v>4</v>
      </c>
      <c r="X1058" s="65" t="s">
        <v>2865</v>
      </c>
      <c r="Y1058" s="65" t="s">
        <v>3010</v>
      </c>
      <c r="Z1058" s="65" t="s">
        <v>4</v>
      </c>
      <c r="AA1058" s="65" t="s">
        <v>2865</v>
      </c>
    </row>
    <row r="1059" spans="1:27" ht="17.45" hidden="1" customHeight="1">
      <c r="A1059" s="100" t="str">
        <f>IF(priority(Main[[#This Row],[Comments]])&lt;&gt;0, priority(Main[[#This Row],[Comments]]),"")</f>
        <v/>
      </c>
      <c r="B1059" s="77" t="s">
        <v>2499</v>
      </c>
      <c r="C1059" s="65" t="s">
        <v>4</v>
      </c>
      <c r="D1059" s="66" t="s">
        <v>2500</v>
      </c>
      <c r="E1059" s="67"/>
      <c r="F1059" s="67"/>
      <c r="G1059" s="64" t="str">
        <f>IF(stdProdLT(Main[[#This Row],[Comments]])=0.1,"N/A",IF(stdProdLT(Main[[#This Row],[Comments]])=0,"",stdProdLT(Main[[#This Row],[Comments]])))</f>
        <v/>
      </c>
      <c r="H1059" s="68" t="str">
        <f>IF(AND(Main[[#This Row],[In Stock Date]]&lt;&gt;"",Main[[#This Row],[Revised Due Date]]&lt;&gt;""),Main[[#This Row],[In Stock Date]]-Main[[#This Row],[Revised Due Date]],"")</f>
        <v/>
      </c>
      <c r="I1059" s="65" t="s">
        <v>4</v>
      </c>
      <c r="J1059" s="65" t="s">
        <v>4</v>
      </c>
      <c r="K1059" s="65" t="s">
        <v>4</v>
      </c>
      <c r="L1059" s="67"/>
      <c r="M1059" s="69" t="str">
        <f>IF(Main[[#This Row],[Tech Start Date]]&lt;1/1/1990,"",IF(Main[[#This Row],[Class]]="C",WORKDAY(Main[[#This Row],[Tech Start Date]],9),IF(Main[[#This Row],[Class]]="B", WORKDAY(Main[[#This Row],[Tech Start Date]],6),IF(Main[[#This Row],[Class]]="A",WORKDAY(Main[[#This Row],[Tech Start Date]],2),""))))</f>
        <v/>
      </c>
      <c r="N1059" s="69" t="str">
        <f>IF(Main[[#This Row],[Tech Start Date]]&lt;1/1/1990,"",IF(Main[[#This Row],[Class]]="C",WORKDAY(Main[[#This Row],[Tech Start Date]],19),IF(Main[[#This Row],[Class]]="B", WORKDAY(Main[[#This Row],[Tech Start Date]],12),IF(Main[[#This Row],[Class]]="A",WORKDAY(Main[[#This Row],[Tech Start Date]],4),""))))</f>
        <v/>
      </c>
      <c r="O1059" s="69" t="str">
        <f>IF(Main[[#This Row],[Tech Start Date]]&lt;1/1/1990,"",IF(Main[[#This Row],[Class]]="C",WORKDAY(Main[[#This Row],[Tech Start Date]],23),IF(Main[[#This Row],[Class]]="B", WORKDAY(Main[[#This Row],[Tech Start Date]],15),IF(Main[[#This Row],[Class]]="A",WORKDAY(Main[[#This Row],[Tech Start Date]],5),""))))</f>
        <v/>
      </c>
      <c r="P1059" s="69" t="str">
        <f>IF(Main[[#This Row],[Tech Start Date]]&lt;1/1/1990,"",IF(Main[[#This Row],[Class]]="C",WORKDAY(Main[[#This Row],[Tech Start Date]],28),IF(Main[[#This Row],[Class]]="B", WORKDAY(Main[[#This Row],[Tech Start Date]],19),IF(Main[[#This Row],[Class]]="A",WORKDAY(Main[[#This Row],[Tech Start Date]],9),""))))</f>
        <v/>
      </c>
      <c r="Q1059" s="67"/>
      <c r="R1059" s="67"/>
      <c r="S1059" s="65" t="s">
        <v>11</v>
      </c>
      <c r="T1059" s="70" t="s">
        <v>4</v>
      </c>
      <c r="U1059" s="65" t="s">
        <v>14</v>
      </c>
      <c r="V1059" s="65" t="s">
        <v>1914</v>
      </c>
      <c r="W1059" s="65" t="s">
        <v>1922</v>
      </c>
      <c r="X1059" s="65" t="s">
        <v>2906</v>
      </c>
      <c r="Y1059" s="65" t="s">
        <v>3096</v>
      </c>
      <c r="Z1059" s="65" t="s">
        <v>877</v>
      </c>
      <c r="AA1059" s="65" t="s">
        <v>2906</v>
      </c>
    </row>
    <row r="1060" spans="1:27" ht="17.45" hidden="1" customHeight="1">
      <c r="A1060" s="100" t="str">
        <f>IF(priority(Main[[#This Row],[Comments]])&lt;&gt;0, priority(Main[[#This Row],[Comments]]),"")</f>
        <v/>
      </c>
      <c r="B1060" s="77" t="s">
        <v>3321</v>
      </c>
      <c r="C1060" s="65" t="s">
        <v>4</v>
      </c>
      <c r="D1060" s="66" t="s">
        <v>3655</v>
      </c>
      <c r="E1060" s="67">
        <v>40939.635509259257</v>
      </c>
      <c r="F1060" s="67"/>
      <c r="G1060" s="64" t="str">
        <f>IF(stdProdLT(Main[[#This Row],[Comments]])=0.1,"N/A",IF(stdProdLT(Main[[#This Row],[Comments]])=0,"",stdProdLT(Main[[#This Row],[Comments]])))</f>
        <v/>
      </c>
      <c r="H1060" s="68" t="str">
        <f>IF(AND(Main[[#This Row],[In Stock Date]]&lt;&gt;"",Main[[#This Row],[Revised Due Date]]&lt;&gt;""),Main[[#This Row],[In Stock Date]]-Main[[#This Row],[Revised Due Date]],"")</f>
        <v/>
      </c>
      <c r="I1060" s="65" t="s">
        <v>2211</v>
      </c>
      <c r="J1060" s="65" t="s">
        <v>28</v>
      </c>
      <c r="K1060" s="65" t="s">
        <v>1926</v>
      </c>
      <c r="L1060" s="67"/>
      <c r="M1060" s="69" t="str">
        <f>IF(Main[[#This Row],[Tech Start Date]]&lt;1/1/1990,"",IF(Main[[#This Row],[Class]]="C",WORKDAY(Main[[#This Row],[Tech Start Date]],9),IF(Main[[#This Row],[Class]]="B", WORKDAY(Main[[#This Row],[Tech Start Date]],6),IF(Main[[#This Row],[Class]]="A",WORKDAY(Main[[#This Row],[Tech Start Date]],2),""))))</f>
        <v/>
      </c>
      <c r="N1060" s="69" t="str">
        <f>IF(Main[[#This Row],[Tech Start Date]]&lt;1/1/1990,"",IF(Main[[#This Row],[Class]]="C",WORKDAY(Main[[#This Row],[Tech Start Date]],19),IF(Main[[#This Row],[Class]]="B", WORKDAY(Main[[#This Row],[Tech Start Date]],12),IF(Main[[#This Row],[Class]]="A",WORKDAY(Main[[#This Row],[Tech Start Date]],4),""))))</f>
        <v/>
      </c>
      <c r="O1060" s="69" t="str">
        <f>IF(Main[[#This Row],[Tech Start Date]]&lt;1/1/1990,"",IF(Main[[#This Row],[Class]]="C",WORKDAY(Main[[#This Row],[Tech Start Date]],23),IF(Main[[#This Row],[Class]]="B", WORKDAY(Main[[#This Row],[Tech Start Date]],15),IF(Main[[#This Row],[Class]]="A",WORKDAY(Main[[#This Row],[Tech Start Date]],5),""))))</f>
        <v/>
      </c>
      <c r="P1060" s="69" t="str">
        <f>IF(Main[[#This Row],[Tech Start Date]]&lt;1/1/1990,"",IF(Main[[#This Row],[Class]]="C",WORKDAY(Main[[#This Row],[Tech Start Date]],28),IF(Main[[#This Row],[Class]]="B", WORKDAY(Main[[#This Row],[Tech Start Date]],19),IF(Main[[#This Row],[Class]]="A",WORKDAY(Main[[#This Row],[Tech Start Date]],9),""))))</f>
        <v/>
      </c>
      <c r="Q1060" s="67"/>
      <c r="R1060" s="67"/>
      <c r="S1060" s="65" t="s">
        <v>6</v>
      </c>
      <c r="T1060" s="70" t="s">
        <v>4</v>
      </c>
      <c r="U1060" s="65" t="s">
        <v>7</v>
      </c>
      <c r="V1060" s="65" t="s">
        <v>1929</v>
      </c>
      <c r="W1060" s="65" t="s">
        <v>1918</v>
      </c>
      <c r="X1060" s="65" t="s">
        <v>306</v>
      </c>
      <c r="Y1060" s="65" t="s">
        <v>4</v>
      </c>
      <c r="Z1060" s="65" t="s">
        <v>2211</v>
      </c>
      <c r="AA1060" s="65" t="s">
        <v>4</v>
      </c>
    </row>
    <row r="1061" spans="1:27" ht="17.45" hidden="1" customHeight="1">
      <c r="A1061" s="100" t="str">
        <f>IF(priority(Main[[#This Row],[Comments]])&lt;&gt;0, priority(Main[[#This Row],[Comments]]),"")</f>
        <v/>
      </c>
      <c r="B1061" s="77" t="s">
        <v>3951</v>
      </c>
      <c r="C1061" s="65" t="s">
        <v>4</v>
      </c>
      <c r="D1061" s="66" t="s">
        <v>3952</v>
      </c>
      <c r="E1061" s="67">
        <v>40968.434988425928</v>
      </c>
      <c r="F1061" s="67"/>
      <c r="G1061" s="64" t="str">
        <f>IF(stdProdLT(Main[[#This Row],[Comments]])=0.1,"N/A",IF(stdProdLT(Main[[#This Row],[Comments]])=0,"",stdProdLT(Main[[#This Row],[Comments]])))</f>
        <v/>
      </c>
      <c r="H1061" s="68" t="str">
        <f>IF(AND(Main[[#This Row],[In Stock Date]]&lt;&gt;"",Main[[#This Row],[Revised Due Date]]&lt;&gt;""),Main[[#This Row],[In Stock Date]]-Main[[#This Row],[Revised Due Date]],"")</f>
        <v/>
      </c>
      <c r="I1061" s="65" t="s">
        <v>4</v>
      </c>
      <c r="J1061" s="65" t="s">
        <v>4</v>
      </c>
      <c r="K1061" s="65" t="s">
        <v>4</v>
      </c>
      <c r="L1061" s="67"/>
      <c r="M1061" s="69" t="str">
        <f>IF(Main[[#This Row],[Tech Start Date]]&lt;1/1/1990,"",IF(Main[[#This Row],[Class]]="C",WORKDAY(Main[[#This Row],[Tech Start Date]],9),IF(Main[[#This Row],[Class]]="B", WORKDAY(Main[[#This Row],[Tech Start Date]],6),IF(Main[[#This Row],[Class]]="A",WORKDAY(Main[[#This Row],[Tech Start Date]],2),""))))</f>
        <v/>
      </c>
      <c r="N1061" s="69" t="str">
        <f>IF(Main[[#This Row],[Tech Start Date]]&lt;1/1/1990,"",IF(Main[[#This Row],[Class]]="C",WORKDAY(Main[[#This Row],[Tech Start Date]],19),IF(Main[[#This Row],[Class]]="B", WORKDAY(Main[[#This Row],[Tech Start Date]],12),IF(Main[[#This Row],[Class]]="A",WORKDAY(Main[[#This Row],[Tech Start Date]],4),""))))</f>
        <v/>
      </c>
      <c r="O1061" s="69" t="str">
        <f>IF(Main[[#This Row],[Tech Start Date]]&lt;1/1/1990,"",IF(Main[[#This Row],[Class]]="C",WORKDAY(Main[[#This Row],[Tech Start Date]],23),IF(Main[[#This Row],[Class]]="B", WORKDAY(Main[[#This Row],[Tech Start Date]],15),IF(Main[[#This Row],[Class]]="A",WORKDAY(Main[[#This Row],[Tech Start Date]],5),""))))</f>
        <v/>
      </c>
      <c r="P1061" s="69" t="str">
        <f>IF(Main[[#This Row],[Tech Start Date]]&lt;1/1/1990,"",IF(Main[[#This Row],[Class]]="C",WORKDAY(Main[[#This Row],[Tech Start Date]],28),IF(Main[[#This Row],[Class]]="B", WORKDAY(Main[[#This Row],[Tech Start Date]],19),IF(Main[[#This Row],[Class]]="A",WORKDAY(Main[[#This Row],[Tech Start Date]],9),""))))</f>
        <v/>
      </c>
      <c r="Q1061" s="67"/>
      <c r="R1061" s="67"/>
      <c r="S1061" s="65" t="s">
        <v>6</v>
      </c>
      <c r="T1061" s="70" t="s">
        <v>4</v>
      </c>
      <c r="U1061" s="65" t="s">
        <v>7</v>
      </c>
      <c r="V1061" s="65" t="s">
        <v>1917</v>
      </c>
      <c r="W1061" s="65" t="s">
        <v>1918</v>
      </c>
      <c r="X1061" s="65" t="s">
        <v>2841</v>
      </c>
      <c r="Y1061" s="65" t="s">
        <v>2971</v>
      </c>
      <c r="Z1061" s="65" t="s">
        <v>4</v>
      </c>
      <c r="AA1061" s="65" t="s">
        <v>2841</v>
      </c>
    </row>
    <row r="1062" spans="1:27" ht="17.45" hidden="1" customHeight="1">
      <c r="A1062" s="100" t="str">
        <f>IF(priority(Main[[#This Row],[Comments]])&lt;&gt;0, priority(Main[[#This Row],[Comments]]),"")</f>
        <v/>
      </c>
      <c r="B1062" s="77" t="s">
        <v>2431</v>
      </c>
      <c r="C1062" s="65" t="s">
        <v>4</v>
      </c>
      <c r="D1062" s="66" t="s">
        <v>2432</v>
      </c>
      <c r="E1062" s="67">
        <v>40861.647233796299</v>
      </c>
      <c r="F1062" s="67"/>
      <c r="G1062" s="64" t="str">
        <f>IF(stdProdLT(Main[[#This Row],[Comments]])=0.1,"N/A",IF(stdProdLT(Main[[#This Row],[Comments]])=0,"",stdProdLT(Main[[#This Row],[Comments]])))</f>
        <v/>
      </c>
      <c r="H1062" s="68" t="str">
        <f>IF(AND(Main[[#This Row],[In Stock Date]]&lt;&gt;"",Main[[#This Row],[Revised Due Date]]&lt;&gt;""),Main[[#This Row],[In Stock Date]]-Main[[#This Row],[Revised Due Date]],"")</f>
        <v/>
      </c>
      <c r="I1062" s="65" t="s">
        <v>30</v>
      </c>
      <c r="J1062" s="65" t="s">
        <v>52</v>
      </c>
      <c r="K1062" s="65" t="s">
        <v>1923</v>
      </c>
      <c r="L1062" s="67"/>
      <c r="M1062" s="69" t="str">
        <f>IF(Main[[#This Row],[Tech Start Date]]&lt;1/1/1990,"",IF(Main[[#This Row],[Class]]="C",WORKDAY(Main[[#This Row],[Tech Start Date]],9),IF(Main[[#This Row],[Class]]="B", WORKDAY(Main[[#This Row],[Tech Start Date]],6),IF(Main[[#This Row],[Class]]="A",WORKDAY(Main[[#This Row],[Tech Start Date]],2),""))))</f>
        <v/>
      </c>
      <c r="N1062" s="69" t="str">
        <f>IF(Main[[#This Row],[Tech Start Date]]&lt;1/1/1990,"",IF(Main[[#This Row],[Class]]="C",WORKDAY(Main[[#This Row],[Tech Start Date]],19),IF(Main[[#This Row],[Class]]="B", WORKDAY(Main[[#This Row],[Tech Start Date]],12),IF(Main[[#This Row],[Class]]="A",WORKDAY(Main[[#This Row],[Tech Start Date]],4),""))))</f>
        <v/>
      </c>
      <c r="O1062" s="69" t="str">
        <f>IF(Main[[#This Row],[Tech Start Date]]&lt;1/1/1990,"",IF(Main[[#This Row],[Class]]="C",WORKDAY(Main[[#This Row],[Tech Start Date]],23),IF(Main[[#This Row],[Class]]="B", WORKDAY(Main[[#This Row],[Tech Start Date]],15),IF(Main[[#This Row],[Class]]="A",WORKDAY(Main[[#This Row],[Tech Start Date]],5),""))))</f>
        <v/>
      </c>
      <c r="P1062" s="69" t="str">
        <f>IF(Main[[#This Row],[Tech Start Date]]&lt;1/1/1990,"",IF(Main[[#This Row],[Class]]="C",WORKDAY(Main[[#This Row],[Tech Start Date]],28),IF(Main[[#This Row],[Class]]="B", WORKDAY(Main[[#This Row],[Tech Start Date]],19),IF(Main[[#This Row],[Class]]="A",WORKDAY(Main[[#This Row],[Tech Start Date]],9),""))))</f>
        <v/>
      </c>
      <c r="Q1062" s="67">
        <v>40897</v>
      </c>
      <c r="R1062" s="67"/>
      <c r="S1062" s="65" t="s">
        <v>6</v>
      </c>
      <c r="T1062" s="70" t="s">
        <v>4</v>
      </c>
      <c r="U1062" s="65" t="s">
        <v>29</v>
      </c>
      <c r="V1062" s="65" t="s">
        <v>1917</v>
      </c>
      <c r="W1062" s="65" t="s">
        <v>1918</v>
      </c>
      <c r="X1062" s="65" t="s">
        <v>30</v>
      </c>
      <c r="Y1062" s="65" t="s">
        <v>2940</v>
      </c>
      <c r="Z1062" s="65" t="s">
        <v>30</v>
      </c>
      <c r="AA1062" s="65" t="s">
        <v>30</v>
      </c>
    </row>
    <row r="1063" spans="1:27" ht="17.45" hidden="1" customHeight="1">
      <c r="A1063" s="100" t="str">
        <f>IF(priority(Main[[#This Row],[Comments]])&lt;&gt;0, priority(Main[[#This Row],[Comments]]),"")</f>
        <v/>
      </c>
      <c r="B1063" s="77" t="s">
        <v>1875</v>
      </c>
      <c r="C1063" s="65" t="s">
        <v>99</v>
      </c>
      <c r="D1063" s="66" t="s">
        <v>928</v>
      </c>
      <c r="E1063" s="67"/>
      <c r="F1063" s="67">
        <v>40644</v>
      </c>
      <c r="G1063" s="64" t="str">
        <f>IF(stdProdLT(Main[[#This Row],[Comments]])=0.1,"N/A",IF(stdProdLT(Main[[#This Row],[Comments]])=0,"",stdProdLT(Main[[#This Row],[Comments]])))</f>
        <v/>
      </c>
      <c r="H1063" s="68">
        <f>IF(AND(Main[[#This Row],[In Stock Date]]&lt;&gt;"",Main[[#This Row],[Revised Due Date]]&lt;&gt;""),Main[[#This Row],[In Stock Date]]-Main[[#This Row],[Revised Due Date]],"")</f>
        <v>-19</v>
      </c>
      <c r="I1063" s="65" t="s">
        <v>4</v>
      </c>
      <c r="J1063" s="65" t="s">
        <v>21</v>
      </c>
      <c r="K1063" s="65" t="s">
        <v>1926</v>
      </c>
      <c r="L1063" s="67"/>
      <c r="M1063" s="69" t="str">
        <f>IF(Main[[#This Row],[Tech Start Date]]&lt;1/1/1990,"",IF(Main[[#This Row],[Class]]="C",WORKDAY(Main[[#This Row],[Tech Start Date]],9),IF(Main[[#This Row],[Class]]="B", WORKDAY(Main[[#This Row],[Tech Start Date]],6),IF(Main[[#This Row],[Class]]="A",WORKDAY(Main[[#This Row],[Tech Start Date]],2),""))))</f>
        <v/>
      </c>
      <c r="N1063" s="69" t="str">
        <f>IF(Main[[#This Row],[Tech Start Date]]&lt;1/1/1990,"",IF(Main[[#This Row],[Class]]="C",WORKDAY(Main[[#This Row],[Tech Start Date]],19),IF(Main[[#This Row],[Class]]="B", WORKDAY(Main[[#This Row],[Tech Start Date]],12),IF(Main[[#This Row],[Class]]="A",WORKDAY(Main[[#This Row],[Tech Start Date]],4),""))))</f>
        <v/>
      </c>
      <c r="O1063" s="69" t="str">
        <f>IF(Main[[#This Row],[Tech Start Date]]&lt;1/1/1990,"",IF(Main[[#This Row],[Class]]="C",WORKDAY(Main[[#This Row],[Tech Start Date]],23),IF(Main[[#This Row],[Class]]="B", WORKDAY(Main[[#This Row],[Tech Start Date]],15),IF(Main[[#This Row],[Class]]="A",WORKDAY(Main[[#This Row],[Tech Start Date]],5),""))))</f>
        <v/>
      </c>
      <c r="P1063" s="69" t="str">
        <f>IF(Main[[#This Row],[Tech Start Date]]&lt;1/1/1990,"",IF(Main[[#This Row],[Class]]="C",WORKDAY(Main[[#This Row],[Tech Start Date]],28),IF(Main[[#This Row],[Class]]="B", WORKDAY(Main[[#This Row],[Tech Start Date]],19),IF(Main[[#This Row],[Class]]="A",WORKDAY(Main[[#This Row],[Tech Start Date]],9),""))))</f>
        <v/>
      </c>
      <c r="Q1063" s="67">
        <v>40663</v>
      </c>
      <c r="R1063" s="67">
        <v>40663</v>
      </c>
      <c r="S1063" s="65" t="s">
        <v>11</v>
      </c>
      <c r="T1063" s="70" t="s">
        <v>4</v>
      </c>
      <c r="U1063" s="65" t="s">
        <v>14</v>
      </c>
      <c r="V1063" s="65" t="s">
        <v>1914</v>
      </c>
      <c r="W1063" s="65" t="s">
        <v>1919</v>
      </c>
      <c r="X1063" s="65" t="s">
        <v>2837</v>
      </c>
      <c r="Y1063" s="65" t="s">
        <v>2966</v>
      </c>
      <c r="Z1063" s="65" t="s">
        <v>129</v>
      </c>
      <c r="AA1063" s="65" t="s">
        <v>2834</v>
      </c>
    </row>
    <row r="1064" spans="1:27" ht="17.45" hidden="1" customHeight="1">
      <c r="A1064" s="100" t="str">
        <f>IF(priority(Main[[#This Row],[Comments]])&lt;&gt;0, priority(Main[[#This Row],[Comments]]),"")</f>
        <v/>
      </c>
      <c r="B1064" s="77" t="s">
        <v>2506</v>
      </c>
      <c r="C1064" s="65" t="s">
        <v>4</v>
      </c>
      <c r="D1064" s="66" t="s">
        <v>2507</v>
      </c>
      <c r="E1064" s="67"/>
      <c r="F1064" s="67"/>
      <c r="G1064" s="64" t="str">
        <f>IF(stdProdLT(Main[[#This Row],[Comments]])=0.1,"N/A",IF(stdProdLT(Main[[#This Row],[Comments]])=0,"",stdProdLT(Main[[#This Row],[Comments]])))</f>
        <v/>
      </c>
      <c r="H1064" s="68" t="str">
        <f>IF(AND(Main[[#This Row],[In Stock Date]]&lt;&gt;"",Main[[#This Row],[Revised Due Date]]&lt;&gt;""),Main[[#This Row],[In Stock Date]]-Main[[#This Row],[Revised Due Date]],"")</f>
        <v/>
      </c>
      <c r="I1064" s="65" t="s">
        <v>4</v>
      </c>
      <c r="J1064" s="65" t="s">
        <v>4</v>
      </c>
      <c r="K1064" s="65" t="s">
        <v>4</v>
      </c>
      <c r="L1064" s="67"/>
      <c r="M1064" s="69" t="str">
        <f>IF(Main[[#This Row],[Tech Start Date]]&lt;1/1/1990,"",IF(Main[[#This Row],[Class]]="C",WORKDAY(Main[[#This Row],[Tech Start Date]],9),IF(Main[[#This Row],[Class]]="B", WORKDAY(Main[[#This Row],[Tech Start Date]],6),IF(Main[[#This Row],[Class]]="A",WORKDAY(Main[[#This Row],[Tech Start Date]],2),""))))</f>
        <v/>
      </c>
      <c r="N1064" s="69" t="str">
        <f>IF(Main[[#This Row],[Tech Start Date]]&lt;1/1/1990,"",IF(Main[[#This Row],[Class]]="C",WORKDAY(Main[[#This Row],[Tech Start Date]],19),IF(Main[[#This Row],[Class]]="B", WORKDAY(Main[[#This Row],[Tech Start Date]],12),IF(Main[[#This Row],[Class]]="A",WORKDAY(Main[[#This Row],[Tech Start Date]],4),""))))</f>
        <v/>
      </c>
      <c r="O1064" s="69" t="str">
        <f>IF(Main[[#This Row],[Tech Start Date]]&lt;1/1/1990,"",IF(Main[[#This Row],[Class]]="C",WORKDAY(Main[[#This Row],[Tech Start Date]],23),IF(Main[[#This Row],[Class]]="B", WORKDAY(Main[[#This Row],[Tech Start Date]],15),IF(Main[[#This Row],[Class]]="A",WORKDAY(Main[[#This Row],[Tech Start Date]],5),""))))</f>
        <v/>
      </c>
      <c r="P1064" s="69" t="str">
        <f>IF(Main[[#This Row],[Tech Start Date]]&lt;1/1/1990,"",IF(Main[[#This Row],[Class]]="C",WORKDAY(Main[[#This Row],[Tech Start Date]],28),IF(Main[[#This Row],[Class]]="B", WORKDAY(Main[[#This Row],[Tech Start Date]],19),IF(Main[[#This Row],[Class]]="A",WORKDAY(Main[[#This Row],[Tech Start Date]],9),""))))</f>
        <v/>
      </c>
      <c r="Q1064" s="67">
        <v>40837</v>
      </c>
      <c r="R1064" s="67"/>
      <c r="S1064" s="65" t="s">
        <v>11</v>
      </c>
      <c r="T1064" s="70" t="s">
        <v>4</v>
      </c>
      <c r="U1064" s="65" t="s">
        <v>14</v>
      </c>
      <c r="V1064" s="65" t="s">
        <v>1915</v>
      </c>
      <c r="W1064" s="65" t="s">
        <v>1922</v>
      </c>
      <c r="X1064" s="65" t="s">
        <v>2906</v>
      </c>
      <c r="Y1064" s="65" t="s">
        <v>3096</v>
      </c>
      <c r="Z1064" s="65" t="s">
        <v>4</v>
      </c>
      <c r="AA1064" s="65" t="s">
        <v>2906</v>
      </c>
    </row>
    <row r="1065" spans="1:27" ht="17.45" hidden="1" customHeight="1">
      <c r="A1065" s="100" t="str">
        <f>IF(priority(Main[[#This Row],[Comments]])&lt;&gt;0, priority(Main[[#This Row],[Comments]]),"")</f>
        <v/>
      </c>
      <c r="B1065" s="77" t="s">
        <v>1381</v>
      </c>
      <c r="C1065" s="65" t="s">
        <v>4</v>
      </c>
      <c r="D1065" s="66" t="s">
        <v>2015</v>
      </c>
      <c r="E1065" s="67"/>
      <c r="F1065" s="67"/>
      <c r="G1065" s="64" t="str">
        <f>IF(stdProdLT(Main[[#This Row],[Comments]])=0.1,"N/A",IF(stdProdLT(Main[[#This Row],[Comments]])=0,"",stdProdLT(Main[[#This Row],[Comments]])))</f>
        <v/>
      </c>
      <c r="H1065" s="68" t="str">
        <f>IF(AND(Main[[#This Row],[In Stock Date]]&lt;&gt;"",Main[[#This Row],[Revised Due Date]]&lt;&gt;""),Main[[#This Row],[In Stock Date]]-Main[[#This Row],[Revised Due Date]],"")</f>
        <v/>
      </c>
      <c r="I1065" s="65" t="s">
        <v>4</v>
      </c>
      <c r="J1065" s="65" t="s">
        <v>4</v>
      </c>
      <c r="K1065" s="65" t="s">
        <v>4</v>
      </c>
      <c r="L1065" s="67"/>
      <c r="M1065" s="69" t="str">
        <f>IF(Main[[#This Row],[Tech Start Date]]&lt;1/1/1990,"",IF(Main[[#This Row],[Class]]="C",WORKDAY(Main[[#This Row],[Tech Start Date]],9),IF(Main[[#This Row],[Class]]="B", WORKDAY(Main[[#This Row],[Tech Start Date]],6),IF(Main[[#This Row],[Class]]="A",WORKDAY(Main[[#This Row],[Tech Start Date]],2),""))))</f>
        <v/>
      </c>
      <c r="N1065" s="69" t="str">
        <f>IF(Main[[#This Row],[Tech Start Date]]&lt;1/1/1990,"",IF(Main[[#This Row],[Class]]="C",WORKDAY(Main[[#This Row],[Tech Start Date]],19),IF(Main[[#This Row],[Class]]="B", WORKDAY(Main[[#This Row],[Tech Start Date]],12),IF(Main[[#This Row],[Class]]="A",WORKDAY(Main[[#This Row],[Tech Start Date]],4),""))))</f>
        <v/>
      </c>
      <c r="O1065" s="69" t="str">
        <f>IF(Main[[#This Row],[Tech Start Date]]&lt;1/1/1990,"",IF(Main[[#This Row],[Class]]="C",WORKDAY(Main[[#This Row],[Tech Start Date]],23),IF(Main[[#This Row],[Class]]="B", WORKDAY(Main[[#This Row],[Tech Start Date]],15),IF(Main[[#This Row],[Class]]="A",WORKDAY(Main[[#This Row],[Tech Start Date]],5),""))))</f>
        <v/>
      </c>
      <c r="P1065" s="69" t="str">
        <f>IF(Main[[#This Row],[Tech Start Date]]&lt;1/1/1990,"",IF(Main[[#This Row],[Class]]="C",WORKDAY(Main[[#This Row],[Tech Start Date]],28),IF(Main[[#This Row],[Class]]="B", WORKDAY(Main[[#This Row],[Tech Start Date]],19),IF(Main[[#This Row],[Class]]="A",WORKDAY(Main[[#This Row],[Tech Start Date]],9),""))))</f>
        <v/>
      </c>
      <c r="Q1065" s="67">
        <v>40310</v>
      </c>
      <c r="R1065" s="67"/>
      <c r="S1065" s="65" t="s">
        <v>6</v>
      </c>
      <c r="T1065" s="70" t="s">
        <v>4</v>
      </c>
      <c r="U1065" s="65" t="s">
        <v>14</v>
      </c>
      <c r="V1065" s="65" t="s">
        <v>1914</v>
      </c>
      <c r="W1065" s="65" t="s">
        <v>1919</v>
      </c>
      <c r="X1065" s="65" t="s">
        <v>883</v>
      </c>
      <c r="Y1065" s="65" t="s">
        <v>2963</v>
      </c>
      <c r="Z1065" s="65" t="s">
        <v>4</v>
      </c>
      <c r="AA1065" s="65" t="s">
        <v>883</v>
      </c>
    </row>
    <row r="1066" spans="1:27" ht="17.45" hidden="1" customHeight="1">
      <c r="A1066" s="100" t="str">
        <f>IF(priority(Main[[#This Row],[Comments]])&lt;&gt;0, priority(Main[[#This Row],[Comments]]),"")</f>
        <v/>
      </c>
      <c r="B1066" s="77" t="s">
        <v>2583</v>
      </c>
      <c r="C1066" s="65" t="s">
        <v>4</v>
      </c>
      <c r="D1066" s="66" t="s">
        <v>2764</v>
      </c>
      <c r="E1066" s="67"/>
      <c r="F1066" s="67"/>
      <c r="G1066" s="64" t="str">
        <f>IF(stdProdLT(Main[[#This Row],[Comments]])=0.1,"N/A",IF(stdProdLT(Main[[#This Row],[Comments]])=0,"",stdProdLT(Main[[#This Row],[Comments]])))</f>
        <v/>
      </c>
      <c r="H1066" s="68" t="str">
        <f>IF(AND(Main[[#This Row],[In Stock Date]]&lt;&gt;"",Main[[#This Row],[Revised Due Date]]&lt;&gt;""),Main[[#This Row],[In Stock Date]]-Main[[#This Row],[Revised Due Date]],"")</f>
        <v/>
      </c>
      <c r="I1066" s="65" t="s">
        <v>239</v>
      </c>
      <c r="J1066" s="65" t="s">
        <v>28</v>
      </c>
      <c r="K1066" s="65" t="s">
        <v>1923</v>
      </c>
      <c r="L1066" s="67"/>
      <c r="M1066" s="69" t="str">
        <f>IF(Main[[#This Row],[Tech Start Date]]&lt;1/1/1990,"",IF(Main[[#This Row],[Class]]="C",WORKDAY(Main[[#This Row],[Tech Start Date]],9),IF(Main[[#This Row],[Class]]="B", WORKDAY(Main[[#This Row],[Tech Start Date]],6),IF(Main[[#This Row],[Class]]="A",WORKDAY(Main[[#This Row],[Tech Start Date]],2),""))))</f>
        <v/>
      </c>
      <c r="N1066" s="69" t="str">
        <f>IF(Main[[#This Row],[Tech Start Date]]&lt;1/1/1990,"",IF(Main[[#This Row],[Class]]="C",WORKDAY(Main[[#This Row],[Tech Start Date]],19),IF(Main[[#This Row],[Class]]="B", WORKDAY(Main[[#This Row],[Tech Start Date]],12),IF(Main[[#This Row],[Class]]="A",WORKDAY(Main[[#This Row],[Tech Start Date]],4),""))))</f>
        <v/>
      </c>
      <c r="O1066" s="69" t="str">
        <f>IF(Main[[#This Row],[Tech Start Date]]&lt;1/1/1990,"",IF(Main[[#This Row],[Class]]="C",WORKDAY(Main[[#This Row],[Tech Start Date]],23),IF(Main[[#This Row],[Class]]="B", WORKDAY(Main[[#This Row],[Tech Start Date]],15),IF(Main[[#This Row],[Class]]="A",WORKDAY(Main[[#This Row],[Tech Start Date]],5),""))))</f>
        <v/>
      </c>
      <c r="P1066" s="69" t="str">
        <f>IF(Main[[#This Row],[Tech Start Date]]&lt;1/1/1990,"",IF(Main[[#This Row],[Class]]="C",WORKDAY(Main[[#This Row],[Tech Start Date]],28),IF(Main[[#This Row],[Class]]="B", WORKDAY(Main[[#This Row],[Tech Start Date]],19),IF(Main[[#This Row],[Class]]="A",WORKDAY(Main[[#This Row],[Tech Start Date]],9),""))))</f>
        <v/>
      </c>
      <c r="Q1066" s="67">
        <v>40907</v>
      </c>
      <c r="R1066" s="67"/>
      <c r="S1066" s="65" t="s">
        <v>6</v>
      </c>
      <c r="T1066" s="70" t="s">
        <v>4</v>
      </c>
      <c r="U1066" s="65" t="s">
        <v>14</v>
      </c>
      <c r="V1066" s="65" t="s">
        <v>1917</v>
      </c>
      <c r="W1066" s="65" t="s">
        <v>1918</v>
      </c>
      <c r="X1066" s="65" t="s">
        <v>2819</v>
      </c>
      <c r="Y1066" s="65" t="s">
        <v>2932</v>
      </c>
      <c r="Z1066" s="65" t="s">
        <v>30</v>
      </c>
      <c r="AA1066" s="65" t="s">
        <v>2819</v>
      </c>
    </row>
    <row r="1067" spans="1:27" ht="17.45" customHeight="1">
      <c r="A1067" s="100">
        <f>IF(priority(Main[[#This Row],[Comments]])&lt;&gt;0, priority(Main[[#This Row],[Comments]]),"")</f>
        <v>10</v>
      </c>
      <c r="B1067" s="77" t="s">
        <v>3549</v>
      </c>
      <c r="C1067" s="65" t="s">
        <v>347</v>
      </c>
      <c r="D1067" s="66" t="s">
        <v>3990</v>
      </c>
      <c r="E1067" s="67">
        <v>40961.409259259257</v>
      </c>
      <c r="F1067" s="67">
        <v>41030</v>
      </c>
      <c r="G1067" s="64">
        <f>IF(stdProdLT(Main[[#This Row],[Comments]])=0.1,"N/A",IF(stdProdLT(Main[[#This Row],[Comments]])=0,"",stdProdLT(Main[[#This Row],[Comments]])))</f>
        <v>126</v>
      </c>
      <c r="H1067" s="68">
        <f>IF(AND(Main[[#This Row],[In Stock Date]]&lt;&gt;"",Main[[#This Row],[Revised Due Date]]&lt;&gt;""),Main[[#This Row],[In Stock Date]]-Main[[#This Row],[Revised Due Date]],"")</f>
        <v>49</v>
      </c>
      <c r="I1067" s="65" t="s">
        <v>912</v>
      </c>
      <c r="J1067" s="65" t="s">
        <v>52</v>
      </c>
      <c r="K1067" s="71" t="s">
        <v>1921</v>
      </c>
      <c r="L1067" s="67"/>
      <c r="M1067" s="69" t="str">
        <f>IF(Main[[#This Row],[Tech Start Date]]&lt;1/1/1990,"",IF(Main[[#This Row],[Class]]="C",WORKDAY(Main[[#This Row],[Tech Start Date]],9),IF(Main[[#This Row],[Class]]="B", WORKDAY(Main[[#This Row],[Tech Start Date]],6),IF(Main[[#This Row],[Class]]="A",WORKDAY(Main[[#This Row],[Tech Start Date]],2),""))))</f>
        <v/>
      </c>
      <c r="N1067" s="69" t="str">
        <f>IF(Main[[#This Row],[Tech Start Date]]&lt;1/1/1990,"",IF(Main[[#This Row],[Class]]="C",WORKDAY(Main[[#This Row],[Tech Start Date]],19),IF(Main[[#This Row],[Class]]="B", WORKDAY(Main[[#This Row],[Tech Start Date]],12),IF(Main[[#This Row],[Class]]="A",WORKDAY(Main[[#This Row],[Tech Start Date]],4),""))))</f>
        <v/>
      </c>
      <c r="O1067" s="69" t="str">
        <f>IF(Main[[#This Row],[Tech Start Date]]&lt;1/1/1990,"",IF(Main[[#This Row],[Class]]="C",WORKDAY(Main[[#This Row],[Tech Start Date]],23),IF(Main[[#This Row],[Class]]="B", WORKDAY(Main[[#This Row],[Tech Start Date]],15),IF(Main[[#This Row],[Class]]="A",WORKDAY(Main[[#This Row],[Tech Start Date]],5),""))))</f>
        <v/>
      </c>
      <c r="P1067" s="69" t="str">
        <f>IF(Main[[#This Row],[Tech Start Date]]&lt;1/1/1990,"",IF(Main[[#This Row],[Class]]="C",WORKDAY(Main[[#This Row],[Tech Start Date]],28),IF(Main[[#This Row],[Class]]="B", WORKDAY(Main[[#This Row],[Tech Start Date]],19),IF(Main[[#This Row],[Class]]="A",WORKDAY(Main[[#This Row],[Tech Start Date]],9),""))))</f>
        <v/>
      </c>
      <c r="Q1067" s="67">
        <v>40990</v>
      </c>
      <c r="R1067" s="67">
        <v>40981</v>
      </c>
      <c r="S1067" s="65" t="s">
        <v>11</v>
      </c>
      <c r="T1067" s="70" t="s">
        <v>3670</v>
      </c>
      <c r="U1067" s="65" t="s">
        <v>29</v>
      </c>
      <c r="V1067" s="65" t="s">
        <v>1914</v>
      </c>
      <c r="W1067" s="65" t="s">
        <v>1922</v>
      </c>
      <c r="X1067" s="65" t="s">
        <v>2911</v>
      </c>
      <c r="Y1067" s="65" t="s">
        <v>4</v>
      </c>
      <c r="Z1067" s="65" t="s">
        <v>129</v>
      </c>
      <c r="AA1067" s="65" t="s">
        <v>3407</v>
      </c>
    </row>
    <row r="1068" spans="1:27" ht="17.45" hidden="1" customHeight="1">
      <c r="A1068" s="100" t="str">
        <f>IF(priority(Main[[#This Row],[Comments]])&lt;&gt;0, priority(Main[[#This Row],[Comments]]),"")</f>
        <v/>
      </c>
      <c r="B1068" s="77" t="s">
        <v>2508</v>
      </c>
      <c r="C1068" s="65" t="s">
        <v>2509</v>
      </c>
      <c r="D1068" s="66" t="s">
        <v>2510</v>
      </c>
      <c r="E1068" s="67"/>
      <c r="F1068" s="67"/>
      <c r="G1068" s="64" t="str">
        <f>IF(stdProdLT(Main[[#This Row],[Comments]])=0.1,"N/A",IF(stdProdLT(Main[[#This Row],[Comments]])=0,"",stdProdLT(Main[[#This Row],[Comments]])))</f>
        <v/>
      </c>
      <c r="H1068" s="68" t="str">
        <f>IF(AND(Main[[#This Row],[In Stock Date]]&lt;&gt;"",Main[[#This Row],[Revised Due Date]]&lt;&gt;""),Main[[#This Row],[In Stock Date]]-Main[[#This Row],[Revised Due Date]],"")</f>
        <v/>
      </c>
      <c r="I1068" s="65" t="s">
        <v>4</v>
      </c>
      <c r="J1068" s="65" t="s">
        <v>4</v>
      </c>
      <c r="K1068" s="65" t="s">
        <v>4</v>
      </c>
      <c r="L1068" s="67"/>
      <c r="M1068" s="69" t="str">
        <f>IF(Main[[#This Row],[Tech Start Date]]&lt;1/1/1990,"",IF(Main[[#This Row],[Class]]="C",WORKDAY(Main[[#This Row],[Tech Start Date]],9),IF(Main[[#This Row],[Class]]="B", WORKDAY(Main[[#This Row],[Tech Start Date]],6),IF(Main[[#This Row],[Class]]="A",WORKDAY(Main[[#This Row],[Tech Start Date]],2),""))))</f>
        <v/>
      </c>
      <c r="N1068" s="69" t="str">
        <f>IF(Main[[#This Row],[Tech Start Date]]&lt;1/1/1990,"",IF(Main[[#This Row],[Class]]="C",WORKDAY(Main[[#This Row],[Tech Start Date]],19),IF(Main[[#This Row],[Class]]="B", WORKDAY(Main[[#This Row],[Tech Start Date]],12),IF(Main[[#This Row],[Class]]="A",WORKDAY(Main[[#This Row],[Tech Start Date]],4),""))))</f>
        <v/>
      </c>
      <c r="O1068" s="69" t="str">
        <f>IF(Main[[#This Row],[Tech Start Date]]&lt;1/1/1990,"",IF(Main[[#This Row],[Class]]="C",WORKDAY(Main[[#This Row],[Tech Start Date]],23),IF(Main[[#This Row],[Class]]="B", WORKDAY(Main[[#This Row],[Tech Start Date]],15),IF(Main[[#This Row],[Class]]="A",WORKDAY(Main[[#This Row],[Tech Start Date]],5),""))))</f>
        <v/>
      </c>
      <c r="P1068" s="69" t="str">
        <f>IF(Main[[#This Row],[Tech Start Date]]&lt;1/1/1990,"",IF(Main[[#This Row],[Class]]="C",WORKDAY(Main[[#This Row],[Tech Start Date]],28),IF(Main[[#This Row],[Class]]="B", WORKDAY(Main[[#This Row],[Tech Start Date]],19),IF(Main[[#This Row],[Class]]="A",WORKDAY(Main[[#This Row],[Tech Start Date]],9),""))))</f>
        <v/>
      </c>
      <c r="Q1068" s="67"/>
      <c r="R1068" s="67"/>
      <c r="S1068" s="65" t="s">
        <v>11</v>
      </c>
      <c r="T1068" s="70" t="s">
        <v>4</v>
      </c>
      <c r="U1068" s="65" t="s">
        <v>14</v>
      </c>
      <c r="V1068" s="65" t="s">
        <v>1915</v>
      </c>
      <c r="W1068" s="65" t="s">
        <v>1922</v>
      </c>
      <c r="X1068" s="65" t="s">
        <v>2249</v>
      </c>
      <c r="Y1068" s="65" t="s">
        <v>4</v>
      </c>
      <c r="Z1068" s="65" t="s">
        <v>4</v>
      </c>
      <c r="AA1068" s="65" t="s">
        <v>3460</v>
      </c>
    </row>
    <row r="1069" spans="1:27" ht="17.45" hidden="1" customHeight="1">
      <c r="A1069" s="100" t="str">
        <f>IF(priority(Main[[#This Row],[Comments]])&lt;&gt;0, priority(Main[[#This Row],[Comments]]),"")</f>
        <v/>
      </c>
      <c r="B1069" s="77" t="s">
        <v>2512</v>
      </c>
      <c r="C1069" s="65" t="s">
        <v>4</v>
      </c>
      <c r="D1069" s="66" t="s">
        <v>2513</v>
      </c>
      <c r="E1069" s="67"/>
      <c r="F1069" s="67"/>
      <c r="G1069" s="64" t="str">
        <f>IF(stdProdLT(Main[[#This Row],[Comments]])=0.1,"N/A",IF(stdProdLT(Main[[#This Row],[Comments]])=0,"",stdProdLT(Main[[#This Row],[Comments]])))</f>
        <v/>
      </c>
      <c r="H1069" s="68" t="str">
        <f>IF(AND(Main[[#This Row],[In Stock Date]]&lt;&gt;"",Main[[#This Row],[Revised Due Date]]&lt;&gt;""),Main[[#This Row],[In Stock Date]]-Main[[#This Row],[Revised Due Date]],"")</f>
        <v/>
      </c>
      <c r="I1069" s="65" t="s">
        <v>4</v>
      </c>
      <c r="J1069" s="65" t="s">
        <v>4</v>
      </c>
      <c r="K1069" s="71" t="s">
        <v>4</v>
      </c>
      <c r="L1069" s="67"/>
      <c r="M1069" s="69" t="str">
        <f>IF(Main[[#This Row],[Tech Start Date]]&lt;1/1/1990,"",IF(Main[[#This Row],[Class]]="C",WORKDAY(Main[[#This Row],[Tech Start Date]],9),IF(Main[[#This Row],[Class]]="B", WORKDAY(Main[[#This Row],[Tech Start Date]],6),IF(Main[[#This Row],[Class]]="A",WORKDAY(Main[[#This Row],[Tech Start Date]],2),""))))</f>
        <v/>
      </c>
      <c r="N1069" s="69" t="str">
        <f>IF(Main[[#This Row],[Tech Start Date]]&lt;1/1/1990,"",IF(Main[[#This Row],[Class]]="C",WORKDAY(Main[[#This Row],[Tech Start Date]],19),IF(Main[[#This Row],[Class]]="B", WORKDAY(Main[[#This Row],[Tech Start Date]],12),IF(Main[[#This Row],[Class]]="A",WORKDAY(Main[[#This Row],[Tech Start Date]],4),""))))</f>
        <v/>
      </c>
      <c r="O1069" s="69" t="str">
        <f>IF(Main[[#This Row],[Tech Start Date]]&lt;1/1/1990,"",IF(Main[[#This Row],[Class]]="C",WORKDAY(Main[[#This Row],[Tech Start Date]],23),IF(Main[[#This Row],[Class]]="B", WORKDAY(Main[[#This Row],[Tech Start Date]],15),IF(Main[[#This Row],[Class]]="A",WORKDAY(Main[[#This Row],[Tech Start Date]],5),""))))</f>
        <v/>
      </c>
      <c r="P1069" s="69" t="str">
        <f>IF(Main[[#This Row],[Tech Start Date]]&lt;1/1/1990,"",IF(Main[[#This Row],[Class]]="C",WORKDAY(Main[[#This Row],[Tech Start Date]],28),IF(Main[[#This Row],[Class]]="B", WORKDAY(Main[[#This Row],[Tech Start Date]],19),IF(Main[[#This Row],[Class]]="A",WORKDAY(Main[[#This Row],[Tech Start Date]],9),""))))</f>
        <v/>
      </c>
      <c r="Q1069" s="67">
        <v>40878</v>
      </c>
      <c r="R1069" s="67"/>
      <c r="S1069" s="65" t="s">
        <v>6</v>
      </c>
      <c r="T1069" s="70" t="s">
        <v>4</v>
      </c>
      <c r="U1069" s="65" t="s">
        <v>12</v>
      </c>
      <c r="V1069" s="65" t="s">
        <v>2283</v>
      </c>
      <c r="W1069" s="65" t="s">
        <v>4</v>
      </c>
      <c r="X1069" s="65" t="s">
        <v>2836</v>
      </c>
      <c r="Y1069" s="65" t="s">
        <v>2965</v>
      </c>
      <c r="Z1069" s="65" t="s">
        <v>4</v>
      </c>
      <c r="AA1069" s="65" t="s">
        <v>2836</v>
      </c>
    </row>
    <row r="1070" spans="1:27" ht="17.45" hidden="1" customHeight="1">
      <c r="A1070" s="100" t="str">
        <f>IF(priority(Main[[#This Row],[Comments]])&lt;&gt;0, priority(Main[[#This Row],[Comments]]),"")</f>
        <v/>
      </c>
      <c r="B1070" s="77" t="s">
        <v>3337</v>
      </c>
      <c r="C1070" s="65" t="s">
        <v>3338</v>
      </c>
      <c r="D1070" s="66" t="s">
        <v>3339</v>
      </c>
      <c r="E1070" s="67"/>
      <c r="F1070" s="67"/>
      <c r="G1070" s="64" t="str">
        <f>IF(stdProdLT(Main[[#This Row],[Comments]])=0.1,"N/A",IF(stdProdLT(Main[[#This Row],[Comments]])=0,"",stdProdLT(Main[[#This Row],[Comments]])))</f>
        <v/>
      </c>
      <c r="H1070" s="68" t="str">
        <f>IF(AND(Main[[#This Row],[In Stock Date]]&lt;&gt;"",Main[[#This Row],[Revised Due Date]]&lt;&gt;""),Main[[#This Row],[In Stock Date]]-Main[[#This Row],[Revised Due Date]],"")</f>
        <v/>
      </c>
      <c r="I1070" s="65" t="s">
        <v>2208</v>
      </c>
      <c r="J1070" s="65" t="s">
        <v>75</v>
      </c>
      <c r="K1070" s="65" t="s">
        <v>1923</v>
      </c>
      <c r="L1070" s="67"/>
      <c r="M1070" s="69" t="str">
        <f>IF(Main[[#This Row],[Tech Start Date]]&lt;1/1/1990,"",IF(Main[[#This Row],[Class]]="C",WORKDAY(Main[[#This Row],[Tech Start Date]],9),IF(Main[[#This Row],[Class]]="B", WORKDAY(Main[[#This Row],[Tech Start Date]],6),IF(Main[[#This Row],[Class]]="A",WORKDAY(Main[[#This Row],[Tech Start Date]],2),""))))</f>
        <v/>
      </c>
      <c r="N1070" s="69" t="str">
        <f>IF(Main[[#This Row],[Tech Start Date]]&lt;1/1/1990,"",IF(Main[[#This Row],[Class]]="C",WORKDAY(Main[[#This Row],[Tech Start Date]],19),IF(Main[[#This Row],[Class]]="B", WORKDAY(Main[[#This Row],[Tech Start Date]],12),IF(Main[[#This Row],[Class]]="A",WORKDAY(Main[[#This Row],[Tech Start Date]],4),""))))</f>
        <v/>
      </c>
      <c r="O1070" s="69" t="str">
        <f>IF(Main[[#This Row],[Tech Start Date]]&lt;1/1/1990,"",IF(Main[[#This Row],[Class]]="C",WORKDAY(Main[[#This Row],[Tech Start Date]],23),IF(Main[[#This Row],[Class]]="B", WORKDAY(Main[[#This Row],[Tech Start Date]],15),IF(Main[[#This Row],[Class]]="A",WORKDAY(Main[[#This Row],[Tech Start Date]],5),""))))</f>
        <v/>
      </c>
      <c r="P1070" s="69" t="str">
        <f>IF(Main[[#This Row],[Tech Start Date]]&lt;1/1/1990,"",IF(Main[[#This Row],[Class]]="C",WORKDAY(Main[[#This Row],[Tech Start Date]],28),IF(Main[[#This Row],[Class]]="B", WORKDAY(Main[[#This Row],[Tech Start Date]],19),IF(Main[[#This Row],[Class]]="A",WORKDAY(Main[[#This Row],[Tech Start Date]],9),""))))</f>
        <v/>
      </c>
      <c r="Q1070" s="67"/>
      <c r="R1070" s="67"/>
      <c r="S1070" s="65" t="s">
        <v>6</v>
      </c>
      <c r="T1070" s="70" t="s">
        <v>4</v>
      </c>
      <c r="U1070" s="65" t="s">
        <v>14</v>
      </c>
      <c r="V1070" s="65" t="s">
        <v>1914</v>
      </c>
      <c r="W1070" s="65" t="s">
        <v>1918</v>
      </c>
      <c r="X1070" s="65" t="s">
        <v>2208</v>
      </c>
      <c r="Y1070" s="65" t="s">
        <v>3340</v>
      </c>
      <c r="Z1070" s="65" t="s">
        <v>306</v>
      </c>
      <c r="AA1070" s="65" t="s">
        <v>3461</v>
      </c>
    </row>
    <row r="1071" spans="1:27" ht="17.45" hidden="1" customHeight="1">
      <c r="A1071" s="100" t="str">
        <f>IF(priority(Main[[#This Row],[Comments]])&lt;&gt;0, priority(Main[[#This Row],[Comments]]),"")</f>
        <v/>
      </c>
      <c r="B1071" s="77" t="s">
        <v>2760</v>
      </c>
      <c r="C1071" s="65" t="s">
        <v>4</v>
      </c>
      <c r="D1071" s="66" t="s">
        <v>2761</v>
      </c>
      <c r="E1071" s="67">
        <v>40911.566932870373</v>
      </c>
      <c r="F1071" s="67"/>
      <c r="G1071" s="64" t="str">
        <f>IF(stdProdLT(Main[[#This Row],[Comments]])=0.1,"N/A",IF(stdProdLT(Main[[#This Row],[Comments]])=0,"",stdProdLT(Main[[#This Row],[Comments]])))</f>
        <v/>
      </c>
      <c r="H1071" s="68" t="str">
        <f>IF(AND(Main[[#This Row],[In Stock Date]]&lt;&gt;"",Main[[#This Row],[Revised Due Date]]&lt;&gt;""),Main[[#This Row],[In Stock Date]]-Main[[#This Row],[Revised Due Date]],"")</f>
        <v/>
      </c>
      <c r="I1071" s="65" t="s">
        <v>530</v>
      </c>
      <c r="J1071" s="65" t="s">
        <v>28</v>
      </c>
      <c r="K1071" s="71" t="s">
        <v>1923</v>
      </c>
      <c r="L1071" s="67"/>
      <c r="M1071" s="69" t="str">
        <f>IF(Main[[#This Row],[Tech Start Date]]&lt;1/1/1990,"",IF(Main[[#This Row],[Class]]="C",WORKDAY(Main[[#This Row],[Tech Start Date]],9),IF(Main[[#This Row],[Class]]="B", WORKDAY(Main[[#This Row],[Tech Start Date]],6),IF(Main[[#This Row],[Class]]="A",WORKDAY(Main[[#This Row],[Tech Start Date]],2),""))))</f>
        <v/>
      </c>
      <c r="N1071" s="69" t="str">
        <f>IF(Main[[#This Row],[Tech Start Date]]&lt;1/1/1990,"",IF(Main[[#This Row],[Class]]="C",WORKDAY(Main[[#This Row],[Tech Start Date]],19),IF(Main[[#This Row],[Class]]="B", WORKDAY(Main[[#This Row],[Tech Start Date]],12),IF(Main[[#This Row],[Class]]="A",WORKDAY(Main[[#This Row],[Tech Start Date]],4),""))))</f>
        <v/>
      </c>
      <c r="O1071" s="69" t="str">
        <f>IF(Main[[#This Row],[Tech Start Date]]&lt;1/1/1990,"",IF(Main[[#This Row],[Class]]="C",WORKDAY(Main[[#This Row],[Tech Start Date]],23),IF(Main[[#This Row],[Class]]="B", WORKDAY(Main[[#This Row],[Tech Start Date]],15),IF(Main[[#This Row],[Class]]="A",WORKDAY(Main[[#This Row],[Tech Start Date]],5),""))))</f>
        <v/>
      </c>
      <c r="P1071" s="69" t="str">
        <f>IF(Main[[#This Row],[Tech Start Date]]&lt;1/1/1990,"",IF(Main[[#This Row],[Class]]="C",WORKDAY(Main[[#This Row],[Tech Start Date]],28),IF(Main[[#This Row],[Class]]="B", WORKDAY(Main[[#This Row],[Tech Start Date]],19),IF(Main[[#This Row],[Class]]="A",WORKDAY(Main[[#This Row],[Tech Start Date]],9),""))))</f>
        <v/>
      </c>
      <c r="Q1071" s="67">
        <v>40963</v>
      </c>
      <c r="R1071" s="67"/>
      <c r="S1071" s="65" t="s">
        <v>6</v>
      </c>
      <c r="T1071" s="70" t="s">
        <v>4</v>
      </c>
      <c r="U1071" s="65" t="s">
        <v>29</v>
      </c>
      <c r="V1071" s="65" t="s">
        <v>1917</v>
      </c>
      <c r="W1071" s="65" t="s">
        <v>1918</v>
      </c>
      <c r="X1071" s="65" t="s">
        <v>765</v>
      </c>
      <c r="Y1071" s="65" t="s">
        <v>2935</v>
      </c>
      <c r="Z1071" s="65" t="s">
        <v>30</v>
      </c>
      <c r="AA1071" s="65" t="s">
        <v>765</v>
      </c>
    </row>
    <row r="1072" spans="1:27" ht="17.45" hidden="1" customHeight="1">
      <c r="A1072" s="100" t="str">
        <f>IF(priority(Main[[#This Row],[Comments]])&lt;&gt;0, priority(Main[[#This Row],[Comments]]),"")</f>
        <v/>
      </c>
      <c r="B1072" s="77" t="s">
        <v>3499</v>
      </c>
      <c r="C1072" s="65" t="s">
        <v>47</v>
      </c>
      <c r="D1072" s="66" t="s">
        <v>3501</v>
      </c>
      <c r="E1072" s="67">
        <v>40941.662106481483</v>
      </c>
      <c r="F1072" s="67"/>
      <c r="G1072" s="64" t="str">
        <f>IF(stdProdLT(Main[[#This Row],[Comments]])=0.1,"N/A",IF(stdProdLT(Main[[#This Row],[Comments]])=0,"",stdProdLT(Main[[#This Row],[Comments]])))</f>
        <v/>
      </c>
      <c r="H1072" s="68" t="str">
        <f>IF(AND(Main[[#This Row],[In Stock Date]]&lt;&gt;"",Main[[#This Row],[Revised Due Date]]&lt;&gt;""),Main[[#This Row],[In Stock Date]]-Main[[#This Row],[Revised Due Date]],"")</f>
        <v/>
      </c>
      <c r="I1072" s="65" t="s">
        <v>4</v>
      </c>
      <c r="J1072" s="65" t="s">
        <v>4</v>
      </c>
      <c r="K1072" s="65" t="s">
        <v>4</v>
      </c>
      <c r="L1072" s="67"/>
      <c r="M1072" s="69" t="str">
        <f>IF(Main[[#This Row],[Tech Start Date]]&lt;1/1/1990,"",IF(Main[[#This Row],[Class]]="C",WORKDAY(Main[[#This Row],[Tech Start Date]],9),IF(Main[[#This Row],[Class]]="B", WORKDAY(Main[[#This Row],[Tech Start Date]],6),IF(Main[[#This Row],[Class]]="A",WORKDAY(Main[[#This Row],[Tech Start Date]],2),""))))</f>
        <v/>
      </c>
      <c r="N1072" s="69" t="str">
        <f>IF(Main[[#This Row],[Tech Start Date]]&lt;1/1/1990,"",IF(Main[[#This Row],[Class]]="C",WORKDAY(Main[[#This Row],[Tech Start Date]],19),IF(Main[[#This Row],[Class]]="B", WORKDAY(Main[[#This Row],[Tech Start Date]],12),IF(Main[[#This Row],[Class]]="A",WORKDAY(Main[[#This Row],[Tech Start Date]],4),""))))</f>
        <v/>
      </c>
      <c r="O1072" s="69" t="str">
        <f>IF(Main[[#This Row],[Tech Start Date]]&lt;1/1/1990,"",IF(Main[[#This Row],[Class]]="C",WORKDAY(Main[[#This Row],[Tech Start Date]],23),IF(Main[[#This Row],[Class]]="B", WORKDAY(Main[[#This Row],[Tech Start Date]],15),IF(Main[[#This Row],[Class]]="A",WORKDAY(Main[[#This Row],[Tech Start Date]],5),""))))</f>
        <v/>
      </c>
      <c r="P1072" s="69" t="str">
        <f>IF(Main[[#This Row],[Tech Start Date]]&lt;1/1/1990,"",IF(Main[[#This Row],[Class]]="C",WORKDAY(Main[[#This Row],[Tech Start Date]],28),IF(Main[[#This Row],[Class]]="B", WORKDAY(Main[[#This Row],[Tech Start Date]],19),IF(Main[[#This Row],[Class]]="A",WORKDAY(Main[[#This Row],[Tech Start Date]],9),""))))</f>
        <v/>
      </c>
      <c r="Q1072" s="67">
        <v>40968</v>
      </c>
      <c r="R1072" s="67"/>
      <c r="S1072" s="65" t="s">
        <v>6</v>
      </c>
      <c r="T1072" s="70" t="s">
        <v>4</v>
      </c>
      <c r="U1072" s="65" t="s">
        <v>29</v>
      </c>
      <c r="V1072" s="65" t="s">
        <v>2283</v>
      </c>
      <c r="W1072" s="65" t="s">
        <v>4</v>
      </c>
      <c r="X1072" s="65" t="s">
        <v>2865</v>
      </c>
      <c r="Y1072" s="65" t="s">
        <v>3010</v>
      </c>
      <c r="Z1072" s="65" t="s">
        <v>4</v>
      </c>
      <c r="AA1072" s="65" t="s">
        <v>2865</v>
      </c>
    </row>
    <row r="1073" spans="1:27" ht="17.45" hidden="1" customHeight="1">
      <c r="A1073" s="100" t="str">
        <f>IF(priority(Main[[#This Row],[Comments]])&lt;&gt;0, priority(Main[[#This Row],[Comments]]),"")</f>
        <v/>
      </c>
      <c r="B1073" s="77" t="s">
        <v>3294</v>
      </c>
      <c r="C1073" s="65" t="s">
        <v>4</v>
      </c>
      <c r="D1073" s="66" t="s">
        <v>3663</v>
      </c>
      <c r="E1073" s="67">
        <v>40932.426516203705</v>
      </c>
      <c r="F1073" s="67"/>
      <c r="G1073" s="64" t="str">
        <f>IF(stdProdLT(Main[[#This Row],[Comments]])=0.1,"N/A",IF(stdProdLT(Main[[#This Row],[Comments]])=0,"",stdProdLT(Main[[#This Row],[Comments]])))</f>
        <v/>
      </c>
      <c r="H1073" s="68" t="str">
        <f>IF(AND(Main[[#This Row],[In Stock Date]]&lt;&gt;"",Main[[#This Row],[Revised Due Date]]&lt;&gt;""),Main[[#This Row],[In Stock Date]]-Main[[#This Row],[Revised Due Date]],"")</f>
        <v/>
      </c>
      <c r="I1073" s="65" t="s">
        <v>530</v>
      </c>
      <c r="J1073" s="65" t="s">
        <v>28</v>
      </c>
      <c r="K1073" s="71" t="s">
        <v>1923</v>
      </c>
      <c r="L1073" s="67"/>
      <c r="M1073" s="69" t="str">
        <f>IF(Main[[#This Row],[Tech Start Date]]&lt;1/1/1990,"",IF(Main[[#This Row],[Class]]="C",WORKDAY(Main[[#This Row],[Tech Start Date]],9),IF(Main[[#This Row],[Class]]="B", WORKDAY(Main[[#This Row],[Tech Start Date]],6),IF(Main[[#This Row],[Class]]="A",WORKDAY(Main[[#This Row],[Tech Start Date]],2),""))))</f>
        <v/>
      </c>
      <c r="N1073" s="69" t="str">
        <f>IF(Main[[#This Row],[Tech Start Date]]&lt;1/1/1990,"",IF(Main[[#This Row],[Class]]="C",WORKDAY(Main[[#This Row],[Tech Start Date]],19),IF(Main[[#This Row],[Class]]="B", WORKDAY(Main[[#This Row],[Tech Start Date]],12),IF(Main[[#This Row],[Class]]="A",WORKDAY(Main[[#This Row],[Tech Start Date]],4),""))))</f>
        <v/>
      </c>
      <c r="O1073" s="69" t="str">
        <f>IF(Main[[#This Row],[Tech Start Date]]&lt;1/1/1990,"",IF(Main[[#This Row],[Class]]="C",WORKDAY(Main[[#This Row],[Tech Start Date]],23),IF(Main[[#This Row],[Class]]="B", WORKDAY(Main[[#This Row],[Tech Start Date]],15),IF(Main[[#This Row],[Class]]="A",WORKDAY(Main[[#This Row],[Tech Start Date]],5),""))))</f>
        <v/>
      </c>
      <c r="P1073" s="69" t="str">
        <f>IF(Main[[#This Row],[Tech Start Date]]&lt;1/1/1990,"",IF(Main[[#This Row],[Class]]="C",WORKDAY(Main[[#This Row],[Tech Start Date]],28),IF(Main[[#This Row],[Class]]="B", WORKDAY(Main[[#This Row],[Tech Start Date]],19),IF(Main[[#This Row],[Class]]="A",WORKDAY(Main[[#This Row],[Tech Start Date]],9),""))))</f>
        <v/>
      </c>
      <c r="Q1073" s="67">
        <v>41019</v>
      </c>
      <c r="R1073" s="67"/>
      <c r="S1073" s="65" t="s">
        <v>6</v>
      </c>
      <c r="T1073" s="70" t="s">
        <v>4</v>
      </c>
      <c r="U1073" s="65" t="s">
        <v>29</v>
      </c>
      <c r="V1073" s="65" t="s">
        <v>1917</v>
      </c>
      <c r="W1073" s="65" t="s">
        <v>1918</v>
      </c>
      <c r="X1073" s="65" t="s">
        <v>2866</v>
      </c>
      <c r="Y1073" s="65" t="s">
        <v>3000</v>
      </c>
      <c r="Z1073" s="65" t="s">
        <v>30</v>
      </c>
      <c r="AA1073" s="65" t="s">
        <v>2866</v>
      </c>
    </row>
    <row r="1074" spans="1:27" ht="17.45" hidden="1" customHeight="1">
      <c r="A1074" s="100" t="str">
        <f>IF(priority(Main[[#This Row],[Comments]])&lt;&gt;0, priority(Main[[#This Row],[Comments]]),"")</f>
        <v/>
      </c>
      <c r="B1074" s="77" t="s">
        <v>2515</v>
      </c>
      <c r="C1074" s="65" t="s">
        <v>4</v>
      </c>
      <c r="D1074" s="66" t="s">
        <v>2516</v>
      </c>
      <c r="E1074" s="67">
        <v>40840.652592592596</v>
      </c>
      <c r="F1074" s="67"/>
      <c r="G1074" s="64" t="str">
        <f>IF(stdProdLT(Main[[#This Row],[Comments]])=0.1,"N/A",IF(stdProdLT(Main[[#This Row],[Comments]])=0,"",stdProdLT(Main[[#This Row],[Comments]])))</f>
        <v/>
      </c>
      <c r="H1074" s="68" t="str">
        <f>IF(AND(Main[[#This Row],[In Stock Date]]&lt;&gt;"",Main[[#This Row],[Revised Due Date]]&lt;&gt;""),Main[[#This Row],[In Stock Date]]-Main[[#This Row],[Revised Due Date]],"")</f>
        <v/>
      </c>
      <c r="I1074" s="65" t="s">
        <v>4</v>
      </c>
      <c r="J1074" s="65" t="s">
        <v>4</v>
      </c>
      <c r="K1074" s="71" t="s">
        <v>4</v>
      </c>
      <c r="L1074" s="67"/>
      <c r="M1074" s="69" t="str">
        <f>IF(Main[[#This Row],[Tech Start Date]]&lt;1/1/1990,"",IF(Main[[#This Row],[Class]]="C",WORKDAY(Main[[#This Row],[Tech Start Date]],9),IF(Main[[#This Row],[Class]]="B", WORKDAY(Main[[#This Row],[Tech Start Date]],6),IF(Main[[#This Row],[Class]]="A",WORKDAY(Main[[#This Row],[Tech Start Date]],2),""))))</f>
        <v/>
      </c>
      <c r="N1074" s="69" t="str">
        <f>IF(Main[[#This Row],[Tech Start Date]]&lt;1/1/1990,"",IF(Main[[#This Row],[Class]]="C",WORKDAY(Main[[#This Row],[Tech Start Date]],19),IF(Main[[#This Row],[Class]]="B", WORKDAY(Main[[#This Row],[Tech Start Date]],12),IF(Main[[#This Row],[Class]]="A",WORKDAY(Main[[#This Row],[Tech Start Date]],4),""))))</f>
        <v/>
      </c>
      <c r="O1074" s="69" t="str">
        <f>IF(Main[[#This Row],[Tech Start Date]]&lt;1/1/1990,"",IF(Main[[#This Row],[Class]]="C",WORKDAY(Main[[#This Row],[Tech Start Date]],23),IF(Main[[#This Row],[Class]]="B", WORKDAY(Main[[#This Row],[Tech Start Date]],15),IF(Main[[#This Row],[Class]]="A",WORKDAY(Main[[#This Row],[Tech Start Date]],5),""))))</f>
        <v/>
      </c>
      <c r="P1074" s="69" t="str">
        <f>IF(Main[[#This Row],[Tech Start Date]]&lt;1/1/1990,"",IF(Main[[#This Row],[Class]]="C",WORKDAY(Main[[#This Row],[Tech Start Date]],28),IF(Main[[#This Row],[Class]]="B", WORKDAY(Main[[#This Row],[Tech Start Date]],19),IF(Main[[#This Row],[Class]]="A",WORKDAY(Main[[#This Row],[Tech Start Date]],9),""))))</f>
        <v/>
      </c>
      <c r="Q1074" s="67"/>
      <c r="R1074" s="67"/>
      <c r="S1074" s="65" t="s">
        <v>6</v>
      </c>
      <c r="T1074" s="70" t="s">
        <v>4</v>
      </c>
      <c r="U1074" s="65" t="s">
        <v>29</v>
      </c>
      <c r="V1074" s="65" t="s">
        <v>1914</v>
      </c>
      <c r="W1074" s="65" t="s">
        <v>4</v>
      </c>
      <c r="X1074" s="65" t="s">
        <v>937</v>
      </c>
      <c r="Y1074" s="65" t="s">
        <v>2984</v>
      </c>
      <c r="Z1074" s="65" t="s">
        <v>4</v>
      </c>
      <c r="AA1074" s="65" t="s">
        <v>937</v>
      </c>
    </row>
    <row r="1075" spans="1:27" ht="17.45" hidden="1" customHeight="1">
      <c r="A1075" s="100" t="str">
        <f>IF(priority(Main[[#This Row],[Comments]])&lt;&gt;0, priority(Main[[#This Row],[Comments]]),"")</f>
        <v/>
      </c>
      <c r="B1075" s="77" t="s">
        <v>3953</v>
      </c>
      <c r="C1075" s="65" t="s">
        <v>31</v>
      </c>
      <c r="D1075" s="66" t="s">
        <v>3954</v>
      </c>
      <c r="E1075" s="67">
        <v>40968.135138888887</v>
      </c>
      <c r="F1075" s="67">
        <v>41000</v>
      </c>
      <c r="G1075" s="64" t="str">
        <f>IF(stdProdLT(Main[[#This Row],[Comments]])=0.1,"N/A",IF(stdProdLT(Main[[#This Row],[Comments]])=0,"",stdProdLT(Main[[#This Row],[Comments]])))</f>
        <v/>
      </c>
      <c r="H1075" s="68" t="str">
        <f>IF(AND(Main[[#This Row],[In Stock Date]]&lt;&gt;"",Main[[#This Row],[Revised Due Date]]&lt;&gt;""),Main[[#This Row],[In Stock Date]]-Main[[#This Row],[Revised Due Date]],"")</f>
        <v/>
      </c>
      <c r="I1075" s="65" t="s">
        <v>4</v>
      </c>
      <c r="J1075" s="65" t="s">
        <v>4</v>
      </c>
      <c r="K1075" s="65" t="s">
        <v>4</v>
      </c>
      <c r="L1075" s="67"/>
      <c r="M1075" s="69" t="str">
        <f>IF(Main[[#This Row],[Tech Start Date]]&lt;1/1/1990,"",IF(Main[[#This Row],[Class]]="C",WORKDAY(Main[[#This Row],[Tech Start Date]],9),IF(Main[[#This Row],[Class]]="B", WORKDAY(Main[[#This Row],[Tech Start Date]],6),IF(Main[[#This Row],[Class]]="A",WORKDAY(Main[[#This Row],[Tech Start Date]],2),""))))</f>
        <v/>
      </c>
      <c r="N1075" s="69" t="str">
        <f>IF(Main[[#This Row],[Tech Start Date]]&lt;1/1/1990,"",IF(Main[[#This Row],[Class]]="C",WORKDAY(Main[[#This Row],[Tech Start Date]],19),IF(Main[[#This Row],[Class]]="B", WORKDAY(Main[[#This Row],[Tech Start Date]],12),IF(Main[[#This Row],[Class]]="A",WORKDAY(Main[[#This Row],[Tech Start Date]],4),""))))</f>
        <v/>
      </c>
      <c r="O1075" s="69" t="str">
        <f>IF(Main[[#This Row],[Tech Start Date]]&lt;1/1/1990,"",IF(Main[[#This Row],[Class]]="C",WORKDAY(Main[[#This Row],[Tech Start Date]],23),IF(Main[[#This Row],[Class]]="B", WORKDAY(Main[[#This Row],[Tech Start Date]],15),IF(Main[[#This Row],[Class]]="A",WORKDAY(Main[[#This Row],[Tech Start Date]],5),""))))</f>
        <v/>
      </c>
      <c r="P1075" s="69" t="str">
        <f>IF(Main[[#This Row],[Tech Start Date]]&lt;1/1/1990,"",IF(Main[[#This Row],[Class]]="C",WORKDAY(Main[[#This Row],[Tech Start Date]],28),IF(Main[[#This Row],[Class]]="B", WORKDAY(Main[[#This Row],[Tech Start Date]],19),IF(Main[[#This Row],[Class]]="A",WORKDAY(Main[[#This Row],[Tech Start Date]],9),""))))</f>
        <v/>
      </c>
      <c r="Q1075" s="67">
        <v>41000</v>
      </c>
      <c r="R1075" s="67"/>
      <c r="S1075" s="65" t="s">
        <v>11</v>
      </c>
      <c r="T1075" s="70" t="s">
        <v>4</v>
      </c>
      <c r="U1075" s="65" t="s">
        <v>7</v>
      </c>
      <c r="V1075" s="65" t="s">
        <v>1924</v>
      </c>
      <c r="W1075" s="65" t="s">
        <v>1925</v>
      </c>
      <c r="X1075" s="65" t="s">
        <v>3955</v>
      </c>
      <c r="Y1075" s="65" t="s">
        <v>3956</v>
      </c>
      <c r="Z1075" s="65" t="s">
        <v>4</v>
      </c>
      <c r="AA1075" s="65" t="s">
        <v>3955</v>
      </c>
    </row>
    <row r="1076" spans="1:27" ht="17.45" hidden="1" customHeight="1">
      <c r="A1076" s="100" t="str">
        <f>IF(priority(Main[[#This Row],[Comments]])&lt;&gt;0, priority(Main[[#This Row],[Comments]]),"")</f>
        <v/>
      </c>
      <c r="B1076" s="77" t="s">
        <v>2315</v>
      </c>
      <c r="C1076" s="65" t="s">
        <v>4</v>
      </c>
      <c r="D1076" s="66" t="s">
        <v>2316</v>
      </c>
      <c r="E1076" s="67">
        <v>40819.669872685183</v>
      </c>
      <c r="F1076" s="67"/>
      <c r="G1076" s="64" t="str">
        <f>IF(stdProdLT(Main[[#This Row],[Comments]])=0.1,"N/A",IF(stdProdLT(Main[[#This Row],[Comments]])=0,"",stdProdLT(Main[[#This Row],[Comments]])))</f>
        <v/>
      </c>
      <c r="H1076" s="68" t="str">
        <f>IF(AND(Main[[#This Row],[In Stock Date]]&lt;&gt;"",Main[[#This Row],[Revised Due Date]]&lt;&gt;""),Main[[#This Row],[In Stock Date]]-Main[[#This Row],[Revised Due Date]],"")</f>
        <v/>
      </c>
      <c r="I1076" s="65" t="s">
        <v>239</v>
      </c>
      <c r="J1076" s="65" t="s">
        <v>28</v>
      </c>
      <c r="K1076" s="65" t="s">
        <v>1923</v>
      </c>
      <c r="L1076" s="67"/>
      <c r="M1076" s="69" t="str">
        <f>IF(Main[[#This Row],[Tech Start Date]]&lt;1/1/1990,"",IF(Main[[#This Row],[Class]]="C",WORKDAY(Main[[#This Row],[Tech Start Date]],9),IF(Main[[#This Row],[Class]]="B", WORKDAY(Main[[#This Row],[Tech Start Date]],6),IF(Main[[#This Row],[Class]]="A",WORKDAY(Main[[#This Row],[Tech Start Date]],2),""))))</f>
        <v/>
      </c>
      <c r="N1076" s="69" t="str">
        <f>IF(Main[[#This Row],[Tech Start Date]]&lt;1/1/1990,"",IF(Main[[#This Row],[Class]]="C",WORKDAY(Main[[#This Row],[Tech Start Date]],19),IF(Main[[#This Row],[Class]]="B", WORKDAY(Main[[#This Row],[Tech Start Date]],12),IF(Main[[#This Row],[Class]]="A",WORKDAY(Main[[#This Row],[Tech Start Date]],4),""))))</f>
        <v/>
      </c>
      <c r="O1076" s="69" t="str">
        <f>IF(Main[[#This Row],[Tech Start Date]]&lt;1/1/1990,"",IF(Main[[#This Row],[Class]]="C",WORKDAY(Main[[#This Row],[Tech Start Date]],23),IF(Main[[#This Row],[Class]]="B", WORKDAY(Main[[#This Row],[Tech Start Date]],15),IF(Main[[#This Row],[Class]]="A",WORKDAY(Main[[#This Row],[Tech Start Date]],5),""))))</f>
        <v/>
      </c>
      <c r="P1076" s="69" t="str">
        <f>IF(Main[[#This Row],[Tech Start Date]]&lt;1/1/1990,"",IF(Main[[#This Row],[Class]]="C",WORKDAY(Main[[#This Row],[Tech Start Date]],28),IF(Main[[#This Row],[Class]]="B", WORKDAY(Main[[#This Row],[Tech Start Date]],19),IF(Main[[#This Row],[Class]]="A",WORKDAY(Main[[#This Row],[Tech Start Date]],9),""))))</f>
        <v/>
      </c>
      <c r="Q1076" s="67">
        <v>40847</v>
      </c>
      <c r="R1076" s="67"/>
      <c r="S1076" s="65" t="s">
        <v>6</v>
      </c>
      <c r="T1076" s="70" t="s">
        <v>4</v>
      </c>
      <c r="U1076" s="65" t="s">
        <v>29</v>
      </c>
      <c r="V1076" s="65" t="s">
        <v>1917</v>
      </c>
      <c r="W1076" s="65" t="s">
        <v>1918</v>
      </c>
      <c r="X1076" s="65" t="s">
        <v>30</v>
      </c>
      <c r="Y1076" s="65" t="s">
        <v>2940</v>
      </c>
      <c r="Z1076" s="65" t="s">
        <v>30</v>
      </c>
      <c r="AA1076" s="65" t="s">
        <v>30</v>
      </c>
    </row>
    <row r="1077" spans="1:27" ht="17.45" hidden="1" customHeight="1">
      <c r="A1077" s="100" t="str">
        <f>IF(priority(Main[[#This Row],[Comments]])&lt;&gt;0, priority(Main[[#This Row],[Comments]]),"")</f>
        <v/>
      </c>
      <c r="B1077" s="77" t="s">
        <v>2518</v>
      </c>
      <c r="C1077" s="65" t="s">
        <v>2509</v>
      </c>
      <c r="D1077" s="66" t="s">
        <v>2519</v>
      </c>
      <c r="E1077" s="67"/>
      <c r="F1077" s="67"/>
      <c r="G1077" s="64" t="str">
        <f>IF(stdProdLT(Main[[#This Row],[Comments]])=0.1,"N/A",IF(stdProdLT(Main[[#This Row],[Comments]])=0,"",stdProdLT(Main[[#This Row],[Comments]])))</f>
        <v/>
      </c>
      <c r="H1077" s="68" t="str">
        <f>IF(AND(Main[[#This Row],[In Stock Date]]&lt;&gt;"",Main[[#This Row],[Revised Due Date]]&lt;&gt;""),Main[[#This Row],[In Stock Date]]-Main[[#This Row],[Revised Due Date]],"")</f>
        <v/>
      </c>
      <c r="I1077" s="65" t="s">
        <v>4</v>
      </c>
      <c r="J1077" s="65" t="s">
        <v>4</v>
      </c>
      <c r="K1077" s="65" t="s">
        <v>4</v>
      </c>
      <c r="L1077" s="67"/>
      <c r="M1077" s="69" t="str">
        <f>IF(Main[[#This Row],[Tech Start Date]]&lt;1/1/1990,"",IF(Main[[#This Row],[Class]]="C",WORKDAY(Main[[#This Row],[Tech Start Date]],9),IF(Main[[#This Row],[Class]]="B", WORKDAY(Main[[#This Row],[Tech Start Date]],6),IF(Main[[#This Row],[Class]]="A",WORKDAY(Main[[#This Row],[Tech Start Date]],2),""))))</f>
        <v/>
      </c>
      <c r="N1077" s="69" t="str">
        <f>IF(Main[[#This Row],[Tech Start Date]]&lt;1/1/1990,"",IF(Main[[#This Row],[Class]]="C",WORKDAY(Main[[#This Row],[Tech Start Date]],19),IF(Main[[#This Row],[Class]]="B", WORKDAY(Main[[#This Row],[Tech Start Date]],12),IF(Main[[#This Row],[Class]]="A",WORKDAY(Main[[#This Row],[Tech Start Date]],4),""))))</f>
        <v/>
      </c>
      <c r="O1077" s="69" t="str">
        <f>IF(Main[[#This Row],[Tech Start Date]]&lt;1/1/1990,"",IF(Main[[#This Row],[Class]]="C",WORKDAY(Main[[#This Row],[Tech Start Date]],23),IF(Main[[#This Row],[Class]]="B", WORKDAY(Main[[#This Row],[Tech Start Date]],15),IF(Main[[#This Row],[Class]]="A",WORKDAY(Main[[#This Row],[Tech Start Date]],5),""))))</f>
        <v/>
      </c>
      <c r="P1077" s="69" t="str">
        <f>IF(Main[[#This Row],[Tech Start Date]]&lt;1/1/1990,"",IF(Main[[#This Row],[Class]]="C",WORKDAY(Main[[#This Row],[Tech Start Date]],28),IF(Main[[#This Row],[Class]]="B", WORKDAY(Main[[#This Row],[Tech Start Date]],19),IF(Main[[#This Row],[Class]]="A",WORKDAY(Main[[#This Row],[Tech Start Date]],9),""))))</f>
        <v/>
      </c>
      <c r="Q1077" s="67"/>
      <c r="R1077" s="67"/>
      <c r="S1077" s="65" t="s">
        <v>11</v>
      </c>
      <c r="T1077" s="70" t="s">
        <v>4</v>
      </c>
      <c r="U1077" s="65" t="s">
        <v>14</v>
      </c>
      <c r="V1077" s="65" t="s">
        <v>1915</v>
      </c>
      <c r="W1077" s="65" t="s">
        <v>1922</v>
      </c>
      <c r="X1077" s="65" t="s">
        <v>306</v>
      </c>
      <c r="Y1077" s="65" t="s">
        <v>4</v>
      </c>
      <c r="Z1077" s="65" t="s">
        <v>4</v>
      </c>
      <c r="AA1077" s="65" t="s">
        <v>3460</v>
      </c>
    </row>
    <row r="1078" spans="1:27" ht="17.45" hidden="1" customHeight="1">
      <c r="A1078" s="100" t="str">
        <f>IF(priority(Main[[#This Row],[Comments]])&lt;&gt;0, priority(Main[[#This Row],[Comments]]),"")</f>
        <v/>
      </c>
      <c r="B1078" s="77" t="s">
        <v>2520</v>
      </c>
      <c r="C1078" s="65" t="s">
        <v>2327</v>
      </c>
      <c r="D1078" s="66" t="s">
        <v>2521</v>
      </c>
      <c r="E1078" s="67">
        <v>40843.623680555553</v>
      </c>
      <c r="F1078" s="67"/>
      <c r="G1078" s="64" t="str">
        <f>IF(stdProdLT(Main[[#This Row],[Comments]])=0.1,"N/A",IF(stdProdLT(Main[[#This Row],[Comments]])=0,"",stdProdLT(Main[[#This Row],[Comments]])))</f>
        <v/>
      </c>
      <c r="H1078" s="68" t="str">
        <f>IF(AND(Main[[#This Row],[In Stock Date]]&lt;&gt;"",Main[[#This Row],[Revised Due Date]]&lt;&gt;""),Main[[#This Row],[In Stock Date]]-Main[[#This Row],[Revised Due Date]],"")</f>
        <v/>
      </c>
      <c r="I1078" s="65" t="s">
        <v>4</v>
      </c>
      <c r="J1078" s="65" t="s">
        <v>4</v>
      </c>
      <c r="K1078" s="65" t="s">
        <v>4</v>
      </c>
      <c r="L1078" s="67"/>
      <c r="M1078" s="69" t="str">
        <f>IF(Main[[#This Row],[Tech Start Date]]&lt;1/1/1990,"",IF(Main[[#This Row],[Class]]="C",WORKDAY(Main[[#This Row],[Tech Start Date]],9),IF(Main[[#This Row],[Class]]="B", WORKDAY(Main[[#This Row],[Tech Start Date]],6),IF(Main[[#This Row],[Class]]="A",WORKDAY(Main[[#This Row],[Tech Start Date]],2),""))))</f>
        <v/>
      </c>
      <c r="N1078" s="69" t="str">
        <f>IF(Main[[#This Row],[Tech Start Date]]&lt;1/1/1990,"",IF(Main[[#This Row],[Class]]="C",WORKDAY(Main[[#This Row],[Tech Start Date]],19),IF(Main[[#This Row],[Class]]="B", WORKDAY(Main[[#This Row],[Tech Start Date]],12),IF(Main[[#This Row],[Class]]="A",WORKDAY(Main[[#This Row],[Tech Start Date]],4),""))))</f>
        <v/>
      </c>
      <c r="O1078" s="69" t="str">
        <f>IF(Main[[#This Row],[Tech Start Date]]&lt;1/1/1990,"",IF(Main[[#This Row],[Class]]="C",WORKDAY(Main[[#This Row],[Tech Start Date]],23),IF(Main[[#This Row],[Class]]="B", WORKDAY(Main[[#This Row],[Tech Start Date]],15),IF(Main[[#This Row],[Class]]="A",WORKDAY(Main[[#This Row],[Tech Start Date]],5),""))))</f>
        <v/>
      </c>
      <c r="P1078" s="69" t="str">
        <f>IF(Main[[#This Row],[Tech Start Date]]&lt;1/1/1990,"",IF(Main[[#This Row],[Class]]="C",WORKDAY(Main[[#This Row],[Tech Start Date]],28),IF(Main[[#This Row],[Class]]="B", WORKDAY(Main[[#This Row],[Tech Start Date]],19),IF(Main[[#This Row],[Class]]="A",WORKDAY(Main[[#This Row],[Tech Start Date]],9),""))))</f>
        <v/>
      </c>
      <c r="Q1078" s="67"/>
      <c r="R1078" s="67"/>
      <c r="S1078" s="65" t="s">
        <v>6</v>
      </c>
      <c r="T1078" s="70" t="s">
        <v>4</v>
      </c>
      <c r="U1078" s="65" t="s">
        <v>7</v>
      </c>
      <c r="V1078" s="65" t="s">
        <v>1914</v>
      </c>
      <c r="W1078" s="65" t="s">
        <v>1918</v>
      </c>
      <c r="X1078" s="65" t="s">
        <v>2879</v>
      </c>
      <c r="Y1078" s="65" t="s">
        <v>3027</v>
      </c>
      <c r="Z1078" s="65" t="s">
        <v>4</v>
      </c>
      <c r="AA1078" s="65" t="s">
        <v>2879</v>
      </c>
    </row>
    <row r="1079" spans="1:27" ht="17.45" hidden="1" customHeight="1">
      <c r="A1079" s="100" t="str">
        <f>IF(priority(Main[[#This Row],[Comments]])&lt;&gt;0, priority(Main[[#This Row],[Comments]]),"")</f>
        <v/>
      </c>
      <c r="B1079" s="77" t="s">
        <v>2739</v>
      </c>
      <c r="C1079" s="65" t="s">
        <v>4</v>
      </c>
      <c r="D1079" s="66" t="s">
        <v>3236</v>
      </c>
      <c r="E1079" s="67"/>
      <c r="F1079" s="67"/>
      <c r="G1079" s="64" t="str">
        <f>IF(stdProdLT(Main[[#This Row],[Comments]])=0.1,"N/A",IF(stdProdLT(Main[[#This Row],[Comments]])=0,"",stdProdLT(Main[[#This Row],[Comments]])))</f>
        <v/>
      </c>
      <c r="H1079" s="68" t="str">
        <f>IF(AND(Main[[#This Row],[In Stock Date]]&lt;&gt;"",Main[[#This Row],[Revised Due Date]]&lt;&gt;""),Main[[#This Row],[In Stock Date]]-Main[[#This Row],[Revised Due Date]],"")</f>
        <v/>
      </c>
      <c r="I1079" s="65" t="s">
        <v>2208</v>
      </c>
      <c r="J1079" s="65" t="s">
        <v>75</v>
      </c>
      <c r="K1079" s="71" t="s">
        <v>1923</v>
      </c>
      <c r="L1079" s="67"/>
      <c r="M1079" s="69" t="str">
        <f>IF(Main[[#This Row],[Tech Start Date]]&lt;1/1/1990,"",IF(Main[[#This Row],[Class]]="C",WORKDAY(Main[[#This Row],[Tech Start Date]],9),IF(Main[[#This Row],[Class]]="B", WORKDAY(Main[[#This Row],[Tech Start Date]],6),IF(Main[[#This Row],[Class]]="A",WORKDAY(Main[[#This Row],[Tech Start Date]],2),""))))</f>
        <v/>
      </c>
      <c r="N1079" s="69" t="str">
        <f>IF(Main[[#This Row],[Tech Start Date]]&lt;1/1/1990,"",IF(Main[[#This Row],[Class]]="C",WORKDAY(Main[[#This Row],[Tech Start Date]],19),IF(Main[[#This Row],[Class]]="B", WORKDAY(Main[[#This Row],[Tech Start Date]],12),IF(Main[[#This Row],[Class]]="A",WORKDAY(Main[[#This Row],[Tech Start Date]],4),""))))</f>
        <v/>
      </c>
      <c r="O1079" s="69" t="str">
        <f>IF(Main[[#This Row],[Tech Start Date]]&lt;1/1/1990,"",IF(Main[[#This Row],[Class]]="C",WORKDAY(Main[[#This Row],[Tech Start Date]],23),IF(Main[[#This Row],[Class]]="B", WORKDAY(Main[[#This Row],[Tech Start Date]],15),IF(Main[[#This Row],[Class]]="A",WORKDAY(Main[[#This Row],[Tech Start Date]],5),""))))</f>
        <v/>
      </c>
      <c r="P1079" s="69" t="str">
        <f>IF(Main[[#This Row],[Tech Start Date]]&lt;1/1/1990,"",IF(Main[[#This Row],[Class]]="C",WORKDAY(Main[[#This Row],[Tech Start Date]],28),IF(Main[[#This Row],[Class]]="B", WORKDAY(Main[[#This Row],[Tech Start Date]],19),IF(Main[[#This Row],[Class]]="A",WORKDAY(Main[[#This Row],[Tech Start Date]],9),""))))</f>
        <v/>
      </c>
      <c r="Q1079" s="67">
        <v>40935</v>
      </c>
      <c r="R1079" s="67"/>
      <c r="S1079" s="65" t="s">
        <v>6</v>
      </c>
      <c r="T1079" s="70" t="s">
        <v>4</v>
      </c>
      <c r="U1079" s="65" t="s">
        <v>14</v>
      </c>
      <c r="V1079" s="65" t="s">
        <v>1917</v>
      </c>
      <c r="W1079" s="65" t="s">
        <v>1918</v>
      </c>
      <c r="X1079" s="65" t="s">
        <v>2819</v>
      </c>
      <c r="Y1079" s="65" t="s">
        <v>2932</v>
      </c>
      <c r="Z1079" s="65" t="s">
        <v>30</v>
      </c>
      <c r="AA1079" s="65" t="s">
        <v>2819</v>
      </c>
    </row>
    <row r="1080" spans="1:27" ht="17.45" hidden="1" customHeight="1">
      <c r="A1080" s="100" t="str">
        <f>IF(priority(Main[[#This Row],[Comments]])&lt;&gt;0, priority(Main[[#This Row],[Comments]]),"")</f>
        <v/>
      </c>
      <c r="B1080" s="77" t="s">
        <v>1870</v>
      </c>
      <c r="C1080" s="65" t="s">
        <v>4</v>
      </c>
      <c r="D1080" s="66" t="s">
        <v>3659</v>
      </c>
      <c r="E1080" s="67">
        <v>40352.443437499998</v>
      </c>
      <c r="F1080" s="67"/>
      <c r="G1080" s="64" t="str">
        <f>IF(stdProdLT(Main[[#This Row],[Comments]])=0.1,"N/A",IF(stdProdLT(Main[[#This Row],[Comments]])=0,"",stdProdLT(Main[[#This Row],[Comments]])))</f>
        <v/>
      </c>
      <c r="H1080" s="68" t="str">
        <f>IF(AND(Main[[#This Row],[In Stock Date]]&lt;&gt;"",Main[[#This Row],[Revised Due Date]]&lt;&gt;""),Main[[#This Row],[In Stock Date]]-Main[[#This Row],[Revised Due Date]],"")</f>
        <v/>
      </c>
      <c r="I1080" s="65" t="s">
        <v>2626</v>
      </c>
      <c r="J1080" s="65" t="s">
        <v>28</v>
      </c>
      <c r="K1080" s="65" t="s">
        <v>1926</v>
      </c>
      <c r="L1080" s="67"/>
      <c r="M1080" s="69" t="str">
        <f>IF(Main[[#This Row],[Tech Start Date]]&lt;1/1/1990,"",IF(Main[[#This Row],[Class]]="C",WORKDAY(Main[[#This Row],[Tech Start Date]],9),IF(Main[[#This Row],[Class]]="B", WORKDAY(Main[[#This Row],[Tech Start Date]],6),IF(Main[[#This Row],[Class]]="A",WORKDAY(Main[[#This Row],[Tech Start Date]],2),""))))</f>
        <v/>
      </c>
      <c r="N1080" s="69" t="str">
        <f>IF(Main[[#This Row],[Tech Start Date]]&lt;1/1/1990,"",IF(Main[[#This Row],[Class]]="C",WORKDAY(Main[[#This Row],[Tech Start Date]],19),IF(Main[[#This Row],[Class]]="B", WORKDAY(Main[[#This Row],[Tech Start Date]],12),IF(Main[[#This Row],[Class]]="A",WORKDAY(Main[[#This Row],[Tech Start Date]],4),""))))</f>
        <v/>
      </c>
      <c r="O1080" s="69" t="str">
        <f>IF(Main[[#This Row],[Tech Start Date]]&lt;1/1/1990,"",IF(Main[[#This Row],[Class]]="C",WORKDAY(Main[[#This Row],[Tech Start Date]],23),IF(Main[[#This Row],[Class]]="B", WORKDAY(Main[[#This Row],[Tech Start Date]],15),IF(Main[[#This Row],[Class]]="A",WORKDAY(Main[[#This Row],[Tech Start Date]],5),""))))</f>
        <v/>
      </c>
      <c r="P1080" s="69" t="str">
        <f>IF(Main[[#This Row],[Tech Start Date]]&lt;1/1/1990,"",IF(Main[[#This Row],[Class]]="C",WORKDAY(Main[[#This Row],[Tech Start Date]],28),IF(Main[[#This Row],[Class]]="B", WORKDAY(Main[[#This Row],[Tech Start Date]],19),IF(Main[[#This Row],[Class]]="A",WORKDAY(Main[[#This Row],[Tech Start Date]],9),""))))</f>
        <v/>
      </c>
      <c r="Q1080" s="67">
        <v>40633</v>
      </c>
      <c r="R1080" s="67">
        <v>41060</v>
      </c>
      <c r="S1080" s="65" t="s">
        <v>17</v>
      </c>
      <c r="T1080" s="70" t="s">
        <v>2465</v>
      </c>
      <c r="U1080" s="65" t="s">
        <v>29</v>
      </c>
      <c r="V1080" s="65" t="s">
        <v>1914</v>
      </c>
      <c r="W1080" s="65" t="s">
        <v>1919</v>
      </c>
      <c r="X1080" s="65" t="s">
        <v>129</v>
      </c>
      <c r="Y1080" s="65" t="s">
        <v>2933</v>
      </c>
      <c r="Z1080" s="65" t="s">
        <v>129</v>
      </c>
      <c r="AA1080" s="65" t="s">
        <v>129</v>
      </c>
    </row>
    <row r="1081" spans="1:27" ht="17.45" hidden="1" customHeight="1">
      <c r="A1081" s="100" t="str">
        <f>IF(priority(Main[[#This Row],[Comments]])&lt;&gt;0, priority(Main[[#This Row],[Comments]]),"")</f>
        <v/>
      </c>
      <c r="B1081" s="77" t="s">
        <v>2526</v>
      </c>
      <c r="C1081" s="65" t="s">
        <v>4</v>
      </c>
      <c r="D1081" s="66" t="s">
        <v>2527</v>
      </c>
      <c r="E1081" s="67"/>
      <c r="F1081" s="67"/>
      <c r="G1081" s="64" t="str">
        <f>IF(stdProdLT(Main[[#This Row],[Comments]])=0.1,"N/A",IF(stdProdLT(Main[[#This Row],[Comments]])=0,"",stdProdLT(Main[[#This Row],[Comments]])))</f>
        <v/>
      </c>
      <c r="H1081" s="68" t="str">
        <f>IF(AND(Main[[#This Row],[In Stock Date]]&lt;&gt;"",Main[[#This Row],[Revised Due Date]]&lt;&gt;""),Main[[#This Row],[In Stock Date]]-Main[[#This Row],[Revised Due Date]],"")</f>
        <v/>
      </c>
      <c r="I1081" s="65" t="s">
        <v>4</v>
      </c>
      <c r="J1081" s="65" t="s">
        <v>4</v>
      </c>
      <c r="K1081" s="65" t="s">
        <v>4</v>
      </c>
      <c r="L1081" s="67"/>
      <c r="M1081" s="69" t="str">
        <f>IF(Main[[#This Row],[Tech Start Date]]&lt;1/1/1990,"",IF(Main[[#This Row],[Class]]="C",WORKDAY(Main[[#This Row],[Tech Start Date]],9),IF(Main[[#This Row],[Class]]="B", WORKDAY(Main[[#This Row],[Tech Start Date]],6),IF(Main[[#This Row],[Class]]="A",WORKDAY(Main[[#This Row],[Tech Start Date]],2),""))))</f>
        <v/>
      </c>
      <c r="N1081" s="69" t="str">
        <f>IF(Main[[#This Row],[Tech Start Date]]&lt;1/1/1990,"",IF(Main[[#This Row],[Class]]="C",WORKDAY(Main[[#This Row],[Tech Start Date]],19),IF(Main[[#This Row],[Class]]="B", WORKDAY(Main[[#This Row],[Tech Start Date]],12),IF(Main[[#This Row],[Class]]="A",WORKDAY(Main[[#This Row],[Tech Start Date]],4),""))))</f>
        <v/>
      </c>
      <c r="O1081" s="69" t="str">
        <f>IF(Main[[#This Row],[Tech Start Date]]&lt;1/1/1990,"",IF(Main[[#This Row],[Class]]="C",WORKDAY(Main[[#This Row],[Tech Start Date]],23),IF(Main[[#This Row],[Class]]="B", WORKDAY(Main[[#This Row],[Tech Start Date]],15),IF(Main[[#This Row],[Class]]="A",WORKDAY(Main[[#This Row],[Tech Start Date]],5),""))))</f>
        <v/>
      </c>
      <c r="P1081" s="69" t="str">
        <f>IF(Main[[#This Row],[Tech Start Date]]&lt;1/1/1990,"",IF(Main[[#This Row],[Class]]="C",WORKDAY(Main[[#This Row],[Tech Start Date]],28),IF(Main[[#This Row],[Class]]="B", WORKDAY(Main[[#This Row],[Tech Start Date]],19),IF(Main[[#This Row],[Class]]="A",WORKDAY(Main[[#This Row],[Tech Start Date]],9),""))))</f>
        <v/>
      </c>
      <c r="Q1081" s="67"/>
      <c r="R1081" s="67"/>
      <c r="S1081" s="65" t="s">
        <v>11</v>
      </c>
      <c r="T1081" s="70" t="s">
        <v>4</v>
      </c>
      <c r="U1081" s="65" t="s">
        <v>14</v>
      </c>
      <c r="V1081" s="65" t="s">
        <v>1915</v>
      </c>
      <c r="W1081" s="65" t="s">
        <v>4</v>
      </c>
      <c r="X1081" s="65" t="s">
        <v>2249</v>
      </c>
      <c r="Y1081" s="65" t="s">
        <v>4</v>
      </c>
      <c r="Z1081" s="65" t="s">
        <v>4</v>
      </c>
      <c r="AA1081" s="65" t="s">
        <v>4</v>
      </c>
    </row>
    <row r="1082" spans="1:27" ht="17.45" hidden="1" customHeight="1">
      <c r="A1082" s="100" t="str">
        <f>IF(priority(Main[[#This Row],[Comments]])&lt;&gt;0, priority(Main[[#This Row],[Comments]]),"")</f>
        <v/>
      </c>
      <c r="B1082" s="77" t="s">
        <v>3543</v>
      </c>
      <c r="C1082" s="65" t="s">
        <v>3531</v>
      </c>
      <c r="D1082" s="66" t="s">
        <v>3544</v>
      </c>
      <c r="E1082" s="67"/>
      <c r="F1082" s="67">
        <v>41026</v>
      </c>
      <c r="G1082" s="64" t="str">
        <f>IF(stdProdLT(Main[[#This Row],[Comments]])=0.1,"N/A",IF(stdProdLT(Main[[#This Row],[Comments]])=0,"",stdProdLT(Main[[#This Row],[Comments]])))</f>
        <v/>
      </c>
      <c r="H1082" s="68" t="str">
        <f>IF(AND(Main[[#This Row],[In Stock Date]]&lt;&gt;"",Main[[#This Row],[Revised Due Date]]&lt;&gt;""),Main[[#This Row],[In Stock Date]]-Main[[#This Row],[Revised Due Date]],"")</f>
        <v/>
      </c>
      <c r="I1082" s="65" t="s">
        <v>4</v>
      </c>
      <c r="J1082" s="65" t="s">
        <v>75</v>
      </c>
      <c r="K1082" s="65" t="s">
        <v>4</v>
      </c>
      <c r="L1082" s="67"/>
      <c r="M1082" s="69" t="str">
        <f>IF(Main[[#This Row],[Tech Start Date]]&lt;1/1/1990,"",IF(Main[[#This Row],[Class]]="C",WORKDAY(Main[[#This Row],[Tech Start Date]],9),IF(Main[[#This Row],[Class]]="B", WORKDAY(Main[[#This Row],[Tech Start Date]],6),IF(Main[[#This Row],[Class]]="A",WORKDAY(Main[[#This Row],[Tech Start Date]],2),""))))</f>
        <v/>
      </c>
      <c r="N1082" s="69" t="str">
        <f>IF(Main[[#This Row],[Tech Start Date]]&lt;1/1/1990,"",IF(Main[[#This Row],[Class]]="C",WORKDAY(Main[[#This Row],[Tech Start Date]],19),IF(Main[[#This Row],[Class]]="B", WORKDAY(Main[[#This Row],[Tech Start Date]],12),IF(Main[[#This Row],[Class]]="A",WORKDAY(Main[[#This Row],[Tech Start Date]],4),""))))</f>
        <v/>
      </c>
      <c r="O1082" s="69" t="str">
        <f>IF(Main[[#This Row],[Tech Start Date]]&lt;1/1/1990,"",IF(Main[[#This Row],[Class]]="C",WORKDAY(Main[[#This Row],[Tech Start Date]],23),IF(Main[[#This Row],[Class]]="B", WORKDAY(Main[[#This Row],[Tech Start Date]],15),IF(Main[[#This Row],[Class]]="A",WORKDAY(Main[[#This Row],[Tech Start Date]],5),""))))</f>
        <v/>
      </c>
      <c r="P1082" s="69" t="str">
        <f>IF(Main[[#This Row],[Tech Start Date]]&lt;1/1/1990,"",IF(Main[[#This Row],[Class]]="C",WORKDAY(Main[[#This Row],[Tech Start Date]],28),IF(Main[[#This Row],[Class]]="B", WORKDAY(Main[[#This Row],[Tech Start Date]],19),IF(Main[[#This Row],[Class]]="A",WORKDAY(Main[[#This Row],[Tech Start Date]],9),""))))</f>
        <v/>
      </c>
      <c r="Q1082" s="67">
        <v>40954</v>
      </c>
      <c r="R1082" s="67"/>
      <c r="S1082" s="65" t="s">
        <v>11</v>
      </c>
      <c r="T1082" s="70" t="s">
        <v>4</v>
      </c>
      <c r="U1082" s="65" t="s">
        <v>14</v>
      </c>
      <c r="V1082" s="65" t="s">
        <v>1924</v>
      </c>
      <c r="W1082" s="65" t="s">
        <v>1922</v>
      </c>
      <c r="X1082" s="65" t="s">
        <v>2829</v>
      </c>
      <c r="Y1082" s="65" t="s">
        <v>2951</v>
      </c>
      <c r="Z1082" s="65" t="s">
        <v>530</v>
      </c>
      <c r="AA1082" s="65" t="s">
        <v>2829</v>
      </c>
    </row>
    <row r="1083" spans="1:27" ht="17.45" hidden="1" customHeight="1">
      <c r="A1083" s="100" t="str">
        <f>IF(priority(Main[[#This Row],[Comments]])&lt;&gt;0, priority(Main[[#This Row],[Comments]]),"")</f>
        <v/>
      </c>
      <c r="B1083" s="77" t="s">
        <v>3545</v>
      </c>
      <c r="C1083" s="65" t="s">
        <v>4</v>
      </c>
      <c r="D1083" s="66" t="s">
        <v>3546</v>
      </c>
      <c r="E1083" s="67">
        <v>40949.904050925928</v>
      </c>
      <c r="F1083" s="67"/>
      <c r="G1083" s="64" t="str">
        <f>IF(stdProdLT(Main[[#This Row],[Comments]])=0.1,"N/A",IF(stdProdLT(Main[[#This Row],[Comments]])=0,"",stdProdLT(Main[[#This Row],[Comments]])))</f>
        <v/>
      </c>
      <c r="H1083" s="68" t="str">
        <f>IF(AND(Main[[#This Row],[In Stock Date]]&lt;&gt;"",Main[[#This Row],[Revised Due Date]]&lt;&gt;""),Main[[#This Row],[In Stock Date]]-Main[[#This Row],[Revised Due Date]],"")</f>
        <v/>
      </c>
      <c r="I1083" s="65" t="s">
        <v>530</v>
      </c>
      <c r="J1083" s="65" t="s">
        <v>28</v>
      </c>
      <c r="K1083" s="65" t="s">
        <v>1923</v>
      </c>
      <c r="L1083" s="67"/>
      <c r="M1083" s="69" t="str">
        <f>IF(Main[[#This Row],[Tech Start Date]]&lt;1/1/1990,"",IF(Main[[#This Row],[Class]]="C",WORKDAY(Main[[#This Row],[Tech Start Date]],9),IF(Main[[#This Row],[Class]]="B", WORKDAY(Main[[#This Row],[Tech Start Date]],6),IF(Main[[#This Row],[Class]]="A",WORKDAY(Main[[#This Row],[Tech Start Date]],2),""))))</f>
        <v/>
      </c>
      <c r="N1083" s="69" t="str">
        <f>IF(Main[[#This Row],[Tech Start Date]]&lt;1/1/1990,"",IF(Main[[#This Row],[Class]]="C",WORKDAY(Main[[#This Row],[Tech Start Date]],19),IF(Main[[#This Row],[Class]]="B", WORKDAY(Main[[#This Row],[Tech Start Date]],12),IF(Main[[#This Row],[Class]]="A",WORKDAY(Main[[#This Row],[Tech Start Date]],4),""))))</f>
        <v/>
      </c>
      <c r="O1083" s="69" t="str">
        <f>IF(Main[[#This Row],[Tech Start Date]]&lt;1/1/1990,"",IF(Main[[#This Row],[Class]]="C",WORKDAY(Main[[#This Row],[Tech Start Date]],23),IF(Main[[#This Row],[Class]]="B", WORKDAY(Main[[#This Row],[Tech Start Date]],15),IF(Main[[#This Row],[Class]]="A",WORKDAY(Main[[#This Row],[Tech Start Date]],5),""))))</f>
        <v/>
      </c>
      <c r="P1083" s="69" t="str">
        <f>IF(Main[[#This Row],[Tech Start Date]]&lt;1/1/1990,"",IF(Main[[#This Row],[Class]]="C",WORKDAY(Main[[#This Row],[Tech Start Date]],28),IF(Main[[#This Row],[Class]]="B", WORKDAY(Main[[#This Row],[Tech Start Date]],19),IF(Main[[#This Row],[Class]]="A",WORKDAY(Main[[#This Row],[Tech Start Date]],9),""))))</f>
        <v/>
      </c>
      <c r="Q1083" s="67">
        <v>40952</v>
      </c>
      <c r="R1083" s="67"/>
      <c r="S1083" s="65" t="s">
        <v>6</v>
      </c>
      <c r="T1083" s="70" t="s">
        <v>4</v>
      </c>
      <c r="U1083" s="65" t="s">
        <v>29</v>
      </c>
      <c r="V1083" s="65" t="s">
        <v>1917</v>
      </c>
      <c r="W1083" s="65" t="s">
        <v>1918</v>
      </c>
      <c r="X1083" s="65" t="s">
        <v>2895</v>
      </c>
      <c r="Y1083" s="65" t="s">
        <v>3060</v>
      </c>
      <c r="Z1083" s="65" t="s">
        <v>30</v>
      </c>
      <c r="AA1083" s="65" t="s">
        <v>2895</v>
      </c>
    </row>
    <row r="1084" spans="1:27" ht="17.45" hidden="1" customHeight="1">
      <c r="A1084" s="100" t="str">
        <f>IF(priority(Main[[#This Row],[Comments]])&lt;&gt;0, priority(Main[[#This Row],[Comments]]),"")</f>
        <v/>
      </c>
      <c r="B1084" s="77" t="s">
        <v>3664</v>
      </c>
      <c r="C1084" s="65" t="s">
        <v>3665</v>
      </c>
      <c r="D1084" s="66" t="s">
        <v>3666</v>
      </c>
      <c r="E1084" s="67">
        <v>40954.685243055559</v>
      </c>
      <c r="F1084" s="67"/>
      <c r="G1084" s="64" t="str">
        <f>IF(stdProdLT(Main[[#This Row],[Comments]])=0.1,"N/A",IF(stdProdLT(Main[[#This Row],[Comments]])=0,"",stdProdLT(Main[[#This Row],[Comments]])))</f>
        <v>N/A</v>
      </c>
      <c r="H1084" s="68" t="str">
        <f>IF(AND(Main[[#This Row],[In Stock Date]]&lt;&gt;"",Main[[#This Row],[Revised Due Date]]&lt;&gt;""),Main[[#This Row],[In Stock Date]]-Main[[#This Row],[Revised Due Date]],"")</f>
        <v/>
      </c>
      <c r="I1084" s="65" t="s">
        <v>2249</v>
      </c>
      <c r="J1084" s="65" t="s">
        <v>28</v>
      </c>
      <c r="K1084" s="71" t="s">
        <v>1923</v>
      </c>
      <c r="L1084" s="67"/>
      <c r="M1084" s="69" t="str">
        <f>IF(Main[[#This Row],[Tech Start Date]]&lt;1/1/1990,"",IF(Main[[#This Row],[Class]]="C",WORKDAY(Main[[#This Row],[Tech Start Date]],9),IF(Main[[#This Row],[Class]]="B", WORKDAY(Main[[#This Row],[Tech Start Date]],6),IF(Main[[#This Row],[Class]]="A",WORKDAY(Main[[#This Row],[Tech Start Date]],2),""))))</f>
        <v/>
      </c>
      <c r="N1084" s="69" t="str">
        <f>IF(Main[[#This Row],[Tech Start Date]]&lt;1/1/1990,"",IF(Main[[#This Row],[Class]]="C",WORKDAY(Main[[#This Row],[Tech Start Date]],19),IF(Main[[#This Row],[Class]]="B", WORKDAY(Main[[#This Row],[Tech Start Date]],12),IF(Main[[#This Row],[Class]]="A",WORKDAY(Main[[#This Row],[Tech Start Date]],4),""))))</f>
        <v/>
      </c>
      <c r="O1084" s="69" t="str">
        <f>IF(Main[[#This Row],[Tech Start Date]]&lt;1/1/1990,"",IF(Main[[#This Row],[Class]]="C",WORKDAY(Main[[#This Row],[Tech Start Date]],23),IF(Main[[#This Row],[Class]]="B", WORKDAY(Main[[#This Row],[Tech Start Date]],15),IF(Main[[#This Row],[Class]]="A",WORKDAY(Main[[#This Row],[Tech Start Date]],5),""))))</f>
        <v/>
      </c>
      <c r="P1084" s="69" t="str">
        <f>IF(Main[[#This Row],[Tech Start Date]]&lt;1/1/1990,"",IF(Main[[#This Row],[Class]]="C",WORKDAY(Main[[#This Row],[Tech Start Date]],28),IF(Main[[#This Row],[Class]]="B", WORKDAY(Main[[#This Row],[Tech Start Date]],19),IF(Main[[#This Row],[Class]]="A",WORKDAY(Main[[#This Row],[Tech Start Date]],9),""))))</f>
        <v/>
      </c>
      <c r="Q1084" s="67">
        <v>40961</v>
      </c>
      <c r="R1084" s="67"/>
      <c r="S1084" s="65" t="s">
        <v>6</v>
      </c>
      <c r="T1084" s="70" t="s">
        <v>3234</v>
      </c>
      <c r="U1084" s="65" t="s">
        <v>29</v>
      </c>
      <c r="V1084" s="65" t="s">
        <v>1915</v>
      </c>
      <c r="W1084" s="65" t="s">
        <v>1916</v>
      </c>
      <c r="X1084" s="65" t="s">
        <v>2816</v>
      </c>
      <c r="Y1084" s="65" t="s">
        <v>4</v>
      </c>
      <c r="Z1084" s="65" t="s">
        <v>2053</v>
      </c>
      <c r="AA1084" s="65" t="s">
        <v>2816</v>
      </c>
    </row>
    <row r="1085" spans="1:27" ht="17.45" hidden="1" customHeight="1">
      <c r="A1085" s="100" t="str">
        <f>IF(priority(Main[[#This Row],[Comments]])&lt;&gt;0, priority(Main[[#This Row],[Comments]]),"")</f>
        <v/>
      </c>
      <c r="B1085" s="77" t="s">
        <v>2366</v>
      </c>
      <c r="C1085" s="65" t="s">
        <v>4</v>
      </c>
      <c r="D1085" s="66" t="s">
        <v>3343</v>
      </c>
      <c r="E1085" s="67">
        <v>40842.639374999999</v>
      </c>
      <c r="F1085" s="67"/>
      <c r="G1085" s="64" t="str">
        <f>IF(stdProdLT(Main[[#This Row],[Comments]])=0.1,"N/A",IF(stdProdLT(Main[[#This Row],[Comments]])=0,"",stdProdLT(Main[[#This Row],[Comments]])))</f>
        <v/>
      </c>
      <c r="H1085" s="68" t="str">
        <f>IF(AND(Main[[#This Row],[In Stock Date]]&lt;&gt;"",Main[[#This Row],[Revised Due Date]]&lt;&gt;""),Main[[#This Row],[In Stock Date]]-Main[[#This Row],[Revised Due Date]],"")</f>
        <v/>
      </c>
      <c r="I1085" s="65" t="s">
        <v>69</v>
      </c>
      <c r="J1085" s="65" t="s">
        <v>70</v>
      </c>
      <c r="K1085" s="65" t="s">
        <v>1923</v>
      </c>
      <c r="L1085" s="67"/>
      <c r="M1085" s="69" t="str">
        <f>IF(Main[[#This Row],[Tech Start Date]]&lt;1/1/1990,"",IF(Main[[#This Row],[Class]]="C",WORKDAY(Main[[#This Row],[Tech Start Date]],9),IF(Main[[#This Row],[Class]]="B", WORKDAY(Main[[#This Row],[Tech Start Date]],6),IF(Main[[#This Row],[Class]]="A",WORKDAY(Main[[#This Row],[Tech Start Date]],2),""))))</f>
        <v/>
      </c>
      <c r="N1085" s="69" t="str">
        <f>IF(Main[[#This Row],[Tech Start Date]]&lt;1/1/1990,"",IF(Main[[#This Row],[Class]]="C",WORKDAY(Main[[#This Row],[Tech Start Date]],19),IF(Main[[#This Row],[Class]]="B", WORKDAY(Main[[#This Row],[Tech Start Date]],12),IF(Main[[#This Row],[Class]]="A",WORKDAY(Main[[#This Row],[Tech Start Date]],4),""))))</f>
        <v/>
      </c>
      <c r="O1085" s="69" t="str">
        <f>IF(Main[[#This Row],[Tech Start Date]]&lt;1/1/1990,"",IF(Main[[#This Row],[Class]]="C",WORKDAY(Main[[#This Row],[Tech Start Date]],23),IF(Main[[#This Row],[Class]]="B", WORKDAY(Main[[#This Row],[Tech Start Date]],15),IF(Main[[#This Row],[Class]]="A",WORKDAY(Main[[#This Row],[Tech Start Date]],5),""))))</f>
        <v/>
      </c>
      <c r="P1085" s="69" t="str">
        <f>IF(Main[[#This Row],[Tech Start Date]]&lt;1/1/1990,"",IF(Main[[#This Row],[Class]]="C",WORKDAY(Main[[#This Row],[Tech Start Date]],28),IF(Main[[#This Row],[Class]]="B", WORKDAY(Main[[#This Row],[Tech Start Date]],19),IF(Main[[#This Row],[Class]]="A",WORKDAY(Main[[#This Row],[Tech Start Date]],9),""))))</f>
        <v/>
      </c>
      <c r="Q1085" s="67">
        <v>40872</v>
      </c>
      <c r="R1085" s="67"/>
      <c r="S1085" s="65" t="s">
        <v>6</v>
      </c>
      <c r="T1085" s="70" t="s">
        <v>4</v>
      </c>
      <c r="U1085" s="65" t="s">
        <v>29</v>
      </c>
      <c r="V1085" s="65" t="s">
        <v>1917</v>
      </c>
      <c r="W1085" s="65" t="s">
        <v>1918</v>
      </c>
      <c r="X1085" s="65" t="s">
        <v>2819</v>
      </c>
      <c r="Y1085" s="65" t="s">
        <v>2932</v>
      </c>
      <c r="Z1085" s="65" t="s">
        <v>30</v>
      </c>
      <c r="AA1085" s="65" t="s">
        <v>2819</v>
      </c>
    </row>
    <row r="1086" spans="1:27" ht="17.45" hidden="1" customHeight="1">
      <c r="A1086" s="100" t="str">
        <f>IF(priority(Main[[#This Row],[Comments]])&lt;&gt;0, priority(Main[[#This Row],[Comments]]),"")</f>
        <v/>
      </c>
      <c r="B1086" s="77" t="s">
        <v>3344</v>
      </c>
      <c r="C1086" s="65" t="s">
        <v>4</v>
      </c>
      <c r="D1086" s="66" t="s">
        <v>3345</v>
      </c>
      <c r="E1086" s="67">
        <v>40939.631828703707</v>
      </c>
      <c r="F1086" s="67"/>
      <c r="G1086" s="64" t="str">
        <f>IF(stdProdLT(Main[[#This Row],[Comments]])=0.1,"N/A",IF(stdProdLT(Main[[#This Row],[Comments]])=0,"",stdProdLT(Main[[#This Row],[Comments]])))</f>
        <v/>
      </c>
      <c r="H1086" s="68" t="str">
        <f>IF(AND(Main[[#This Row],[In Stock Date]]&lt;&gt;"",Main[[#This Row],[Revised Due Date]]&lt;&gt;""),Main[[#This Row],[In Stock Date]]-Main[[#This Row],[Revised Due Date]],"")</f>
        <v/>
      </c>
      <c r="I1086" s="65" t="s">
        <v>4</v>
      </c>
      <c r="J1086" s="65" t="s">
        <v>4</v>
      </c>
      <c r="K1086" s="65" t="s">
        <v>4</v>
      </c>
      <c r="L1086" s="67"/>
      <c r="M1086" s="69" t="str">
        <f>IF(Main[[#This Row],[Tech Start Date]]&lt;1/1/1990,"",IF(Main[[#This Row],[Class]]="C",WORKDAY(Main[[#This Row],[Tech Start Date]],9),IF(Main[[#This Row],[Class]]="B", WORKDAY(Main[[#This Row],[Tech Start Date]],6),IF(Main[[#This Row],[Class]]="A",WORKDAY(Main[[#This Row],[Tech Start Date]],2),""))))</f>
        <v/>
      </c>
      <c r="N1086" s="69" t="str">
        <f>IF(Main[[#This Row],[Tech Start Date]]&lt;1/1/1990,"",IF(Main[[#This Row],[Class]]="C",WORKDAY(Main[[#This Row],[Tech Start Date]],19),IF(Main[[#This Row],[Class]]="B", WORKDAY(Main[[#This Row],[Tech Start Date]],12),IF(Main[[#This Row],[Class]]="A",WORKDAY(Main[[#This Row],[Tech Start Date]],4),""))))</f>
        <v/>
      </c>
      <c r="O1086" s="69" t="str">
        <f>IF(Main[[#This Row],[Tech Start Date]]&lt;1/1/1990,"",IF(Main[[#This Row],[Class]]="C",WORKDAY(Main[[#This Row],[Tech Start Date]],23),IF(Main[[#This Row],[Class]]="B", WORKDAY(Main[[#This Row],[Tech Start Date]],15),IF(Main[[#This Row],[Class]]="A",WORKDAY(Main[[#This Row],[Tech Start Date]],5),""))))</f>
        <v/>
      </c>
      <c r="P1086" s="69" t="str">
        <f>IF(Main[[#This Row],[Tech Start Date]]&lt;1/1/1990,"",IF(Main[[#This Row],[Class]]="C",WORKDAY(Main[[#This Row],[Tech Start Date]],28),IF(Main[[#This Row],[Class]]="B", WORKDAY(Main[[#This Row],[Tech Start Date]],19),IF(Main[[#This Row],[Class]]="A",WORKDAY(Main[[#This Row],[Tech Start Date]],9),""))))</f>
        <v/>
      </c>
      <c r="Q1086" s="67"/>
      <c r="R1086" s="67"/>
      <c r="S1086" s="65" t="s">
        <v>6</v>
      </c>
      <c r="T1086" s="70" t="s">
        <v>4</v>
      </c>
      <c r="U1086" s="65" t="s">
        <v>7</v>
      </c>
      <c r="V1086" s="65" t="s">
        <v>1914</v>
      </c>
      <c r="W1086" s="65" t="s">
        <v>1918</v>
      </c>
      <c r="X1086" s="65" t="s">
        <v>306</v>
      </c>
      <c r="Y1086" s="65" t="s">
        <v>4</v>
      </c>
      <c r="Z1086" s="65" t="s">
        <v>4</v>
      </c>
      <c r="AA1086" s="65" t="s">
        <v>4</v>
      </c>
    </row>
    <row r="1087" spans="1:27" ht="17.45" hidden="1" customHeight="1">
      <c r="A1087" s="100" t="str">
        <f>IF(priority(Main[[#This Row],[Comments]])&lt;&gt;0, priority(Main[[#This Row],[Comments]]),"")</f>
        <v/>
      </c>
      <c r="B1087" s="77" t="s">
        <v>1734</v>
      </c>
      <c r="C1087" s="65" t="s">
        <v>47</v>
      </c>
      <c r="D1087" s="66" t="s">
        <v>788</v>
      </c>
      <c r="E1087" s="67">
        <v>39937.598969907405</v>
      </c>
      <c r="F1087" s="67"/>
      <c r="G1087" s="64" t="str">
        <f>IF(stdProdLT(Main[[#This Row],[Comments]])=0.1,"N/A",IF(stdProdLT(Main[[#This Row],[Comments]])=0,"",stdProdLT(Main[[#This Row],[Comments]])))</f>
        <v/>
      </c>
      <c r="H1087" s="68" t="str">
        <f>IF(AND(Main[[#This Row],[In Stock Date]]&lt;&gt;"",Main[[#This Row],[Revised Due Date]]&lt;&gt;""),Main[[#This Row],[In Stock Date]]-Main[[#This Row],[Revised Due Date]],"")</f>
        <v/>
      </c>
      <c r="I1087" s="65" t="s">
        <v>4</v>
      </c>
      <c r="J1087" s="65" t="s">
        <v>4</v>
      </c>
      <c r="K1087" s="65" t="s">
        <v>4</v>
      </c>
      <c r="L1087" s="67"/>
      <c r="M1087" s="69" t="str">
        <f>IF(Main[[#This Row],[Tech Start Date]]&lt;1/1/1990,"",IF(Main[[#This Row],[Class]]="C",WORKDAY(Main[[#This Row],[Tech Start Date]],9),IF(Main[[#This Row],[Class]]="B", WORKDAY(Main[[#This Row],[Tech Start Date]],6),IF(Main[[#This Row],[Class]]="A",WORKDAY(Main[[#This Row],[Tech Start Date]],2),""))))</f>
        <v/>
      </c>
      <c r="N1087" s="69" t="str">
        <f>IF(Main[[#This Row],[Tech Start Date]]&lt;1/1/1990,"",IF(Main[[#This Row],[Class]]="C",WORKDAY(Main[[#This Row],[Tech Start Date]],19),IF(Main[[#This Row],[Class]]="B", WORKDAY(Main[[#This Row],[Tech Start Date]],12),IF(Main[[#This Row],[Class]]="A",WORKDAY(Main[[#This Row],[Tech Start Date]],4),""))))</f>
        <v/>
      </c>
      <c r="O1087" s="69" t="str">
        <f>IF(Main[[#This Row],[Tech Start Date]]&lt;1/1/1990,"",IF(Main[[#This Row],[Class]]="C",WORKDAY(Main[[#This Row],[Tech Start Date]],23),IF(Main[[#This Row],[Class]]="B", WORKDAY(Main[[#This Row],[Tech Start Date]],15),IF(Main[[#This Row],[Class]]="A",WORKDAY(Main[[#This Row],[Tech Start Date]],5),""))))</f>
        <v/>
      </c>
      <c r="P1087" s="69" t="str">
        <f>IF(Main[[#This Row],[Tech Start Date]]&lt;1/1/1990,"",IF(Main[[#This Row],[Class]]="C",WORKDAY(Main[[#This Row],[Tech Start Date]],28),IF(Main[[#This Row],[Class]]="B", WORKDAY(Main[[#This Row],[Tech Start Date]],19),IF(Main[[#This Row],[Class]]="A",WORKDAY(Main[[#This Row],[Tech Start Date]],9),""))))</f>
        <v/>
      </c>
      <c r="Q1087" s="67"/>
      <c r="R1087" s="67">
        <v>41172</v>
      </c>
      <c r="S1087" s="65" t="s">
        <v>17</v>
      </c>
      <c r="T1087" s="70" t="s">
        <v>4</v>
      </c>
      <c r="U1087" s="65" t="s">
        <v>29</v>
      </c>
      <c r="V1087" s="65" t="s">
        <v>1917</v>
      </c>
      <c r="W1087" s="65" t="s">
        <v>4</v>
      </c>
      <c r="X1087" s="65" t="s">
        <v>2827</v>
      </c>
      <c r="Y1087" s="65" t="s">
        <v>2948</v>
      </c>
      <c r="Z1087" s="65" t="s">
        <v>4</v>
      </c>
      <c r="AA1087" s="65" t="s">
        <v>2827</v>
      </c>
    </row>
    <row r="1088" spans="1:27" ht="17.45" hidden="1" customHeight="1">
      <c r="A1088" s="100" t="str">
        <f>IF(priority(Main[[#This Row],[Comments]])&lt;&gt;0, priority(Main[[#This Row],[Comments]]),"")</f>
        <v/>
      </c>
      <c r="B1088" s="77" t="s">
        <v>1400</v>
      </c>
      <c r="C1088" s="65" t="s">
        <v>483</v>
      </c>
      <c r="D1088" s="66" t="s">
        <v>2531</v>
      </c>
      <c r="E1088" s="67"/>
      <c r="F1088" s="67">
        <v>40452</v>
      </c>
      <c r="G1088" s="64" t="str">
        <f>IF(stdProdLT(Main[[#This Row],[Comments]])=0.1,"N/A",IF(stdProdLT(Main[[#This Row],[Comments]])=0,"",stdProdLT(Main[[#This Row],[Comments]])))</f>
        <v/>
      </c>
      <c r="H1088" s="68" t="str">
        <f>IF(AND(Main[[#This Row],[In Stock Date]]&lt;&gt;"",Main[[#This Row],[Revised Due Date]]&lt;&gt;""),Main[[#This Row],[In Stock Date]]-Main[[#This Row],[Revised Due Date]],"")</f>
        <v/>
      </c>
      <c r="I1088" s="65" t="s">
        <v>4</v>
      </c>
      <c r="J1088" s="65" t="s">
        <v>4</v>
      </c>
      <c r="K1088" s="65" t="s">
        <v>4</v>
      </c>
      <c r="L1088" s="67"/>
      <c r="M1088" s="69" t="str">
        <f>IF(Main[[#This Row],[Tech Start Date]]&lt;1/1/1990,"",IF(Main[[#This Row],[Class]]="C",WORKDAY(Main[[#This Row],[Tech Start Date]],9),IF(Main[[#This Row],[Class]]="B", WORKDAY(Main[[#This Row],[Tech Start Date]],6),IF(Main[[#This Row],[Class]]="A",WORKDAY(Main[[#This Row],[Tech Start Date]],2),""))))</f>
        <v/>
      </c>
      <c r="N1088" s="69" t="str">
        <f>IF(Main[[#This Row],[Tech Start Date]]&lt;1/1/1990,"",IF(Main[[#This Row],[Class]]="C",WORKDAY(Main[[#This Row],[Tech Start Date]],19),IF(Main[[#This Row],[Class]]="B", WORKDAY(Main[[#This Row],[Tech Start Date]],12),IF(Main[[#This Row],[Class]]="A",WORKDAY(Main[[#This Row],[Tech Start Date]],4),""))))</f>
        <v/>
      </c>
      <c r="O1088" s="69" t="str">
        <f>IF(Main[[#This Row],[Tech Start Date]]&lt;1/1/1990,"",IF(Main[[#This Row],[Class]]="C",WORKDAY(Main[[#This Row],[Tech Start Date]],23),IF(Main[[#This Row],[Class]]="B", WORKDAY(Main[[#This Row],[Tech Start Date]],15),IF(Main[[#This Row],[Class]]="A",WORKDAY(Main[[#This Row],[Tech Start Date]],5),""))))</f>
        <v/>
      </c>
      <c r="P1088" s="69" t="str">
        <f>IF(Main[[#This Row],[Tech Start Date]]&lt;1/1/1990,"",IF(Main[[#This Row],[Class]]="C",WORKDAY(Main[[#This Row],[Tech Start Date]],28),IF(Main[[#This Row],[Class]]="B", WORKDAY(Main[[#This Row],[Tech Start Date]],19),IF(Main[[#This Row],[Class]]="A",WORKDAY(Main[[#This Row],[Tech Start Date]],9),""))))</f>
        <v/>
      </c>
      <c r="Q1088" s="67">
        <v>40391</v>
      </c>
      <c r="R1088" s="67"/>
      <c r="S1088" s="65" t="s">
        <v>6</v>
      </c>
      <c r="T1088" s="70" t="s">
        <v>4</v>
      </c>
      <c r="U1088" s="65" t="s">
        <v>14</v>
      </c>
      <c r="V1088" s="65" t="s">
        <v>1914</v>
      </c>
      <c r="W1088" s="65" t="s">
        <v>1919</v>
      </c>
      <c r="X1088" s="65" t="s">
        <v>2824</v>
      </c>
      <c r="Y1088" s="65" t="s">
        <v>2943</v>
      </c>
      <c r="Z1088" s="65" t="s">
        <v>4</v>
      </c>
      <c r="AA1088" s="65" t="s">
        <v>2824</v>
      </c>
    </row>
    <row r="1089" spans="1:27" ht="17.45" hidden="1" customHeight="1">
      <c r="A1089" s="100" t="str">
        <f>IF(priority(Main[[#This Row],[Comments]])&lt;&gt;0, priority(Main[[#This Row],[Comments]]),"")</f>
        <v/>
      </c>
      <c r="B1089" s="77" t="s">
        <v>2746</v>
      </c>
      <c r="C1089" s="65" t="s">
        <v>4</v>
      </c>
      <c r="D1089" s="66" t="s">
        <v>2747</v>
      </c>
      <c r="E1089" s="67">
        <v>40911.721898148149</v>
      </c>
      <c r="F1089" s="67"/>
      <c r="G1089" s="64" t="str">
        <f>IF(stdProdLT(Main[[#This Row],[Comments]])=0.1,"N/A",IF(stdProdLT(Main[[#This Row],[Comments]])=0,"",stdProdLT(Main[[#This Row],[Comments]])))</f>
        <v/>
      </c>
      <c r="H1089" s="68" t="str">
        <f>IF(AND(Main[[#This Row],[In Stock Date]]&lt;&gt;"",Main[[#This Row],[Revised Due Date]]&lt;&gt;""),Main[[#This Row],[In Stock Date]]-Main[[#This Row],[Revised Due Date]],"")</f>
        <v/>
      </c>
      <c r="I1089" s="65" t="s">
        <v>4</v>
      </c>
      <c r="J1089" s="65" t="s">
        <v>4</v>
      </c>
      <c r="K1089" s="65" t="s">
        <v>4</v>
      </c>
      <c r="L1089" s="67"/>
      <c r="M1089" s="69" t="str">
        <f>IF(Main[[#This Row],[Tech Start Date]]&lt;1/1/1990,"",IF(Main[[#This Row],[Class]]="C",WORKDAY(Main[[#This Row],[Tech Start Date]],9),IF(Main[[#This Row],[Class]]="B", WORKDAY(Main[[#This Row],[Tech Start Date]],6),IF(Main[[#This Row],[Class]]="A",WORKDAY(Main[[#This Row],[Tech Start Date]],2),""))))</f>
        <v/>
      </c>
      <c r="N1089" s="69" t="str">
        <f>IF(Main[[#This Row],[Tech Start Date]]&lt;1/1/1990,"",IF(Main[[#This Row],[Class]]="C",WORKDAY(Main[[#This Row],[Tech Start Date]],19),IF(Main[[#This Row],[Class]]="B", WORKDAY(Main[[#This Row],[Tech Start Date]],12),IF(Main[[#This Row],[Class]]="A",WORKDAY(Main[[#This Row],[Tech Start Date]],4),""))))</f>
        <v/>
      </c>
      <c r="O1089" s="69" t="str">
        <f>IF(Main[[#This Row],[Tech Start Date]]&lt;1/1/1990,"",IF(Main[[#This Row],[Class]]="C",WORKDAY(Main[[#This Row],[Tech Start Date]],23),IF(Main[[#This Row],[Class]]="B", WORKDAY(Main[[#This Row],[Tech Start Date]],15),IF(Main[[#This Row],[Class]]="A",WORKDAY(Main[[#This Row],[Tech Start Date]],5),""))))</f>
        <v/>
      </c>
      <c r="P1089" s="69" t="str">
        <f>IF(Main[[#This Row],[Tech Start Date]]&lt;1/1/1990,"",IF(Main[[#This Row],[Class]]="C",WORKDAY(Main[[#This Row],[Tech Start Date]],28),IF(Main[[#This Row],[Class]]="B", WORKDAY(Main[[#This Row],[Tech Start Date]],19),IF(Main[[#This Row],[Class]]="A",WORKDAY(Main[[#This Row],[Tech Start Date]],9),""))))</f>
        <v/>
      </c>
      <c r="Q1089" s="67">
        <v>41015</v>
      </c>
      <c r="R1089" s="67"/>
      <c r="S1089" s="65" t="s">
        <v>6</v>
      </c>
      <c r="T1089" s="70" t="s">
        <v>3667</v>
      </c>
      <c r="U1089" s="65" t="s">
        <v>7</v>
      </c>
      <c r="V1089" s="65" t="s">
        <v>1914</v>
      </c>
      <c r="W1089" s="65" t="s">
        <v>1918</v>
      </c>
      <c r="X1089" s="65" t="s">
        <v>877</v>
      </c>
      <c r="Y1089" s="65" t="s">
        <v>3009</v>
      </c>
      <c r="Z1089" s="65" t="s">
        <v>4</v>
      </c>
      <c r="AA1089" s="65" t="s">
        <v>877</v>
      </c>
    </row>
    <row r="1090" spans="1:27" ht="17.45" hidden="1" customHeight="1">
      <c r="A1090" s="100" t="str">
        <f>IF(priority(Main[[#This Row],[Comments]])&lt;&gt;0, priority(Main[[#This Row],[Comments]]),"")</f>
        <v/>
      </c>
      <c r="B1090" s="77" t="s">
        <v>2524</v>
      </c>
      <c r="C1090" s="65" t="s">
        <v>4</v>
      </c>
      <c r="D1090" s="66" t="s">
        <v>2525</v>
      </c>
      <c r="E1090" s="67"/>
      <c r="F1090" s="67"/>
      <c r="G1090" s="64" t="str">
        <f>IF(stdProdLT(Main[[#This Row],[Comments]])=0.1,"N/A",IF(stdProdLT(Main[[#This Row],[Comments]])=0,"",stdProdLT(Main[[#This Row],[Comments]])))</f>
        <v/>
      </c>
      <c r="H1090" s="68" t="str">
        <f>IF(AND(Main[[#This Row],[In Stock Date]]&lt;&gt;"",Main[[#This Row],[Revised Due Date]]&lt;&gt;""),Main[[#This Row],[In Stock Date]]-Main[[#This Row],[Revised Due Date]],"")</f>
        <v/>
      </c>
      <c r="I1090" s="65" t="s">
        <v>4</v>
      </c>
      <c r="J1090" s="65" t="s">
        <v>4</v>
      </c>
      <c r="K1090" s="71" t="s">
        <v>4</v>
      </c>
      <c r="L1090" s="67"/>
      <c r="M1090" s="69" t="str">
        <f>IF(Main[[#This Row],[Tech Start Date]]&lt;1/1/1990,"",IF(Main[[#This Row],[Class]]="C",WORKDAY(Main[[#This Row],[Tech Start Date]],9),IF(Main[[#This Row],[Class]]="B", WORKDAY(Main[[#This Row],[Tech Start Date]],6),IF(Main[[#This Row],[Class]]="A",WORKDAY(Main[[#This Row],[Tech Start Date]],2),""))))</f>
        <v/>
      </c>
      <c r="N1090" s="69" t="str">
        <f>IF(Main[[#This Row],[Tech Start Date]]&lt;1/1/1990,"",IF(Main[[#This Row],[Class]]="C",WORKDAY(Main[[#This Row],[Tech Start Date]],19),IF(Main[[#This Row],[Class]]="B", WORKDAY(Main[[#This Row],[Tech Start Date]],12),IF(Main[[#This Row],[Class]]="A",WORKDAY(Main[[#This Row],[Tech Start Date]],4),""))))</f>
        <v/>
      </c>
      <c r="O1090" s="69" t="str">
        <f>IF(Main[[#This Row],[Tech Start Date]]&lt;1/1/1990,"",IF(Main[[#This Row],[Class]]="C",WORKDAY(Main[[#This Row],[Tech Start Date]],23),IF(Main[[#This Row],[Class]]="B", WORKDAY(Main[[#This Row],[Tech Start Date]],15),IF(Main[[#This Row],[Class]]="A",WORKDAY(Main[[#This Row],[Tech Start Date]],5),""))))</f>
        <v/>
      </c>
      <c r="P1090" s="69" t="str">
        <f>IF(Main[[#This Row],[Tech Start Date]]&lt;1/1/1990,"",IF(Main[[#This Row],[Class]]="C",WORKDAY(Main[[#This Row],[Tech Start Date]],28),IF(Main[[#This Row],[Class]]="B", WORKDAY(Main[[#This Row],[Tech Start Date]],19),IF(Main[[#This Row],[Class]]="A",WORKDAY(Main[[#This Row],[Tech Start Date]],9),""))))</f>
        <v/>
      </c>
      <c r="Q1090" s="67"/>
      <c r="R1090" s="67"/>
      <c r="S1090" s="65" t="s">
        <v>23</v>
      </c>
      <c r="T1090" s="70" t="s">
        <v>4</v>
      </c>
      <c r="U1090" s="65" t="s">
        <v>14</v>
      </c>
      <c r="V1090" s="65" t="s">
        <v>1914</v>
      </c>
      <c r="W1090" s="65" t="s">
        <v>1920</v>
      </c>
      <c r="X1090" s="65" t="s">
        <v>399</v>
      </c>
      <c r="Y1090" s="65" t="s">
        <v>4</v>
      </c>
      <c r="Z1090" s="65" t="s">
        <v>4</v>
      </c>
      <c r="AA1090" s="65" t="s">
        <v>3424</v>
      </c>
    </row>
    <row r="1091" spans="1:27" ht="17.45" hidden="1" customHeight="1">
      <c r="A1091" s="100" t="str">
        <f>IF(priority(Main[[#This Row],[Comments]])&lt;&gt;0, priority(Main[[#This Row],[Comments]]),"")</f>
        <v/>
      </c>
      <c r="B1091" s="77" t="s">
        <v>2522</v>
      </c>
      <c r="C1091" s="65" t="s">
        <v>4</v>
      </c>
      <c r="D1091" s="66" t="s">
        <v>2523</v>
      </c>
      <c r="E1091" s="67"/>
      <c r="F1091" s="67"/>
      <c r="G1091" s="64" t="str">
        <f>IF(stdProdLT(Main[[#This Row],[Comments]])=0.1,"N/A",IF(stdProdLT(Main[[#This Row],[Comments]])=0,"",stdProdLT(Main[[#This Row],[Comments]])))</f>
        <v/>
      </c>
      <c r="H1091" s="68" t="str">
        <f>IF(AND(Main[[#This Row],[In Stock Date]]&lt;&gt;"",Main[[#This Row],[Revised Due Date]]&lt;&gt;""),Main[[#This Row],[In Stock Date]]-Main[[#This Row],[Revised Due Date]],"")</f>
        <v/>
      </c>
      <c r="I1091" s="65" t="s">
        <v>4</v>
      </c>
      <c r="J1091" s="65" t="s">
        <v>4</v>
      </c>
      <c r="K1091" s="65" t="s">
        <v>4</v>
      </c>
      <c r="L1091" s="67"/>
      <c r="M1091" s="69" t="str">
        <f>IF(Main[[#This Row],[Tech Start Date]]&lt;1/1/1990,"",IF(Main[[#This Row],[Class]]="C",WORKDAY(Main[[#This Row],[Tech Start Date]],9),IF(Main[[#This Row],[Class]]="B", WORKDAY(Main[[#This Row],[Tech Start Date]],6),IF(Main[[#This Row],[Class]]="A",WORKDAY(Main[[#This Row],[Tech Start Date]],2),""))))</f>
        <v/>
      </c>
      <c r="N1091" s="69" t="str">
        <f>IF(Main[[#This Row],[Tech Start Date]]&lt;1/1/1990,"",IF(Main[[#This Row],[Class]]="C",WORKDAY(Main[[#This Row],[Tech Start Date]],19),IF(Main[[#This Row],[Class]]="B", WORKDAY(Main[[#This Row],[Tech Start Date]],12),IF(Main[[#This Row],[Class]]="A",WORKDAY(Main[[#This Row],[Tech Start Date]],4),""))))</f>
        <v/>
      </c>
      <c r="O1091" s="69" t="str">
        <f>IF(Main[[#This Row],[Tech Start Date]]&lt;1/1/1990,"",IF(Main[[#This Row],[Class]]="C",WORKDAY(Main[[#This Row],[Tech Start Date]],23),IF(Main[[#This Row],[Class]]="B", WORKDAY(Main[[#This Row],[Tech Start Date]],15),IF(Main[[#This Row],[Class]]="A",WORKDAY(Main[[#This Row],[Tech Start Date]],5),""))))</f>
        <v/>
      </c>
      <c r="P1091" s="69" t="str">
        <f>IF(Main[[#This Row],[Tech Start Date]]&lt;1/1/1990,"",IF(Main[[#This Row],[Class]]="C",WORKDAY(Main[[#This Row],[Tech Start Date]],28),IF(Main[[#This Row],[Class]]="B", WORKDAY(Main[[#This Row],[Tech Start Date]],19),IF(Main[[#This Row],[Class]]="A",WORKDAY(Main[[#This Row],[Tech Start Date]],9),""))))</f>
        <v/>
      </c>
      <c r="Q1091" s="67">
        <v>40858</v>
      </c>
      <c r="R1091" s="67"/>
      <c r="S1091" s="65" t="s">
        <v>6</v>
      </c>
      <c r="T1091" s="70" t="s">
        <v>4</v>
      </c>
      <c r="U1091" s="65" t="s">
        <v>14</v>
      </c>
      <c r="V1091" s="65" t="s">
        <v>1917</v>
      </c>
      <c r="W1091" s="65" t="s">
        <v>4</v>
      </c>
      <c r="X1091" s="65" t="s">
        <v>2819</v>
      </c>
      <c r="Y1091" s="65" t="s">
        <v>2932</v>
      </c>
      <c r="Z1091" s="65" t="s">
        <v>4</v>
      </c>
      <c r="AA1091" s="65" t="s">
        <v>2819</v>
      </c>
    </row>
    <row r="1092" spans="1:27" ht="17.45" hidden="1" customHeight="1">
      <c r="A1092" s="100" t="str">
        <f>IF(priority(Main[[#This Row],[Comments]])&lt;&gt;0, priority(Main[[#This Row],[Comments]]),"")</f>
        <v/>
      </c>
      <c r="B1092" s="77" t="s">
        <v>3677</v>
      </c>
      <c r="C1092" s="65" t="s">
        <v>4</v>
      </c>
      <c r="D1092" s="66" t="s">
        <v>3980</v>
      </c>
      <c r="E1092" s="67">
        <v>40966.715914351851</v>
      </c>
      <c r="F1092" s="67"/>
      <c r="G1092" s="64" t="str">
        <f>IF(stdProdLT(Main[[#This Row],[Comments]])=0.1,"N/A",IF(stdProdLT(Main[[#This Row],[Comments]])=0,"",stdProdLT(Main[[#This Row],[Comments]])))</f>
        <v/>
      </c>
      <c r="H1092" s="68" t="str">
        <f>IF(AND(Main[[#This Row],[In Stock Date]]&lt;&gt;"",Main[[#This Row],[Revised Due Date]]&lt;&gt;""),Main[[#This Row],[In Stock Date]]-Main[[#This Row],[Revised Due Date]],"")</f>
        <v/>
      </c>
      <c r="I1092" s="65" t="s">
        <v>4</v>
      </c>
      <c r="J1092" s="65" t="s">
        <v>4</v>
      </c>
      <c r="K1092" s="71" t="s">
        <v>1921</v>
      </c>
      <c r="L1092" s="67"/>
      <c r="M1092" s="69" t="str">
        <f>IF(Main[[#This Row],[Tech Start Date]]&lt;1/1/1990,"",IF(Main[[#This Row],[Class]]="C",WORKDAY(Main[[#This Row],[Tech Start Date]],9),IF(Main[[#This Row],[Class]]="B", WORKDAY(Main[[#This Row],[Tech Start Date]],6),IF(Main[[#This Row],[Class]]="A",WORKDAY(Main[[#This Row],[Tech Start Date]],2),""))))</f>
        <v/>
      </c>
      <c r="N1092" s="69" t="str">
        <f>IF(Main[[#This Row],[Tech Start Date]]&lt;1/1/1990,"",IF(Main[[#This Row],[Class]]="C",WORKDAY(Main[[#This Row],[Tech Start Date]],19),IF(Main[[#This Row],[Class]]="B", WORKDAY(Main[[#This Row],[Tech Start Date]],12),IF(Main[[#This Row],[Class]]="A",WORKDAY(Main[[#This Row],[Tech Start Date]],4),""))))</f>
        <v/>
      </c>
      <c r="O1092" s="69" t="str">
        <f>IF(Main[[#This Row],[Tech Start Date]]&lt;1/1/1990,"",IF(Main[[#This Row],[Class]]="C",WORKDAY(Main[[#This Row],[Tech Start Date]],23),IF(Main[[#This Row],[Class]]="B", WORKDAY(Main[[#This Row],[Tech Start Date]],15),IF(Main[[#This Row],[Class]]="A",WORKDAY(Main[[#This Row],[Tech Start Date]],5),""))))</f>
        <v/>
      </c>
      <c r="P1092" s="69" t="str">
        <f>IF(Main[[#This Row],[Tech Start Date]]&lt;1/1/1990,"",IF(Main[[#This Row],[Class]]="C",WORKDAY(Main[[#This Row],[Tech Start Date]],28),IF(Main[[#This Row],[Class]]="B", WORKDAY(Main[[#This Row],[Tech Start Date]],19),IF(Main[[#This Row],[Class]]="A",WORKDAY(Main[[#This Row],[Tech Start Date]],9),""))))</f>
        <v/>
      </c>
      <c r="Q1092" s="67"/>
      <c r="R1092" s="67"/>
      <c r="S1092" s="65" t="s">
        <v>6</v>
      </c>
      <c r="T1092" s="70" t="s">
        <v>4</v>
      </c>
      <c r="U1092" s="65" t="s">
        <v>29</v>
      </c>
      <c r="V1092" s="65" t="s">
        <v>1917</v>
      </c>
      <c r="W1092" s="65" t="s">
        <v>1918</v>
      </c>
      <c r="X1092" s="65" t="s">
        <v>415</v>
      </c>
      <c r="Y1092" s="65" t="s">
        <v>2975</v>
      </c>
      <c r="Z1092" s="65" t="s">
        <v>4</v>
      </c>
      <c r="AA1092" s="65" t="s">
        <v>415</v>
      </c>
    </row>
    <row r="1093" spans="1:27" ht="17.45" hidden="1" customHeight="1">
      <c r="A1093" s="100" t="str">
        <f>IF(priority(Main[[#This Row],[Comments]])&lt;&gt;0, priority(Main[[#This Row],[Comments]]),"")</f>
        <v/>
      </c>
      <c r="B1093" s="77" t="s">
        <v>3669</v>
      </c>
      <c r="C1093" s="65" t="s">
        <v>4</v>
      </c>
      <c r="D1093" s="66" t="s">
        <v>3957</v>
      </c>
      <c r="E1093" s="67">
        <v>40967.682060185187</v>
      </c>
      <c r="F1093" s="67"/>
      <c r="G1093" s="64" t="str">
        <f>IF(stdProdLT(Main[[#This Row],[Comments]])=0.1,"N/A",IF(stdProdLT(Main[[#This Row],[Comments]])=0,"",stdProdLT(Main[[#This Row],[Comments]])))</f>
        <v/>
      </c>
      <c r="H1093" s="68" t="str">
        <f>IF(AND(Main[[#This Row],[In Stock Date]]&lt;&gt;"",Main[[#This Row],[Revised Due Date]]&lt;&gt;""),Main[[#This Row],[In Stock Date]]-Main[[#This Row],[Revised Due Date]],"")</f>
        <v/>
      </c>
      <c r="I1093" s="65" t="s">
        <v>4</v>
      </c>
      <c r="J1093" s="65" t="s">
        <v>21</v>
      </c>
      <c r="K1093" s="65" t="s">
        <v>4</v>
      </c>
      <c r="L1093" s="67"/>
      <c r="M1093" s="69" t="str">
        <f>IF(Main[[#This Row],[Tech Start Date]]&lt;1/1/1990,"",IF(Main[[#This Row],[Class]]="C",WORKDAY(Main[[#This Row],[Tech Start Date]],9),IF(Main[[#This Row],[Class]]="B", WORKDAY(Main[[#This Row],[Tech Start Date]],6),IF(Main[[#This Row],[Class]]="A",WORKDAY(Main[[#This Row],[Tech Start Date]],2),""))))</f>
        <v/>
      </c>
      <c r="N1093" s="69" t="str">
        <f>IF(Main[[#This Row],[Tech Start Date]]&lt;1/1/1990,"",IF(Main[[#This Row],[Class]]="C",WORKDAY(Main[[#This Row],[Tech Start Date]],19),IF(Main[[#This Row],[Class]]="B", WORKDAY(Main[[#This Row],[Tech Start Date]],12),IF(Main[[#This Row],[Class]]="A",WORKDAY(Main[[#This Row],[Tech Start Date]],4),""))))</f>
        <v/>
      </c>
      <c r="O1093" s="69" t="str">
        <f>IF(Main[[#This Row],[Tech Start Date]]&lt;1/1/1990,"",IF(Main[[#This Row],[Class]]="C",WORKDAY(Main[[#This Row],[Tech Start Date]],23),IF(Main[[#This Row],[Class]]="B", WORKDAY(Main[[#This Row],[Tech Start Date]],15),IF(Main[[#This Row],[Class]]="A",WORKDAY(Main[[#This Row],[Tech Start Date]],5),""))))</f>
        <v/>
      </c>
      <c r="P1093" s="69" t="str">
        <f>IF(Main[[#This Row],[Tech Start Date]]&lt;1/1/1990,"",IF(Main[[#This Row],[Class]]="C",WORKDAY(Main[[#This Row],[Tech Start Date]],28),IF(Main[[#This Row],[Class]]="B", WORKDAY(Main[[#This Row],[Tech Start Date]],19),IF(Main[[#This Row],[Class]]="A",WORKDAY(Main[[#This Row],[Tech Start Date]],9),""))))</f>
        <v/>
      </c>
      <c r="Q1093" s="67">
        <v>40732</v>
      </c>
      <c r="R1093" s="67"/>
      <c r="S1093" s="65" t="s">
        <v>6</v>
      </c>
      <c r="T1093" s="70" t="s">
        <v>4</v>
      </c>
      <c r="U1093" s="65" t="s">
        <v>29</v>
      </c>
      <c r="V1093" s="65" t="s">
        <v>1915</v>
      </c>
      <c r="W1093" s="65" t="s">
        <v>1918</v>
      </c>
      <c r="X1093" s="65" t="s">
        <v>399</v>
      </c>
      <c r="Y1093" s="65" t="s">
        <v>3116</v>
      </c>
      <c r="Z1093" s="65" t="s">
        <v>2053</v>
      </c>
      <c r="AA1093" s="65" t="s">
        <v>3391</v>
      </c>
    </row>
    <row r="1094" spans="1:27" ht="17.45" hidden="1" customHeight="1">
      <c r="A1094" s="100" t="str">
        <f>IF(priority(Main[[#This Row],[Comments]])&lt;&gt;0, priority(Main[[#This Row],[Comments]]),"")</f>
        <v/>
      </c>
      <c r="B1094" s="77" t="s">
        <v>3981</v>
      </c>
      <c r="C1094" s="65" t="s">
        <v>3982</v>
      </c>
      <c r="D1094" s="66" t="s">
        <v>3983</v>
      </c>
      <c r="E1094" s="67">
        <v>40968.569189814814</v>
      </c>
      <c r="F1094" s="67"/>
      <c r="G1094" s="64" t="str">
        <f>IF(stdProdLT(Main[[#This Row],[Comments]])=0.1,"N/A",IF(stdProdLT(Main[[#This Row],[Comments]])=0,"",stdProdLT(Main[[#This Row],[Comments]])))</f>
        <v/>
      </c>
      <c r="H1094" s="68" t="str">
        <f>IF(AND(Main[[#This Row],[In Stock Date]]&lt;&gt;"",Main[[#This Row],[Revised Due Date]]&lt;&gt;""),Main[[#This Row],[In Stock Date]]-Main[[#This Row],[Revised Due Date]],"")</f>
        <v/>
      </c>
      <c r="I1094" s="65" t="s">
        <v>765</v>
      </c>
      <c r="J1094" s="65" t="s">
        <v>21</v>
      </c>
      <c r="K1094" s="65" t="s">
        <v>4</v>
      </c>
      <c r="L1094" s="67"/>
      <c r="M1094" s="69" t="str">
        <f>IF(Main[[#This Row],[Tech Start Date]]&lt;1/1/1990,"",IF(Main[[#This Row],[Class]]="C",WORKDAY(Main[[#This Row],[Tech Start Date]],9),IF(Main[[#This Row],[Class]]="B", WORKDAY(Main[[#This Row],[Tech Start Date]],6),IF(Main[[#This Row],[Class]]="A",WORKDAY(Main[[#This Row],[Tech Start Date]],2),""))))</f>
        <v/>
      </c>
      <c r="N1094" s="69" t="str">
        <f>IF(Main[[#This Row],[Tech Start Date]]&lt;1/1/1990,"",IF(Main[[#This Row],[Class]]="C",WORKDAY(Main[[#This Row],[Tech Start Date]],19),IF(Main[[#This Row],[Class]]="B", WORKDAY(Main[[#This Row],[Tech Start Date]],12),IF(Main[[#This Row],[Class]]="A",WORKDAY(Main[[#This Row],[Tech Start Date]],4),""))))</f>
        <v/>
      </c>
      <c r="O1094" s="69" t="str">
        <f>IF(Main[[#This Row],[Tech Start Date]]&lt;1/1/1990,"",IF(Main[[#This Row],[Class]]="C",WORKDAY(Main[[#This Row],[Tech Start Date]],23),IF(Main[[#This Row],[Class]]="B", WORKDAY(Main[[#This Row],[Tech Start Date]],15),IF(Main[[#This Row],[Class]]="A",WORKDAY(Main[[#This Row],[Tech Start Date]],5),""))))</f>
        <v/>
      </c>
      <c r="P1094" s="69" t="str">
        <f>IF(Main[[#This Row],[Tech Start Date]]&lt;1/1/1990,"",IF(Main[[#This Row],[Class]]="C",WORKDAY(Main[[#This Row],[Tech Start Date]],28),IF(Main[[#This Row],[Class]]="B", WORKDAY(Main[[#This Row],[Tech Start Date]],19),IF(Main[[#This Row],[Class]]="A",WORKDAY(Main[[#This Row],[Tech Start Date]],9),""))))</f>
        <v/>
      </c>
      <c r="Q1094" s="67">
        <v>40973</v>
      </c>
      <c r="R1094" s="67"/>
      <c r="S1094" s="65" t="s">
        <v>6</v>
      </c>
      <c r="T1094" s="70" t="s">
        <v>3991</v>
      </c>
      <c r="U1094" s="65" t="s">
        <v>29</v>
      </c>
      <c r="V1094" s="65" t="s">
        <v>1917</v>
      </c>
      <c r="W1094" s="65" t="s">
        <v>1918</v>
      </c>
      <c r="X1094" s="65" t="s">
        <v>765</v>
      </c>
      <c r="Y1094" s="65" t="s">
        <v>2935</v>
      </c>
      <c r="Z1094" s="65" t="s">
        <v>765</v>
      </c>
      <c r="AA1094" s="65" t="s">
        <v>765</v>
      </c>
    </row>
    <row r="1095" spans="1:27" ht="17.45" hidden="1" customHeight="1">
      <c r="A1095" s="100" t="str">
        <f>IF(priority(Main[[#This Row],[Comments]])&lt;&gt;0, priority(Main[[#This Row],[Comments]]),"")</f>
        <v/>
      </c>
      <c r="B1095" s="77" t="s">
        <v>3673</v>
      </c>
      <c r="C1095" s="65" t="s">
        <v>4</v>
      </c>
      <c r="D1095" s="66" t="s">
        <v>3674</v>
      </c>
      <c r="E1095" s="67">
        <v>40962.337222222224</v>
      </c>
      <c r="F1095" s="67"/>
      <c r="G1095" s="64" t="str">
        <f>IF(stdProdLT(Main[[#This Row],[Comments]])=0.1,"N/A",IF(stdProdLT(Main[[#This Row],[Comments]])=0,"",stdProdLT(Main[[#This Row],[Comments]])))</f>
        <v/>
      </c>
      <c r="H1095" s="68" t="str">
        <f>IF(AND(Main[[#This Row],[In Stock Date]]&lt;&gt;"",Main[[#This Row],[Revised Due Date]]&lt;&gt;""),Main[[#This Row],[In Stock Date]]-Main[[#This Row],[Revised Due Date]],"")</f>
        <v/>
      </c>
      <c r="I1095" s="65" t="s">
        <v>4</v>
      </c>
      <c r="J1095" s="65" t="s">
        <v>4</v>
      </c>
      <c r="K1095" s="65" t="s">
        <v>4</v>
      </c>
      <c r="L1095" s="67"/>
      <c r="M1095" s="69" t="str">
        <f>IF(Main[[#This Row],[Tech Start Date]]&lt;1/1/1990,"",IF(Main[[#This Row],[Class]]="C",WORKDAY(Main[[#This Row],[Tech Start Date]],9),IF(Main[[#This Row],[Class]]="B", WORKDAY(Main[[#This Row],[Tech Start Date]],6),IF(Main[[#This Row],[Class]]="A",WORKDAY(Main[[#This Row],[Tech Start Date]],2),""))))</f>
        <v/>
      </c>
      <c r="N1095" s="69" t="str">
        <f>IF(Main[[#This Row],[Tech Start Date]]&lt;1/1/1990,"",IF(Main[[#This Row],[Class]]="C",WORKDAY(Main[[#This Row],[Tech Start Date]],19),IF(Main[[#This Row],[Class]]="B", WORKDAY(Main[[#This Row],[Tech Start Date]],12),IF(Main[[#This Row],[Class]]="A",WORKDAY(Main[[#This Row],[Tech Start Date]],4),""))))</f>
        <v/>
      </c>
      <c r="O1095" s="69" t="str">
        <f>IF(Main[[#This Row],[Tech Start Date]]&lt;1/1/1990,"",IF(Main[[#This Row],[Class]]="C",WORKDAY(Main[[#This Row],[Tech Start Date]],23),IF(Main[[#This Row],[Class]]="B", WORKDAY(Main[[#This Row],[Tech Start Date]],15),IF(Main[[#This Row],[Class]]="A",WORKDAY(Main[[#This Row],[Tech Start Date]],5),""))))</f>
        <v/>
      </c>
      <c r="P1095" s="69" t="str">
        <f>IF(Main[[#This Row],[Tech Start Date]]&lt;1/1/1990,"",IF(Main[[#This Row],[Class]]="C",WORKDAY(Main[[#This Row],[Tech Start Date]],28),IF(Main[[#This Row],[Class]]="B", WORKDAY(Main[[#This Row],[Tech Start Date]],19),IF(Main[[#This Row],[Class]]="A",WORKDAY(Main[[#This Row],[Tech Start Date]],9),""))))</f>
        <v/>
      </c>
      <c r="Q1095" s="67">
        <v>40991</v>
      </c>
      <c r="R1095" s="67"/>
      <c r="S1095" s="65" t="s">
        <v>6</v>
      </c>
      <c r="T1095" s="70" t="s">
        <v>4</v>
      </c>
      <c r="U1095" s="65" t="s">
        <v>7</v>
      </c>
      <c r="V1095" s="65" t="s">
        <v>1914</v>
      </c>
      <c r="W1095" s="65" t="s">
        <v>4</v>
      </c>
      <c r="X1095" s="65" t="s">
        <v>2822</v>
      </c>
      <c r="Y1095" s="65" t="s">
        <v>2938</v>
      </c>
      <c r="Z1095" s="65" t="s">
        <v>4</v>
      </c>
      <c r="AA1095" s="65" t="s">
        <v>2822</v>
      </c>
    </row>
    <row r="1096" spans="1:27" ht="17.45" hidden="1" customHeight="1">
      <c r="A1096" s="100" t="str">
        <f>IF(priority(Main[[#This Row],[Comments]])&lt;&gt;0, priority(Main[[#This Row],[Comments]]),"")</f>
        <v/>
      </c>
      <c r="B1096" s="77" t="s">
        <v>3675</v>
      </c>
      <c r="C1096" s="65" t="s">
        <v>4</v>
      </c>
      <c r="D1096" s="66" t="s">
        <v>3676</v>
      </c>
      <c r="E1096" s="67">
        <v>40963.259918981479</v>
      </c>
      <c r="F1096" s="67"/>
      <c r="G1096" s="64" t="str">
        <f>IF(stdProdLT(Main[[#This Row],[Comments]])=0.1,"N/A",IF(stdProdLT(Main[[#This Row],[Comments]])=0,"",stdProdLT(Main[[#This Row],[Comments]])))</f>
        <v/>
      </c>
      <c r="H1096" s="68" t="str">
        <f>IF(AND(Main[[#This Row],[In Stock Date]]&lt;&gt;"",Main[[#This Row],[Revised Due Date]]&lt;&gt;""),Main[[#This Row],[In Stock Date]]-Main[[#This Row],[Revised Due Date]],"")</f>
        <v/>
      </c>
      <c r="I1096" s="65" t="s">
        <v>4</v>
      </c>
      <c r="J1096" s="65" t="s">
        <v>4</v>
      </c>
      <c r="K1096" s="65" t="s">
        <v>4</v>
      </c>
      <c r="L1096" s="67"/>
      <c r="M1096" s="69" t="str">
        <f>IF(Main[[#This Row],[Tech Start Date]]&lt;1/1/1990,"",IF(Main[[#This Row],[Class]]="C",WORKDAY(Main[[#This Row],[Tech Start Date]],9),IF(Main[[#This Row],[Class]]="B", WORKDAY(Main[[#This Row],[Tech Start Date]],6),IF(Main[[#This Row],[Class]]="A",WORKDAY(Main[[#This Row],[Tech Start Date]],2),""))))</f>
        <v/>
      </c>
      <c r="N1096" s="69" t="str">
        <f>IF(Main[[#This Row],[Tech Start Date]]&lt;1/1/1990,"",IF(Main[[#This Row],[Class]]="C",WORKDAY(Main[[#This Row],[Tech Start Date]],19),IF(Main[[#This Row],[Class]]="B", WORKDAY(Main[[#This Row],[Tech Start Date]],12),IF(Main[[#This Row],[Class]]="A",WORKDAY(Main[[#This Row],[Tech Start Date]],4),""))))</f>
        <v/>
      </c>
      <c r="O1096" s="69" t="str">
        <f>IF(Main[[#This Row],[Tech Start Date]]&lt;1/1/1990,"",IF(Main[[#This Row],[Class]]="C",WORKDAY(Main[[#This Row],[Tech Start Date]],23),IF(Main[[#This Row],[Class]]="B", WORKDAY(Main[[#This Row],[Tech Start Date]],15),IF(Main[[#This Row],[Class]]="A",WORKDAY(Main[[#This Row],[Tech Start Date]],5),""))))</f>
        <v/>
      </c>
      <c r="P1096" s="69" t="str">
        <f>IF(Main[[#This Row],[Tech Start Date]]&lt;1/1/1990,"",IF(Main[[#This Row],[Class]]="C",WORKDAY(Main[[#This Row],[Tech Start Date]],28),IF(Main[[#This Row],[Class]]="B", WORKDAY(Main[[#This Row],[Tech Start Date]],19),IF(Main[[#This Row],[Class]]="A",WORKDAY(Main[[#This Row],[Tech Start Date]],9),""))))</f>
        <v/>
      </c>
      <c r="Q1096" s="67">
        <v>40977</v>
      </c>
      <c r="R1096" s="67"/>
      <c r="S1096" s="65" t="s">
        <v>6</v>
      </c>
      <c r="T1096" s="70" t="s">
        <v>4</v>
      </c>
      <c r="U1096" s="65" t="s">
        <v>7</v>
      </c>
      <c r="V1096" s="65" t="s">
        <v>1914</v>
      </c>
      <c r="W1096" s="65" t="s">
        <v>4</v>
      </c>
      <c r="X1096" s="65" t="s">
        <v>2851</v>
      </c>
      <c r="Y1096" s="65" t="s">
        <v>2986</v>
      </c>
      <c r="Z1096" s="65" t="s">
        <v>4</v>
      </c>
      <c r="AA1096" s="65" t="s">
        <v>2851</v>
      </c>
    </row>
    <row r="1097" spans="1:27" ht="17.45" hidden="1" customHeight="1">
      <c r="A1097" s="100" t="str">
        <f>IF(priority(Main[[#This Row],[Comments]])&lt;&gt;0, priority(Main[[#This Row],[Comments]]),"")</f>
        <v/>
      </c>
      <c r="B1097" s="77" t="s">
        <v>1182</v>
      </c>
      <c r="C1097" s="65" t="s">
        <v>42</v>
      </c>
      <c r="D1097" s="66" t="s">
        <v>242</v>
      </c>
      <c r="E1097" s="67">
        <v>39937.598217592589</v>
      </c>
      <c r="F1097" s="67"/>
      <c r="G1097" s="64" t="str">
        <f>IF(stdProdLT(Main[[#This Row],[Comments]])=0.1,"N/A",IF(stdProdLT(Main[[#This Row],[Comments]])=0,"",stdProdLT(Main[[#This Row],[Comments]])))</f>
        <v/>
      </c>
      <c r="H1097" s="68" t="str">
        <f>IF(AND(Main[[#This Row],[In Stock Date]]&lt;&gt;"",Main[[#This Row],[Revised Due Date]]&lt;&gt;""),Main[[#This Row],[In Stock Date]]-Main[[#This Row],[Revised Due Date]],"")</f>
        <v/>
      </c>
      <c r="I1097" s="65" t="s">
        <v>4</v>
      </c>
      <c r="J1097" s="65" t="s">
        <v>4</v>
      </c>
      <c r="K1097" s="65" t="s">
        <v>4</v>
      </c>
      <c r="L1097" s="67"/>
      <c r="M1097" s="69" t="str">
        <f>IF(Main[[#This Row],[Tech Start Date]]&lt;1/1/1990,"",IF(Main[[#This Row],[Class]]="C",WORKDAY(Main[[#This Row],[Tech Start Date]],9),IF(Main[[#This Row],[Class]]="B", WORKDAY(Main[[#This Row],[Tech Start Date]],6),IF(Main[[#This Row],[Class]]="A",WORKDAY(Main[[#This Row],[Tech Start Date]],2),""))))</f>
        <v/>
      </c>
      <c r="N1097" s="69" t="str">
        <f>IF(Main[[#This Row],[Tech Start Date]]&lt;1/1/1990,"",IF(Main[[#This Row],[Class]]="C",WORKDAY(Main[[#This Row],[Tech Start Date]],19),IF(Main[[#This Row],[Class]]="B", WORKDAY(Main[[#This Row],[Tech Start Date]],12),IF(Main[[#This Row],[Class]]="A",WORKDAY(Main[[#This Row],[Tech Start Date]],4),""))))</f>
        <v/>
      </c>
      <c r="O1097" s="69" t="str">
        <f>IF(Main[[#This Row],[Tech Start Date]]&lt;1/1/1990,"",IF(Main[[#This Row],[Class]]="C",WORKDAY(Main[[#This Row],[Tech Start Date]],23),IF(Main[[#This Row],[Class]]="B", WORKDAY(Main[[#This Row],[Tech Start Date]],15),IF(Main[[#This Row],[Class]]="A",WORKDAY(Main[[#This Row],[Tech Start Date]],5),""))))</f>
        <v/>
      </c>
      <c r="P1097" s="69" t="str">
        <f>IF(Main[[#This Row],[Tech Start Date]]&lt;1/1/1990,"",IF(Main[[#This Row],[Class]]="C",WORKDAY(Main[[#This Row],[Tech Start Date]],28),IF(Main[[#This Row],[Class]]="B", WORKDAY(Main[[#This Row],[Tech Start Date]],19),IF(Main[[#This Row],[Class]]="A",WORKDAY(Main[[#This Row],[Tech Start Date]],9),""))))</f>
        <v/>
      </c>
      <c r="Q1097" s="67"/>
      <c r="R1097" s="67">
        <v>41289</v>
      </c>
      <c r="S1097" s="65" t="s">
        <v>17</v>
      </c>
      <c r="T1097" s="70" t="s">
        <v>4</v>
      </c>
      <c r="U1097" s="65" t="s">
        <v>29</v>
      </c>
      <c r="V1097" s="65" t="s">
        <v>1917</v>
      </c>
      <c r="W1097" s="65" t="s">
        <v>4</v>
      </c>
      <c r="X1097" s="65" t="s">
        <v>399</v>
      </c>
      <c r="Y1097" s="65" t="s">
        <v>4</v>
      </c>
      <c r="Z1097" s="65" t="s">
        <v>652</v>
      </c>
      <c r="AA1097" s="65" t="s">
        <v>4</v>
      </c>
    </row>
    <row r="1098" spans="1:27" ht="17.45" hidden="1" customHeight="1">
      <c r="A1098" s="100" t="str">
        <f>IF(priority(Main[[#This Row],[Comments]])&lt;&gt;0, priority(Main[[#This Row],[Comments]]),"")</f>
        <v/>
      </c>
      <c r="B1098" s="77" t="s">
        <v>2167</v>
      </c>
      <c r="C1098" s="65" t="s">
        <v>2160</v>
      </c>
      <c r="D1098" s="66" t="s">
        <v>2161</v>
      </c>
      <c r="E1098" s="67">
        <v>40781.399756944447</v>
      </c>
      <c r="F1098" s="67"/>
      <c r="G1098" s="64" t="str">
        <f>IF(stdProdLT(Main[[#This Row],[Comments]])=0.1,"N/A",IF(stdProdLT(Main[[#This Row],[Comments]])=0,"",stdProdLT(Main[[#This Row],[Comments]])))</f>
        <v/>
      </c>
      <c r="H1098" s="68" t="str">
        <f>IF(AND(Main[[#This Row],[In Stock Date]]&lt;&gt;"",Main[[#This Row],[Revised Due Date]]&lt;&gt;""),Main[[#This Row],[In Stock Date]]-Main[[#This Row],[Revised Due Date]],"")</f>
        <v/>
      </c>
      <c r="I1098" s="65" t="s">
        <v>530</v>
      </c>
      <c r="J1098" s="65" t="s">
        <v>21</v>
      </c>
      <c r="K1098" s="71" t="s">
        <v>1923</v>
      </c>
      <c r="L1098" s="67"/>
      <c r="M1098" s="69" t="str">
        <f>IF(Main[[#This Row],[Tech Start Date]]&lt;1/1/1990,"",IF(Main[[#This Row],[Class]]="C",WORKDAY(Main[[#This Row],[Tech Start Date]],9),IF(Main[[#This Row],[Class]]="B", WORKDAY(Main[[#This Row],[Tech Start Date]],6),IF(Main[[#This Row],[Class]]="A",WORKDAY(Main[[#This Row],[Tech Start Date]],2),""))))</f>
        <v/>
      </c>
      <c r="N1098" s="69" t="str">
        <f>IF(Main[[#This Row],[Tech Start Date]]&lt;1/1/1990,"",IF(Main[[#This Row],[Class]]="C",WORKDAY(Main[[#This Row],[Tech Start Date]],19),IF(Main[[#This Row],[Class]]="B", WORKDAY(Main[[#This Row],[Tech Start Date]],12),IF(Main[[#This Row],[Class]]="A",WORKDAY(Main[[#This Row],[Tech Start Date]],4),""))))</f>
        <v/>
      </c>
      <c r="O1098" s="69" t="str">
        <f>IF(Main[[#This Row],[Tech Start Date]]&lt;1/1/1990,"",IF(Main[[#This Row],[Class]]="C",WORKDAY(Main[[#This Row],[Tech Start Date]],23),IF(Main[[#This Row],[Class]]="B", WORKDAY(Main[[#This Row],[Tech Start Date]],15),IF(Main[[#This Row],[Class]]="A",WORKDAY(Main[[#This Row],[Tech Start Date]],5),""))))</f>
        <v/>
      </c>
      <c r="P1098" s="69" t="str">
        <f>IF(Main[[#This Row],[Tech Start Date]]&lt;1/1/1990,"",IF(Main[[#This Row],[Class]]="C",WORKDAY(Main[[#This Row],[Tech Start Date]],28),IF(Main[[#This Row],[Class]]="B", WORKDAY(Main[[#This Row],[Tech Start Date]],19),IF(Main[[#This Row],[Class]]="A",WORKDAY(Main[[#This Row],[Tech Start Date]],9),""))))</f>
        <v/>
      </c>
      <c r="Q1098" s="67">
        <v>40836</v>
      </c>
      <c r="R1098" s="67"/>
      <c r="S1098" s="65" t="s">
        <v>6</v>
      </c>
      <c r="T1098" s="70" t="s">
        <v>4</v>
      </c>
      <c r="U1098" s="65" t="s">
        <v>29</v>
      </c>
      <c r="V1098" s="65" t="s">
        <v>1917</v>
      </c>
      <c r="W1098" s="65" t="s">
        <v>1918</v>
      </c>
      <c r="X1098" s="65" t="s">
        <v>2836</v>
      </c>
      <c r="Y1098" s="65" t="s">
        <v>2965</v>
      </c>
      <c r="Z1098" s="65" t="s">
        <v>30</v>
      </c>
      <c r="AA1098" s="65" t="s">
        <v>2836</v>
      </c>
    </row>
    <row r="1099" spans="1:27" ht="17.45" hidden="1" customHeight="1">
      <c r="A1099" s="100" t="str">
        <f>IF(priority(Main[[#This Row],[Comments]])&lt;&gt;0, priority(Main[[#This Row],[Comments]]),"")</f>
        <v/>
      </c>
      <c r="B1099" s="77" t="s">
        <v>3547</v>
      </c>
      <c r="C1099" s="65" t="s">
        <v>4</v>
      </c>
      <c r="D1099" s="66" t="s">
        <v>3671</v>
      </c>
      <c r="E1099" s="67">
        <v>40949.264513888891</v>
      </c>
      <c r="F1099" s="67"/>
      <c r="G1099" s="64" t="str">
        <f>IF(stdProdLT(Main[[#This Row],[Comments]])=0.1,"N/A",IF(stdProdLT(Main[[#This Row],[Comments]])=0,"",stdProdLT(Main[[#This Row],[Comments]])))</f>
        <v/>
      </c>
      <c r="H1099" s="68" t="str">
        <f>IF(AND(Main[[#This Row],[In Stock Date]]&lt;&gt;"",Main[[#This Row],[Revised Due Date]]&lt;&gt;""),Main[[#This Row],[In Stock Date]]-Main[[#This Row],[Revised Due Date]],"")</f>
        <v/>
      </c>
      <c r="I1099" s="65" t="s">
        <v>69</v>
      </c>
      <c r="J1099" s="65" t="s">
        <v>70</v>
      </c>
      <c r="K1099" s="65" t="s">
        <v>1923</v>
      </c>
      <c r="L1099" s="67"/>
      <c r="M1099" s="69" t="str">
        <f>IF(Main[[#This Row],[Tech Start Date]]&lt;1/1/1990,"",IF(Main[[#This Row],[Class]]="C",WORKDAY(Main[[#This Row],[Tech Start Date]],9),IF(Main[[#This Row],[Class]]="B", WORKDAY(Main[[#This Row],[Tech Start Date]],6),IF(Main[[#This Row],[Class]]="A",WORKDAY(Main[[#This Row],[Tech Start Date]],2),""))))</f>
        <v/>
      </c>
      <c r="N1099" s="69" t="str">
        <f>IF(Main[[#This Row],[Tech Start Date]]&lt;1/1/1990,"",IF(Main[[#This Row],[Class]]="C",WORKDAY(Main[[#This Row],[Tech Start Date]],19),IF(Main[[#This Row],[Class]]="B", WORKDAY(Main[[#This Row],[Tech Start Date]],12),IF(Main[[#This Row],[Class]]="A",WORKDAY(Main[[#This Row],[Tech Start Date]],4),""))))</f>
        <v/>
      </c>
      <c r="O1099" s="69" t="str">
        <f>IF(Main[[#This Row],[Tech Start Date]]&lt;1/1/1990,"",IF(Main[[#This Row],[Class]]="C",WORKDAY(Main[[#This Row],[Tech Start Date]],23),IF(Main[[#This Row],[Class]]="B", WORKDAY(Main[[#This Row],[Tech Start Date]],15),IF(Main[[#This Row],[Class]]="A",WORKDAY(Main[[#This Row],[Tech Start Date]],5),""))))</f>
        <v/>
      </c>
      <c r="P1099" s="69" t="str">
        <f>IF(Main[[#This Row],[Tech Start Date]]&lt;1/1/1990,"",IF(Main[[#This Row],[Class]]="C",WORKDAY(Main[[#This Row],[Tech Start Date]],28),IF(Main[[#This Row],[Class]]="B", WORKDAY(Main[[#This Row],[Tech Start Date]],19),IF(Main[[#This Row],[Class]]="A",WORKDAY(Main[[#This Row],[Tech Start Date]],9),""))))</f>
        <v/>
      </c>
      <c r="Q1099" s="67">
        <v>40998</v>
      </c>
      <c r="R1099" s="67"/>
      <c r="S1099" s="65" t="s">
        <v>6</v>
      </c>
      <c r="T1099" s="70" t="s">
        <v>4</v>
      </c>
      <c r="U1099" s="65" t="s">
        <v>29</v>
      </c>
      <c r="V1099" s="65" t="s">
        <v>1917</v>
      </c>
      <c r="W1099" s="65" t="s">
        <v>1918</v>
      </c>
      <c r="X1099" s="65" t="s">
        <v>2822</v>
      </c>
      <c r="Y1099" s="65" t="s">
        <v>2938</v>
      </c>
      <c r="Z1099" s="65" t="s">
        <v>30</v>
      </c>
      <c r="AA1099" s="65" t="s">
        <v>2822</v>
      </c>
    </row>
    <row r="1100" spans="1:27" ht="17.45" hidden="1" customHeight="1">
      <c r="A1100" s="100" t="str">
        <f>IF(priority(Main[[#This Row],[Comments]])&lt;&gt;0, priority(Main[[#This Row],[Comments]]),"")</f>
        <v/>
      </c>
      <c r="B1100" s="77" t="s">
        <v>2055</v>
      </c>
      <c r="C1100" s="65" t="s">
        <v>4</v>
      </c>
      <c r="D1100" s="66" t="s">
        <v>2056</v>
      </c>
      <c r="E1100" s="67">
        <v>40757.464699074073</v>
      </c>
      <c r="F1100" s="67"/>
      <c r="G1100" s="64" t="str">
        <f>IF(stdProdLT(Main[[#This Row],[Comments]])=0.1,"N/A",IF(stdProdLT(Main[[#This Row],[Comments]])=0,"",stdProdLT(Main[[#This Row],[Comments]])))</f>
        <v/>
      </c>
      <c r="H1100" s="68" t="str">
        <f>IF(AND(Main[[#This Row],[In Stock Date]]&lt;&gt;"",Main[[#This Row],[Revised Due Date]]&lt;&gt;""),Main[[#This Row],[In Stock Date]]-Main[[#This Row],[Revised Due Date]],"")</f>
        <v/>
      </c>
      <c r="I1100" s="65" t="s">
        <v>4</v>
      </c>
      <c r="J1100" s="65" t="s">
        <v>4</v>
      </c>
      <c r="K1100" s="65" t="s">
        <v>4</v>
      </c>
      <c r="L1100" s="67"/>
      <c r="M1100" s="69" t="str">
        <f>IF(Main[[#This Row],[Tech Start Date]]&lt;1/1/1990,"",IF(Main[[#This Row],[Class]]="C",WORKDAY(Main[[#This Row],[Tech Start Date]],9),IF(Main[[#This Row],[Class]]="B", WORKDAY(Main[[#This Row],[Tech Start Date]],6),IF(Main[[#This Row],[Class]]="A",WORKDAY(Main[[#This Row],[Tech Start Date]],2),""))))</f>
        <v/>
      </c>
      <c r="N1100" s="69" t="str">
        <f>IF(Main[[#This Row],[Tech Start Date]]&lt;1/1/1990,"",IF(Main[[#This Row],[Class]]="C",WORKDAY(Main[[#This Row],[Tech Start Date]],19),IF(Main[[#This Row],[Class]]="B", WORKDAY(Main[[#This Row],[Tech Start Date]],12),IF(Main[[#This Row],[Class]]="A",WORKDAY(Main[[#This Row],[Tech Start Date]],4),""))))</f>
        <v/>
      </c>
      <c r="O1100" s="69" t="str">
        <f>IF(Main[[#This Row],[Tech Start Date]]&lt;1/1/1990,"",IF(Main[[#This Row],[Class]]="C",WORKDAY(Main[[#This Row],[Tech Start Date]],23),IF(Main[[#This Row],[Class]]="B", WORKDAY(Main[[#This Row],[Tech Start Date]],15),IF(Main[[#This Row],[Class]]="A",WORKDAY(Main[[#This Row],[Tech Start Date]],5),""))))</f>
        <v/>
      </c>
      <c r="P1100" s="69" t="str">
        <f>IF(Main[[#This Row],[Tech Start Date]]&lt;1/1/1990,"",IF(Main[[#This Row],[Class]]="C",WORKDAY(Main[[#This Row],[Tech Start Date]],28),IF(Main[[#This Row],[Class]]="B", WORKDAY(Main[[#This Row],[Tech Start Date]],19),IF(Main[[#This Row],[Class]]="A",WORKDAY(Main[[#This Row],[Tech Start Date]],9),""))))</f>
        <v/>
      </c>
      <c r="Q1100" s="67"/>
      <c r="R1100" s="67"/>
      <c r="S1100" s="65" t="s">
        <v>17</v>
      </c>
      <c r="T1100" s="70" t="s">
        <v>4</v>
      </c>
      <c r="U1100" s="65" t="s">
        <v>29</v>
      </c>
      <c r="V1100" s="65" t="s">
        <v>1917</v>
      </c>
      <c r="W1100" s="65" t="s">
        <v>4</v>
      </c>
      <c r="X1100" s="65" t="s">
        <v>652</v>
      </c>
      <c r="Y1100" s="65" t="s">
        <v>3126</v>
      </c>
      <c r="Z1100" s="65" t="s">
        <v>4</v>
      </c>
      <c r="AA1100" s="65" t="s">
        <v>652</v>
      </c>
    </row>
    <row r="1101" spans="1:27" ht="17.45" hidden="1" customHeight="1">
      <c r="A1101" s="100" t="str">
        <f>IF(priority(Main[[#This Row],[Comments]])&lt;&gt;0, priority(Main[[#This Row],[Comments]]),"")</f>
        <v/>
      </c>
      <c r="B1101" s="77" t="s">
        <v>2538</v>
      </c>
      <c r="C1101" s="65" t="s">
        <v>4</v>
      </c>
      <c r="D1101" s="66" t="s">
        <v>2539</v>
      </c>
      <c r="E1101" s="67"/>
      <c r="F1101" s="67"/>
      <c r="G1101" s="64" t="str">
        <f>IF(stdProdLT(Main[[#This Row],[Comments]])=0.1,"N/A",IF(stdProdLT(Main[[#This Row],[Comments]])=0,"",stdProdLT(Main[[#This Row],[Comments]])))</f>
        <v/>
      </c>
      <c r="H1101" s="68" t="str">
        <f>IF(AND(Main[[#This Row],[In Stock Date]]&lt;&gt;"",Main[[#This Row],[Revised Due Date]]&lt;&gt;""),Main[[#This Row],[In Stock Date]]-Main[[#This Row],[Revised Due Date]],"")</f>
        <v/>
      </c>
      <c r="I1101" s="65" t="s">
        <v>4</v>
      </c>
      <c r="J1101" s="65" t="s">
        <v>4</v>
      </c>
      <c r="K1101" s="71" t="s">
        <v>4</v>
      </c>
      <c r="L1101" s="67"/>
      <c r="M1101" s="69" t="str">
        <f>IF(Main[[#This Row],[Tech Start Date]]&lt;1/1/1990,"",IF(Main[[#This Row],[Class]]="C",WORKDAY(Main[[#This Row],[Tech Start Date]],9),IF(Main[[#This Row],[Class]]="B", WORKDAY(Main[[#This Row],[Tech Start Date]],6),IF(Main[[#This Row],[Class]]="A",WORKDAY(Main[[#This Row],[Tech Start Date]],2),""))))</f>
        <v/>
      </c>
      <c r="N1101" s="69" t="str">
        <f>IF(Main[[#This Row],[Tech Start Date]]&lt;1/1/1990,"",IF(Main[[#This Row],[Class]]="C",WORKDAY(Main[[#This Row],[Tech Start Date]],19),IF(Main[[#This Row],[Class]]="B", WORKDAY(Main[[#This Row],[Tech Start Date]],12),IF(Main[[#This Row],[Class]]="A",WORKDAY(Main[[#This Row],[Tech Start Date]],4),""))))</f>
        <v/>
      </c>
      <c r="O1101" s="69" t="str">
        <f>IF(Main[[#This Row],[Tech Start Date]]&lt;1/1/1990,"",IF(Main[[#This Row],[Class]]="C",WORKDAY(Main[[#This Row],[Tech Start Date]],23),IF(Main[[#This Row],[Class]]="B", WORKDAY(Main[[#This Row],[Tech Start Date]],15),IF(Main[[#This Row],[Class]]="A",WORKDAY(Main[[#This Row],[Tech Start Date]],5),""))))</f>
        <v/>
      </c>
      <c r="P1101" s="69" t="str">
        <f>IF(Main[[#This Row],[Tech Start Date]]&lt;1/1/1990,"",IF(Main[[#This Row],[Class]]="C",WORKDAY(Main[[#This Row],[Tech Start Date]],28),IF(Main[[#This Row],[Class]]="B", WORKDAY(Main[[#This Row],[Tech Start Date]],19),IF(Main[[#This Row],[Class]]="A",WORKDAY(Main[[#This Row],[Tech Start Date]],9),""))))</f>
        <v/>
      </c>
      <c r="Q1101" s="67"/>
      <c r="R1101" s="67"/>
      <c r="S1101" s="65" t="s">
        <v>6</v>
      </c>
      <c r="T1101" s="70" t="s">
        <v>4</v>
      </c>
      <c r="U1101" s="65" t="s">
        <v>14</v>
      </c>
      <c r="V1101" s="65" t="s">
        <v>1924</v>
      </c>
      <c r="W1101" s="65" t="s">
        <v>1918</v>
      </c>
      <c r="X1101" s="65" t="s">
        <v>102</v>
      </c>
      <c r="Y1101" s="65" t="s">
        <v>3129</v>
      </c>
      <c r="Z1101" s="65" t="s">
        <v>4</v>
      </c>
      <c r="AA1101" s="65" t="s">
        <v>3424</v>
      </c>
    </row>
    <row r="1102" spans="1:27" ht="17.45" hidden="1" customHeight="1">
      <c r="A1102" s="100" t="str">
        <f>IF(priority(Main[[#This Row],[Comments]])&lt;&gt;0, priority(Main[[#This Row],[Comments]]),"")</f>
        <v/>
      </c>
      <c r="B1102" s="77" t="s">
        <v>1735</v>
      </c>
      <c r="C1102" s="65" t="s">
        <v>4</v>
      </c>
      <c r="D1102" s="66" t="s">
        <v>3276</v>
      </c>
      <c r="E1102" s="67">
        <v>40540.606365740743</v>
      </c>
      <c r="F1102" s="67"/>
      <c r="G1102" s="64" t="str">
        <f>IF(stdProdLT(Main[[#This Row],[Comments]])=0.1,"N/A",IF(stdProdLT(Main[[#This Row],[Comments]])=0,"",stdProdLT(Main[[#This Row],[Comments]])))</f>
        <v/>
      </c>
      <c r="H1102" s="68" t="str">
        <f>IF(AND(Main[[#This Row],[In Stock Date]]&lt;&gt;"",Main[[#This Row],[Revised Due Date]]&lt;&gt;""),Main[[#This Row],[In Stock Date]]-Main[[#This Row],[Revised Due Date]],"")</f>
        <v/>
      </c>
      <c r="I1102" s="65" t="s">
        <v>1976</v>
      </c>
      <c r="J1102" s="65" t="s">
        <v>28</v>
      </c>
      <c r="K1102" s="65" t="s">
        <v>1926</v>
      </c>
      <c r="L1102" s="67"/>
      <c r="M1102" s="69" t="str">
        <f>IF(Main[[#This Row],[Tech Start Date]]&lt;1/1/1990,"",IF(Main[[#This Row],[Class]]="C",WORKDAY(Main[[#This Row],[Tech Start Date]],9),IF(Main[[#This Row],[Class]]="B", WORKDAY(Main[[#This Row],[Tech Start Date]],6),IF(Main[[#This Row],[Class]]="A",WORKDAY(Main[[#This Row],[Tech Start Date]],2),""))))</f>
        <v/>
      </c>
      <c r="N1102" s="69" t="str">
        <f>IF(Main[[#This Row],[Tech Start Date]]&lt;1/1/1990,"",IF(Main[[#This Row],[Class]]="C",WORKDAY(Main[[#This Row],[Tech Start Date]],19),IF(Main[[#This Row],[Class]]="B", WORKDAY(Main[[#This Row],[Tech Start Date]],12),IF(Main[[#This Row],[Class]]="A",WORKDAY(Main[[#This Row],[Tech Start Date]],4),""))))</f>
        <v/>
      </c>
      <c r="O1102" s="69" t="str">
        <f>IF(Main[[#This Row],[Tech Start Date]]&lt;1/1/1990,"",IF(Main[[#This Row],[Class]]="C",WORKDAY(Main[[#This Row],[Tech Start Date]],23),IF(Main[[#This Row],[Class]]="B", WORKDAY(Main[[#This Row],[Tech Start Date]],15),IF(Main[[#This Row],[Class]]="A",WORKDAY(Main[[#This Row],[Tech Start Date]],5),""))))</f>
        <v/>
      </c>
      <c r="P1102" s="69" t="str">
        <f>IF(Main[[#This Row],[Tech Start Date]]&lt;1/1/1990,"",IF(Main[[#This Row],[Class]]="C",WORKDAY(Main[[#This Row],[Tech Start Date]],28),IF(Main[[#This Row],[Class]]="B", WORKDAY(Main[[#This Row],[Tech Start Date]],19),IF(Main[[#This Row],[Class]]="A",WORKDAY(Main[[#This Row],[Tech Start Date]],9),""))))</f>
        <v/>
      </c>
      <c r="Q1102" s="67"/>
      <c r="R1102" s="67">
        <v>40875</v>
      </c>
      <c r="S1102" s="65" t="s">
        <v>17</v>
      </c>
      <c r="T1102" s="70" t="s">
        <v>4</v>
      </c>
      <c r="U1102" s="65" t="s">
        <v>29</v>
      </c>
      <c r="V1102" s="65" t="s">
        <v>1917</v>
      </c>
      <c r="W1102" s="65" t="s">
        <v>1919</v>
      </c>
      <c r="X1102" s="65" t="s">
        <v>553</v>
      </c>
      <c r="Y1102" s="65" t="s">
        <v>2952</v>
      </c>
      <c r="Z1102" s="65" t="s">
        <v>652</v>
      </c>
      <c r="AA1102" s="65" t="s">
        <v>553</v>
      </c>
    </row>
    <row r="1103" spans="1:27" ht="17.45" hidden="1" customHeight="1">
      <c r="A1103" s="100" t="str">
        <f>IF(priority(Main[[#This Row],[Comments]])&lt;&gt;0, priority(Main[[#This Row],[Comments]]),"")</f>
        <v/>
      </c>
      <c r="B1103" s="77" t="s">
        <v>1296</v>
      </c>
      <c r="C1103" s="65" t="s">
        <v>4</v>
      </c>
      <c r="D1103" s="66" t="s">
        <v>369</v>
      </c>
      <c r="E1103" s="67">
        <v>40610.689421296294</v>
      </c>
      <c r="F1103" s="67"/>
      <c r="G1103" s="64" t="str">
        <f>IF(stdProdLT(Main[[#This Row],[Comments]])=0.1,"N/A",IF(stdProdLT(Main[[#This Row],[Comments]])=0,"",stdProdLT(Main[[#This Row],[Comments]])))</f>
        <v/>
      </c>
      <c r="H1103" s="68" t="str">
        <f>IF(AND(Main[[#This Row],[In Stock Date]]&lt;&gt;"",Main[[#This Row],[Revised Due Date]]&lt;&gt;""),Main[[#This Row],[In Stock Date]]-Main[[#This Row],[Revised Due Date]],"")</f>
        <v/>
      </c>
      <c r="I1103" s="65" t="s">
        <v>239</v>
      </c>
      <c r="J1103" s="65" t="s">
        <v>28</v>
      </c>
      <c r="K1103" s="65" t="s">
        <v>1923</v>
      </c>
      <c r="L1103" s="67"/>
      <c r="M1103" s="69" t="str">
        <f>IF(Main[[#This Row],[Tech Start Date]]&lt;1/1/1990,"",IF(Main[[#This Row],[Class]]="C",WORKDAY(Main[[#This Row],[Tech Start Date]],9),IF(Main[[#This Row],[Class]]="B", WORKDAY(Main[[#This Row],[Tech Start Date]],6),IF(Main[[#This Row],[Class]]="A",WORKDAY(Main[[#This Row],[Tech Start Date]],2),""))))</f>
        <v/>
      </c>
      <c r="N1103" s="69" t="str">
        <f>IF(Main[[#This Row],[Tech Start Date]]&lt;1/1/1990,"",IF(Main[[#This Row],[Class]]="C",WORKDAY(Main[[#This Row],[Tech Start Date]],19),IF(Main[[#This Row],[Class]]="B", WORKDAY(Main[[#This Row],[Tech Start Date]],12),IF(Main[[#This Row],[Class]]="A",WORKDAY(Main[[#This Row],[Tech Start Date]],4),""))))</f>
        <v/>
      </c>
      <c r="O1103" s="69" t="str">
        <f>IF(Main[[#This Row],[Tech Start Date]]&lt;1/1/1990,"",IF(Main[[#This Row],[Class]]="C",WORKDAY(Main[[#This Row],[Tech Start Date]],23),IF(Main[[#This Row],[Class]]="B", WORKDAY(Main[[#This Row],[Tech Start Date]],15),IF(Main[[#This Row],[Class]]="A",WORKDAY(Main[[#This Row],[Tech Start Date]],5),""))))</f>
        <v/>
      </c>
      <c r="P1103" s="69" t="str">
        <f>IF(Main[[#This Row],[Tech Start Date]]&lt;1/1/1990,"",IF(Main[[#This Row],[Class]]="C",WORKDAY(Main[[#This Row],[Tech Start Date]],28),IF(Main[[#This Row],[Class]]="B", WORKDAY(Main[[#This Row],[Tech Start Date]],19),IF(Main[[#This Row],[Class]]="A",WORKDAY(Main[[#This Row],[Tech Start Date]],9),""))))</f>
        <v/>
      </c>
      <c r="Q1103" s="67">
        <v>40695</v>
      </c>
      <c r="R1103" s="67"/>
      <c r="S1103" s="65" t="s">
        <v>6</v>
      </c>
      <c r="T1103" s="70" t="s">
        <v>4</v>
      </c>
      <c r="U1103" s="65" t="s">
        <v>29</v>
      </c>
      <c r="V1103" s="65" t="s">
        <v>1917</v>
      </c>
      <c r="W1103" s="65" t="s">
        <v>1916</v>
      </c>
      <c r="X1103" s="65" t="s">
        <v>553</v>
      </c>
      <c r="Y1103" s="65" t="s">
        <v>2952</v>
      </c>
      <c r="Z1103" s="65" t="s">
        <v>306</v>
      </c>
      <c r="AA1103" s="65" t="s">
        <v>553</v>
      </c>
    </row>
    <row r="1104" spans="1:27" ht="17.45" hidden="1" customHeight="1">
      <c r="A1104" s="100" t="str">
        <f>IF(priority(Main[[#This Row],[Comments]])&lt;&gt;0, priority(Main[[#This Row],[Comments]]),"")</f>
        <v/>
      </c>
      <c r="B1104" s="77" t="s">
        <v>2545</v>
      </c>
      <c r="C1104" s="65" t="s">
        <v>2546</v>
      </c>
      <c r="D1104" s="66" t="s">
        <v>2547</v>
      </c>
      <c r="E1104" s="67"/>
      <c r="F1104" s="67"/>
      <c r="G1104" s="64" t="str">
        <f>IF(stdProdLT(Main[[#This Row],[Comments]])=0.1,"N/A",IF(stdProdLT(Main[[#This Row],[Comments]])=0,"",stdProdLT(Main[[#This Row],[Comments]])))</f>
        <v/>
      </c>
      <c r="H1104" s="68" t="str">
        <f>IF(AND(Main[[#This Row],[In Stock Date]]&lt;&gt;"",Main[[#This Row],[Revised Due Date]]&lt;&gt;""),Main[[#This Row],[In Stock Date]]-Main[[#This Row],[Revised Due Date]],"")</f>
        <v/>
      </c>
      <c r="I1104" s="65" t="s">
        <v>4</v>
      </c>
      <c r="J1104" s="65" t="s">
        <v>4</v>
      </c>
      <c r="K1104" s="65" t="s">
        <v>4</v>
      </c>
      <c r="L1104" s="67"/>
      <c r="M1104" s="69" t="str">
        <f>IF(Main[[#This Row],[Tech Start Date]]&lt;1/1/1990,"",IF(Main[[#This Row],[Class]]="C",WORKDAY(Main[[#This Row],[Tech Start Date]],9),IF(Main[[#This Row],[Class]]="B", WORKDAY(Main[[#This Row],[Tech Start Date]],6),IF(Main[[#This Row],[Class]]="A",WORKDAY(Main[[#This Row],[Tech Start Date]],2),""))))</f>
        <v/>
      </c>
      <c r="N1104" s="69" t="str">
        <f>IF(Main[[#This Row],[Tech Start Date]]&lt;1/1/1990,"",IF(Main[[#This Row],[Class]]="C",WORKDAY(Main[[#This Row],[Tech Start Date]],19),IF(Main[[#This Row],[Class]]="B", WORKDAY(Main[[#This Row],[Tech Start Date]],12),IF(Main[[#This Row],[Class]]="A",WORKDAY(Main[[#This Row],[Tech Start Date]],4),""))))</f>
        <v/>
      </c>
      <c r="O1104" s="69" t="str">
        <f>IF(Main[[#This Row],[Tech Start Date]]&lt;1/1/1990,"",IF(Main[[#This Row],[Class]]="C",WORKDAY(Main[[#This Row],[Tech Start Date]],23),IF(Main[[#This Row],[Class]]="B", WORKDAY(Main[[#This Row],[Tech Start Date]],15),IF(Main[[#This Row],[Class]]="A",WORKDAY(Main[[#This Row],[Tech Start Date]],5),""))))</f>
        <v/>
      </c>
      <c r="P1104" s="69" t="str">
        <f>IF(Main[[#This Row],[Tech Start Date]]&lt;1/1/1990,"",IF(Main[[#This Row],[Class]]="C",WORKDAY(Main[[#This Row],[Tech Start Date]],28),IF(Main[[#This Row],[Class]]="B", WORKDAY(Main[[#This Row],[Tech Start Date]],19),IF(Main[[#This Row],[Class]]="A",WORKDAY(Main[[#This Row],[Tech Start Date]],9),""))))</f>
        <v/>
      </c>
      <c r="Q1104" s="67"/>
      <c r="R1104" s="67"/>
      <c r="S1104" s="65" t="s">
        <v>11</v>
      </c>
      <c r="T1104" s="70" t="s">
        <v>4</v>
      </c>
      <c r="U1104" s="65" t="s">
        <v>14</v>
      </c>
      <c r="V1104" s="65" t="s">
        <v>1915</v>
      </c>
      <c r="W1104" s="65" t="s">
        <v>1916</v>
      </c>
      <c r="X1104" s="65" t="s">
        <v>2816</v>
      </c>
      <c r="Y1104" s="65" t="s">
        <v>2993</v>
      </c>
      <c r="Z1104" s="65" t="s">
        <v>4</v>
      </c>
      <c r="AA1104" s="65" t="s">
        <v>3463</v>
      </c>
    </row>
    <row r="1105" spans="1:27" ht="17.45" hidden="1" customHeight="1">
      <c r="A1105" s="100" t="str">
        <f>IF(priority(Main[[#This Row],[Comments]])&lt;&gt;0, priority(Main[[#This Row],[Comments]]),"")</f>
        <v/>
      </c>
      <c r="B1105" s="77" t="s">
        <v>1321</v>
      </c>
      <c r="C1105" s="65" t="s">
        <v>4</v>
      </c>
      <c r="D1105" s="66" t="s">
        <v>3672</v>
      </c>
      <c r="E1105" s="67">
        <v>40585.595960648148</v>
      </c>
      <c r="F1105" s="67"/>
      <c r="G1105" s="64" t="str">
        <f>IF(stdProdLT(Main[[#This Row],[Comments]])=0.1,"N/A",IF(stdProdLT(Main[[#This Row],[Comments]])=0,"",stdProdLT(Main[[#This Row],[Comments]])))</f>
        <v/>
      </c>
      <c r="H1105" s="68" t="str">
        <f>IF(AND(Main[[#This Row],[In Stock Date]]&lt;&gt;"",Main[[#This Row],[Revised Due Date]]&lt;&gt;""),Main[[#This Row],[In Stock Date]]-Main[[#This Row],[Revised Due Date]],"")</f>
        <v/>
      </c>
      <c r="I1105" s="65" t="s">
        <v>74</v>
      </c>
      <c r="J1105" s="65" t="s">
        <v>4</v>
      </c>
      <c r="K1105" s="71" t="s">
        <v>4</v>
      </c>
      <c r="L1105" s="67"/>
      <c r="M1105" s="69" t="str">
        <f>IF(Main[[#This Row],[Tech Start Date]]&lt;1/1/1990,"",IF(Main[[#This Row],[Class]]="C",WORKDAY(Main[[#This Row],[Tech Start Date]],9),IF(Main[[#This Row],[Class]]="B", WORKDAY(Main[[#This Row],[Tech Start Date]],6),IF(Main[[#This Row],[Class]]="A",WORKDAY(Main[[#This Row],[Tech Start Date]],2),""))))</f>
        <v/>
      </c>
      <c r="N1105" s="69" t="str">
        <f>IF(Main[[#This Row],[Tech Start Date]]&lt;1/1/1990,"",IF(Main[[#This Row],[Class]]="C",WORKDAY(Main[[#This Row],[Tech Start Date]],19),IF(Main[[#This Row],[Class]]="B", WORKDAY(Main[[#This Row],[Tech Start Date]],12),IF(Main[[#This Row],[Class]]="A",WORKDAY(Main[[#This Row],[Tech Start Date]],4),""))))</f>
        <v/>
      </c>
      <c r="O1105" s="69" t="str">
        <f>IF(Main[[#This Row],[Tech Start Date]]&lt;1/1/1990,"",IF(Main[[#This Row],[Class]]="C",WORKDAY(Main[[#This Row],[Tech Start Date]],23),IF(Main[[#This Row],[Class]]="B", WORKDAY(Main[[#This Row],[Tech Start Date]],15),IF(Main[[#This Row],[Class]]="A",WORKDAY(Main[[#This Row],[Tech Start Date]],5),""))))</f>
        <v/>
      </c>
      <c r="P1105" s="69" t="str">
        <f>IF(Main[[#This Row],[Tech Start Date]]&lt;1/1/1990,"",IF(Main[[#This Row],[Class]]="C",WORKDAY(Main[[#This Row],[Tech Start Date]],28),IF(Main[[#This Row],[Class]]="B", WORKDAY(Main[[#This Row],[Tech Start Date]],19),IF(Main[[#This Row],[Class]]="A",WORKDAY(Main[[#This Row],[Tech Start Date]],9),""))))</f>
        <v/>
      </c>
      <c r="Q1105" s="67">
        <v>40592</v>
      </c>
      <c r="R1105" s="67"/>
      <c r="S1105" s="65" t="s">
        <v>6</v>
      </c>
      <c r="T1105" s="70" t="s">
        <v>4</v>
      </c>
      <c r="U1105" s="65" t="s">
        <v>29</v>
      </c>
      <c r="V1105" s="65" t="s">
        <v>1917</v>
      </c>
      <c r="W1105" s="65" t="s">
        <v>1918</v>
      </c>
      <c r="X1105" s="65" t="s">
        <v>74</v>
      </c>
      <c r="Y1105" s="65" t="s">
        <v>3031</v>
      </c>
      <c r="Z1105" s="65" t="s">
        <v>415</v>
      </c>
      <c r="AA1105" s="65" t="s">
        <v>74</v>
      </c>
    </row>
    <row r="1106" spans="1:27" ht="17.45" hidden="1" customHeight="1">
      <c r="A1106" s="100" t="str">
        <f>IF(priority(Main[[#This Row],[Comments]])&lt;&gt;0, priority(Main[[#This Row],[Comments]]),"")</f>
        <v/>
      </c>
      <c r="B1106" s="77" t="s">
        <v>2333</v>
      </c>
      <c r="C1106" s="65" t="s">
        <v>4</v>
      </c>
      <c r="D1106" s="66" t="s">
        <v>2334</v>
      </c>
      <c r="E1106" s="67"/>
      <c r="F1106" s="67"/>
      <c r="G1106" s="64" t="str">
        <f>IF(stdProdLT(Main[[#This Row],[Comments]])=0.1,"N/A",IF(stdProdLT(Main[[#This Row],[Comments]])=0,"",stdProdLT(Main[[#This Row],[Comments]])))</f>
        <v/>
      </c>
      <c r="H1106" s="68" t="str">
        <f>IF(AND(Main[[#This Row],[In Stock Date]]&lt;&gt;"",Main[[#This Row],[Revised Due Date]]&lt;&gt;""),Main[[#This Row],[In Stock Date]]-Main[[#This Row],[Revised Due Date]],"")</f>
        <v/>
      </c>
      <c r="I1106" s="65" t="s">
        <v>4</v>
      </c>
      <c r="J1106" s="65" t="s">
        <v>4</v>
      </c>
      <c r="K1106" s="65" t="s">
        <v>4</v>
      </c>
      <c r="L1106" s="67"/>
      <c r="M1106" s="69" t="str">
        <f>IF(Main[[#This Row],[Tech Start Date]]&lt;1/1/1990,"",IF(Main[[#This Row],[Class]]="C",WORKDAY(Main[[#This Row],[Tech Start Date]],9),IF(Main[[#This Row],[Class]]="B", WORKDAY(Main[[#This Row],[Tech Start Date]],6),IF(Main[[#This Row],[Class]]="A",WORKDAY(Main[[#This Row],[Tech Start Date]],2),""))))</f>
        <v/>
      </c>
      <c r="N1106" s="69" t="str">
        <f>IF(Main[[#This Row],[Tech Start Date]]&lt;1/1/1990,"",IF(Main[[#This Row],[Class]]="C",WORKDAY(Main[[#This Row],[Tech Start Date]],19),IF(Main[[#This Row],[Class]]="B", WORKDAY(Main[[#This Row],[Tech Start Date]],12),IF(Main[[#This Row],[Class]]="A",WORKDAY(Main[[#This Row],[Tech Start Date]],4),""))))</f>
        <v/>
      </c>
      <c r="O1106" s="69" t="str">
        <f>IF(Main[[#This Row],[Tech Start Date]]&lt;1/1/1990,"",IF(Main[[#This Row],[Class]]="C",WORKDAY(Main[[#This Row],[Tech Start Date]],23),IF(Main[[#This Row],[Class]]="B", WORKDAY(Main[[#This Row],[Tech Start Date]],15),IF(Main[[#This Row],[Class]]="A",WORKDAY(Main[[#This Row],[Tech Start Date]],5),""))))</f>
        <v/>
      </c>
      <c r="P1106" s="69" t="str">
        <f>IF(Main[[#This Row],[Tech Start Date]]&lt;1/1/1990,"",IF(Main[[#This Row],[Class]]="C",WORKDAY(Main[[#This Row],[Tech Start Date]],28),IF(Main[[#This Row],[Class]]="B", WORKDAY(Main[[#This Row],[Tech Start Date]],19),IF(Main[[#This Row],[Class]]="A",WORKDAY(Main[[#This Row],[Tech Start Date]],9),""))))</f>
        <v/>
      </c>
      <c r="Q1106" s="67"/>
      <c r="R1106" s="67"/>
      <c r="S1106" s="65" t="s">
        <v>11</v>
      </c>
      <c r="T1106" s="70" t="s">
        <v>4</v>
      </c>
      <c r="U1106" s="65" t="s">
        <v>14</v>
      </c>
      <c r="V1106" s="65" t="s">
        <v>1914</v>
      </c>
      <c r="W1106" s="65" t="s">
        <v>1922</v>
      </c>
      <c r="X1106" s="65" t="s">
        <v>306</v>
      </c>
      <c r="Y1106" s="65" t="s">
        <v>2941</v>
      </c>
      <c r="Z1106" s="65" t="s">
        <v>4</v>
      </c>
      <c r="AA1106" s="65" t="s">
        <v>306</v>
      </c>
    </row>
    <row r="1107" spans="1:27" ht="17.45" hidden="1" customHeight="1">
      <c r="A1107" s="100" t="str">
        <f>IF(priority(Main[[#This Row],[Comments]])&lt;&gt;0, priority(Main[[#This Row],[Comments]]),"")</f>
        <v/>
      </c>
      <c r="B1107" s="77" t="s">
        <v>2548</v>
      </c>
      <c r="C1107" s="65" t="s">
        <v>4</v>
      </c>
      <c r="D1107" s="66" t="s">
        <v>2769</v>
      </c>
      <c r="E1107" s="67">
        <v>40870.465879629628</v>
      </c>
      <c r="F1107" s="67"/>
      <c r="G1107" s="64" t="str">
        <f>IF(stdProdLT(Main[[#This Row],[Comments]])=0.1,"N/A",IF(stdProdLT(Main[[#This Row],[Comments]])=0,"",stdProdLT(Main[[#This Row],[Comments]])))</f>
        <v/>
      </c>
      <c r="H1107" s="68" t="str">
        <f>IF(AND(Main[[#This Row],[In Stock Date]]&lt;&gt;"",Main[[#This Row],[Revised Due Date]]&lt;&gt;""),Main[[#This Row],[In Stock Date]]-Main[[#This Row],[Revised Due Date]],"")</f>
        <v/>
      </c>
      <c r="I1107" s="65" t="s">
        <v>429</v>
      </c>
      <c r="J1107" s="65" t="s">
        <v>28</v>
      </c>
      <c r="K1107" s="65" t="s">
        <v>1923</v>
      </c>
      <c r="L1107" s="67"/>
      <c r="M1107" s="69" t="str">
        <f>IF(Main[[#This Row],[Tech Start Date]]&lt;1/1/1990,"",IF(Main[[#This Row],[Class]]="C",WORKDAY(Main[[#This Row],[Tech Start Date]],9),IF(Main[[#This Row],[Class]]="B", WORKDAY(Main[[#This Row],[Tech Start Date]],6),IF(Main[[#This Row],[Class]]="A",WORKDAY(Main[[#This Row],[Tech Start Date]],2),""))))</f>
        <v/>
      </c>
      <c r="N1107" s="69" t="str">
        <f>IF(Main[[#This Row],[Tech Start Date]]&lt;1/1/1990,"",IF(Main[[#This Row],[Class]]="C",WORKDAY(Main[[#This Row],[Tech Start Date]],19),IF(Main[[#This Row],[Class]]="B", WORKDAY(Main[[#This Row],[Tech Start Date]],12),IF(Main[[#This Row],[Class]]="A",WORKDAY(Main[[#This Row],[Tech Start Date]],4),""))))</f>
        <v/>
      </c>
      <c r="O1107" s="69" t="str">
        <f>IF(Main[[#This Row],[Tech Start Date]]&lt;1/1/1990,"",IF(Main[[#This Row],[Class]]="C",WORKDAY(Main[[#This Row],[Tech Start Date]],23),IF(Main[[#This Row],[Class]]="B", WORKDAY(Main[[#This Row],[Tech Start Date]],15),IF(Main[[#This Row],[Class]]="A",WORKDAY(Main[[#This Row],[Tech Start Date]],5),""))))</f>
        <v/>
      </c>
      <c r="P1107" s="69" t="str">
        <f>IF(Main[[#This Row],[Tech Start Date]]&lt;1/1/1990,"",IF(Main[[#This Row],[Class]]="C",WORKDAY(Main[[#This Row],[Tech Start Date]],28),IF(Main[[#This Row],[Class]]="B", WORKDAY(Main[[#This Row],[Tech Start Date]],19),IF(Main[[#This Row],[Class]]="A",WORKDAY(Main[[#This Row],[Tech Start Date]],9),""))))</f>
        <v/>
      </c>
      <c r="Q1107" s="67">
        <v>40905</v>
      </c>
      <c r="R1107" s="67"/>
      <c r="S1107" s="65" t="s">
        <v>6</v>
      </c>
      <c r="T1107" s="70" t="s">
        <v>4</v>
      </c>
      <c r="U1107" s="65" t="s">
        <v>29</v>
      </c>
      <c r="V1107" s="65" t="s">
        <v>1917</v>
      </c>
      <c r="W1107" s="65" t="s">
        <v>1918</v>
      </c>
      <c r="X1107" s="65" t="s">
        <v>2051</v>
      </c>
      <c r="Y1107" s="65" t="s">
        <v>3060</v>
      </c>
      <c r="Z1107" s="65" t="s">
        <v>30</v>
      </c>
      <c r="AA1107" s="65" t="s">
        <v>2895</v>
      </c>
    </row>
    <row r="1108" spans="1:27" ht="17.45" hidden="1" customHeight="1">
      <c r="A1108" s="100" t="str">
        <f>IF(priority(Main[[#This Row],[Comments]])&lt;&gt;0, priority(Main[[#This Row],[Comments]]),"")</f>
        <v/>
      </c>
      <c r="B1108" s="77" t="s">
        <v>2514</v>
      </c>
      <c r="C1108" s="65" t="s">
        <v>4</v>
      </c>
      <c r="D1108" s="66" t="s">
        <v>2770</v>
      </c>
      <c r="E1108" s="67">
        <v>40870.466527777775</v>
      </c>
      <c r="F1108" s="67"/>
      <c r="G1108" s="64" t="str">
        <f>IF(stdProdLT(Main[[#This Row],[Comments]])=0.1,"N/A",IF(stdProdLT(Main[[#This Row],[Comments]])=0,"",stdProdLT(Main[[#This Row],[Comments]])))</f>
        <v/>
      </c>
      <c r="H1108" s="68" t="str">
        <f>IF(AND(Main[[#This Row],[In Stock Date]]&lt;&gt;"",Main[[#This Row],[Revised Due Date]]&lt;&gt;""),Main[[#This Row],[In Stock Date]]-Main[[#This Row],[Revised Due Date]],"")</f>
        <v/>
      </c>
      <c r="I1108" s="65" t="s">
        <v>429</v>
      </c>
      <c r="J1108" s="65" t="s">
        <v>28</v>
      </c>
      <c r="K1108" s="65" t="s">
        <v>1923</v>
      </c>
      <c r="L1108" s="67"/>
      <c r="M1108" s="69" t="str">
        <f>IF(Main[[#This Row],[Tech Start Date]]&lt;1/1/1990,"",IF(Main[[#This Row],[Class]]="C",WORKDAY(Main[[#This Row],[Tech Start Date]],9),IF(Main[[#This Row],[Class]]="B", WORKDAY(Main[[#This Row],[Tech Start Date]],6),IF(Main[[#This Row],[Class]]="A",WORKDAY(Main[[#This Row],[Tech Start Date]],2),""))))</f>
        <v/>
      </c>
      <c r="N1108" s="69" t="str">
        <f>IF(Main[[#This Row],[Tech Start Date]]&lt;1/1/1990,"",IF(Main[[#This Row],[Class]]="C",WORKDAY(Main[[#This Row],[Tech Start Date]],19),IF(Main[[#This Row],[Class]]="B", WORKDAY(Main[[#This Row],[Tech Start Date]],12),IF(Main[[#This Row],[Class]]="A",WORKDAY(Main[[#This Row],[Tech Start Date]],4),""))))</f>
        <v/>
      </c>
      <c r="O1108" s="69" t="str">
        <f>IF(Main[[#This Row],[Tech Start Date]]&lt;1/1/1990,"",IF(Main[[#This Row],[Class]]="C",WORKDAY(Main[[#This Row],[Tech Start Date]],23),IF(Main[[#This Row],[Class]]="B", WORKDAY(Main[[#This Row],[Tech Start Date]],15),IF(Main[[#This Row],[Class]]="A",WORKDAY(Main[[#This Row],[Tech Start Date]],5),""))))</f>
        <v/>
      </c>
      <c r="P1108" s="69" t="str">
        <f>IF(Main[[#This Row],[Tech Start Date]]&lt;1/1/1990,"",IF(Main[[#This Row],[Class]]="C",WORKDAY(Main[[#This Row],[Tech Start Date]],28),IF(Main[[#This Row],[Class]]="B", WORKDAY(Main[[#This Row],[Tech Start Date]],19),IF(Main[[#This Row],[Class]]="A",WORKDAY(Main[[#This Row],[Tech Start Date]],9),""))))</f>
        <v/>
      </c>
      <c r="Q1108" s="67">
        <v>40905</v>
      </c>
      <c r="R1108" s="67"/>
      <c r="S1108" s="65" t="s">
        <v>6</v>
      </c>
      <c r="T1108" s="70" t="s">
        <v>4</v>
      </c>
      <c r="U1108" s="65" t="s">
        <v>29</v>
      </c>
      <c r="V1108" s="65" t="s">
        <v>1917</v>
      </c>
      <c r="W1108" s="65" t="s">
        <v>1918</v>
      </c>
      <c r="X1108" s="65" t="s">
        <v>2051</v>
      </c>
      <c r="Y1108" s="65" t="s">
        <v>3060</v>
      </c>
      <c r="Z1108" s="65" t="s">
        <v>30</v>
      </c>
      <c r="AA1108" s="65" t="s">
        <v>2895</v>
      </c>
    </row>
    <row r="1109" spans="1:27" ht="17.45" hidden="1" customHeight="1">
      <c r="A1109" s="100">
        <f>IF(priority(Main[[#This Row],[Comments]])&lt;&gt;0, priority(Main[[#This Row],[Comments]]),"")</f>
        <v>15</v>
      </c>
      <c r="B1109" s="77" t="s">
        <v>3617</v>
      </c>
      <c r="C1109" s="65" t="s">
        <v>3243</v>
      </c>
      <c r="D1109" s="66" t="s">
        <v>3185</v>
      </c>
      <c r="E1109" s="67">
        <v>40962.070138888892</v>
      </c>
      <c r="F1109" s="67">
        <v>41122</v>
      </c>
      <c r="G1109" s="64">
        <f>IF(stdProdLT(Main[[#This Row],[Comments]])=0.1,"N/A",IF(stdProdLT(Main[[#This Row],[Comments]])=0,"",stdProdLT(Main[[#This Row],[Comments]])))</f>
        <v>168</v>
      </c>
      <c r="H1109" s="68" t="str">
        <f>IF(AND(Main[[#This Row],[In Stock Date]]&lt;&gt;"",Main[[#This Row],[Revised Due Date]]&lt;&gt;""),Main[[#This Row],[In Stock Date]]-Main[[#This Row],[Revised Due Date]],"")</f>
        <v/>
      </c>
      <c r="I1109" s="65" t="s">
        <v>4</v>
      </c>
      <c r="J1109" s="65" t="s">
        <v>4</v>
      </c>
      <c r="K1109" s="65" t="s">
        <v>4</v>
      </c>
      <c r="L1109" s="67"/>
      <c r="M1109" s="69" t="str">
        <f>IF(Main[[#This Row],[Tech Start Date]]&lt;1/1/1990,"",IF(Main[[#This Row],[Class]]="C",WORKDAY(Main[[#This Row],[Tech Start Date]],9),IF(Main[[#This Row],[Class]]="B", WORKDAY(Main[[#This Row],[Tech Start Date]],6),IF(Main[[#This Row],[Class]]="A",WORKDAY(Main[[#This Row],[Tech Start Date]],2),""))))</f>
        <v/>
      </c>
      <c r="N1109" s="69" t="str">
        <f>IF(Main[[#This Row],[Tech Start Date]]&lt;1/1/1990,"",IF(Main[[#This Row],[Class]]="C",WORKDAY(Main[[#This Row],[Tech Start Date]],19),IF(Main[[#This Row],[Class]]="B", WORKDAY(Main[[#This Row],[Tech Start Date]],12),IF(Main[[#This Row],[Class]]="A",WORKDAY(Main[[#This Row],[Tech Start Date]],4),""))))</f>
        <v/>
      </c>
      <c r="O1109" s="69" t="str">
        <f>IF(Main[[#This Row],[Tech Start Date]]&lt;1/1/1990,"",IF(Main[[#This Row],[Class]]="C",WORKDAY(Main[[#This Row],[Tech Start Date]],23),IF(Main[[#This Row],[Class]]="B", WORKDAY(Main[[#This Row],[Tech Start Date]],15),IF(Main[[#This Row],[Class]]="A",WORKDAY(Main[[#This Row],[Tech Start Date]],5),""))))</f>
        <v/>
      </c>
      <c r="P1109" s="69" t="str">
        <f>IF(Main[[#This Row],[Tech Start Date]]&lt;1/1/1990,"",IF(Main[[#This Row],[Class]]="C",WORKDAY(Main[[#This Row],[Tech Start Date]],28),IF(Main[[#This Row],[Class]]="B", WORKDAY(Main[[#This Row],[Tech Start Date]],19),IF(Main[[#This Row],[Class]]="A",WORKDAY(Main[[#This Row],[Tech Start Date]],9),""))))</f>
        <v/>
      </c>
      <c r="Q1109" s="67">
        <v>41105</v>
      </c>
      <c r="R1109" s="67"/>
      <c r="S1109" s="65" t="s">
        <v>11</v>
      </c>
      <c r="T1109" s="70" t="s">
        <v>3958</v>
      </c>
      <c r="U1109" s="65" t="s">
        <v>7</v>
      </c>
      <c r="V1109" s="65" t="s">
        <v>1917</v>
      </c>
      <c r="W1109" s="65" t="s">
        <v>1925</v>
      </c>
      <c r="X1109" s="65" t="s">
        <v>2846</v>
      </c>
      <c r="Y1109" s="65" t="s">
        <v>3242</v>
      </c>
      <c r="Z1109" s="65" t="s">
        <v>4</v>
      </c>
      <c r="AA1109" s="65" t="s">
        <v>2846</v>
      </c>
    </row>
    <row r="1110" spans="1:27" ht="17.45" hidden="1" customHeight="1">
      <c r="A1110" s="100" t="str">
        <f>IF(priority(Main[[#This Row],[Comments]])&lt;&gt;0, priority(Main[[#This Row],[Comments]]),"")</f>
        <v/>
      </c>
      <c r="B1110" s="77" t="s">
        <v>3959</v>
      </c>
      <c r="C1110" s="65" t="s">
        <v>47</v>
      </c>
      <c r="D1110" s="66" t="s">
        <v>3960</v>
      </c>
      <c r="E1110" s="67">
        <v>40968.462013888886</v>
      </c>
      <c r="F1110" s="67"/>
      <c r="G1110" s="64" t="str">
        <f>IF(stdProdLT(Main[[#This Row],[Comments]])=0.1,"N/A",IF(stdProdLT(Main[[#This Row],[Comments]])=0,"",stdProdLT(Main[[#This Row],[Comments]])))</f>
        <v/>
      </c>
      <c r="H1110" s="68" t="str">
        <f>IF(AND(Main[[#This Row],[In Stock Date]]&lt;&gt;"",Main[[#This Row],[Revised Due Date]]&lt;&gt;""),Main[[#This Row],[In Stock Date]]-Main[[#This Row],[Revised Due Date]],"")</f>
        <v/>
      </c>
      <c r="I1110" s="65" t="s">
        <v>4</v>
      </c>
      <c r="J1110" s="65" t="s">
        <v>4</v>
      </c>
      <c r="K1110" s="71" t="s">
        <v>4</v>
      </c>
      <c r="L1110" s="67"/>
      <c r="M1110" s="69" t="str">
        <f>IF(Main[[#This Row],[Tech Start Date]]&lt;1/1/1990,"",IF(Main[[#This Row],[Class]]="C",WORKDAY(Main[[#This Row],[Tech Start Date]],9),IF(Main[[#This Row],[Class]]="B", WORKDAY(Main[[#This Row],[Tech Start Date]],6),IF(Main[[#This Row],[Class]]="A",WORKDAY(Main[[#This Row],[Tech Start Date]],2),""))))</f>
        <v/>
      </c>
      <c r="N1110" s="69" t="str">
        <f>IF(Main[[#This Row],[Tech Start Date]]&lt;1/1/1990,"",IF(Main[[#This Row],[Class]]="C",WORKDAY(Main[[#This Row],[Tech Start Date]],19),IF(Main[[#This Row],[Class]]="B", WORKDAY(Main[[#This Row],[Tech Start Date]],12),IF(Main[[#This Row],[Class]]="A",WORKDAY(Main[[#This Row],[Tech Start Date]],4),""))))</f>
        <v/>
      </c>
      <c r="O1110" s="69" t="str">
        <f>IF(Main[[#This Row],[Tech Start Date]]&lt;1/1/1990,"",IF(Main[[#This Row],[Class]]="C",WORKDAY(Main[[#This Row],[Tech Start Date]],23),IF(Main[[#This Row],[Class]]="B", WORKDAY(Main[[#This Row],[Tech Start Date]],15),IF(Main[[#This Row],[Class]]="A",WORKDAY(Main[[#This Row],[Tech Start Date]],5),""))))</f>
        <v/>
      </c>
      <c r="P1110" s="69" t="str">
        <f>IF(Main[[#This Row],[Tech Start Date]]&lt;1/1/1990,"",IF(Main[[#This Row],[Class]]="C",WORKDAY(Main[[#This Row],[Tech Start Date]],28),IF(Main[[#This Row],[Class]]="B", WORKDAY(Main[[#This Row],[Tech Start Date]],19),IF(Main[[#This Row],[Class]]="A",WORKDAY(Main[[#This Row],[Tech Start Date]],9),""))))</f>
        <v/>
      </c>
      <c r="Q1110" s="67"/>
      <c r="R1110" s="67"/>
      <c r="S1110" s="65" t="s">
        <v>6</v>
      </c>
      <c r="T1110" s="70" t="s">
        <v>4</v>
      </c>
      <c r="U1110" s="65" t="s">
        <v>29</v>
      </c>
      <c r="V1110" s="65" t="s">
        <v>2283</v>
      </c>
      <c r="W1110" s="65" t="s">
        <v>1916</v>
      </c>
      <c r="X1110" s="65" t="s">
        <v>2865</v>
      </c>
      <c r="Y1110" s="65" t="s">
        <v>3010</v>
      </c>
      <c r="Z1110" s="65" t="s">
        <v>4</v>
      </c>
      <c r="AA1110" s="65" t="s">
        <v>2865</v>
      </c>
    </row>
    <row r="1111" spans="1:27" ht="17.45" hidden="1" customHeight="1">
      <c r="A1111" s="100" t="str">
        <f>IF(priority(Main[[#This Row],[Comments]])&lt;&gt;0, priority(Main[[#This Row],[Comments]]),"")</f>
        <v/>
      </c>
      <c r="B1111" s="77" t="s">
        <v>3679</v>
      </c>
      <c r="C1111" s="65" t="s">
        <v>4</v>
      </c>
      <c r="D1111" s="66" t="s">
        <v>3680</v>
      </c>
      <c r="E1111" s="67">
        <v>40966.546724537038</v>
      </c>
      <c r="F1111" s="67"/>
      <c r="G1111" s="64" t="str">
        <f>IF(stdProdLT(Main[[#This Row],[Comments]])=0.1,"N/A",IF(stdProdLT(Main[[#This Row],[Comments]])=0,"",stdProdLT(Main[[#This Row],[Comments]])))</f>
        <v/>
      </c>
      <c r="H1111" s="68" t="str">
        <f>IF(AND(Main[[#This Row],[In Stock Date]]&lt;&gt;"",Main[[#This Row],[Revised Due Date]]&lt;&gt;""),Main[[#This Row],[In Stock Date]]-Main[[#This Row],[Revised Due Date]],"")</f>
        <v/>
      </c>
      <c r="I1111" s="65" t="s">
        <v>4</v>
      </c>
      <c r="J1111" s="65" t="s">
        <v>4</v>
      </c>
      <c r="K1111" s="65" t="s">
        <v>4</v>
      </c>
      <c r="L1111" s="67"/>
      <c r="M1111" s="69" t="str">
        <f>IF(Main[[#This Row],[Tech Start Date]]&lt;1/1/1990,"",IF(Main[[#This Row],[Class]]="C",WORKDAY(Main[[#This Row],[Tech Start Date]],9),IF(Main[[#This Row],[Class]]="B", WORKDAY(Main[[#This Row],[Tech Start Date]],6),IF(Main[[#This Row],[Class]]="A",WORKDAY(Main[[#This Row],[Tech Start Date]],2),""))))</f>
        <v/>
      </c>
      <c r="N1111" s="69" t="str">
        <f>IF(Main[[#This Row],[Tech Start Date]]&lt;1/1/1990,"",IF(Main[[#This Row],[Class]]="C",WORKDAY(Main[[#This Row],[Tech Start Date]],19),IF(Main[[#This Row],[Class]]="B", WORKDAY(Main[[#This Row],[Tech Start Date]],12),IF(Main[[#This Row],[Class]]="A",WORKDAY(Main[[#This Row],[Tech Start Date]],4),""))))</f>
        <v/>
      </c>
      <c r="O1111" s="69" t="str">
        <f>IF(Main[[#This Row],[Tech Start Date]]&lt;1/1/1990,"",IF(Main[[#This Row],[Class]]="C",WORKDAY(Main[[#This Row],[Tech Start Date]],23),IF(Main[[#This Row],[Class]]="B", WORKDAY(Main[[#This Row],[Tech Start Date]],15),IF(Main[[#This Row],[Class]]="A",WORKDAY(Main[[#This Row],[Tech Start Date]],5),""))))</f>
        <v/>
      </c>
      <c r="P1111" s="69" t="str">
        <f>IF(Main[[#This Row],[Tech Start Date]]&lt;1/1/1990,"",IF(Main[[#This Row],[Class]]="C",WORKDAY(Main[[#This Row],[Tech Start Date]],28),IF(Main[[#This Row],[Class]]="B", WORKDAY(Main[[#This Row],[Tech Start Date]],19),IF(Main[[#This Row],[Class]]="A",WORKDAY(Main[[#This Row],[Tech Start Date]],9),""))))</f>
        <v/>
      </c>
      <c r="Q1111" s="67"/>
      <c r="R1111" s="67"/>
      <c r="S1111" s="65" t="s">
        <v>6</v>
      </c>
      <c r="T1111" s="70" t="s">
        <v>4</v>
      </c>
      <c r="U1111" s="65" t="s">
        <v>29</v>
      </c>
      <c r="V1111" s="65" t="s">
        <v>1917</v>
      </c>
      <c r="W1111" s="65" t="s">
        <v>1918</v>
      </c>
      <c r="X1111" s="65" t="s">
        <v>102</v>
      </c>
      <c r="Y1111" s="65" t="s">
        <v>3681</v>
      </c>
      <c r="Z1111" s="65" t="s">
        <v>4</v>
      </c>
      <c r="AA1111" s="65" t="s">
        <v>81</v>
      </c>
    </row>
    <row r="1112" spans="1:27" ht="17.45" customHeight="1">
      <c r="A1112" s="100">
        <f>IF(priority(Main[[#This Row],[Comments]])&lt;&gt;0, priority(Main[[#This Row],[Comments]]),"")</f>
        <v>11</v>
      </c>
      <c r="B1112" s="77" t="s">
        <v>3266</v>
      </c>
      <c r="C1112" s="65" t="s">
        <v>3267</v>
      </c>
      <c r="D1112" s="66" t="s">
        <v>3562</v>
      </c>
      <c r="E1112" s="67">
        <v>40934.412314814814</v>
      </c>
      <c r="F1112" s="67">
        <v>41091</v>
      </c>
      <c r="G1112" s="64">
        <f>IF(stdProdLT(Main[[#This Row],[Comments]])=0.1,"N/A",IF(stdProdLT(Main[[#This Row],[Comments]])=0,"",stdProdLT(Main[[#This Row],[Comments]])))</f>
        <v>126</v>
      </c>
      <c r="H1112" s="68">
        <f>IF(AND(Main[[#This Row],[In Stock Date]]&lt;&gt;"",Main[[#This Row],[Revised Due Date]]&lt;&gt;""),Main[[#This Row],[In Stock Date]]-Main[[#This Row],[Revised Due Date]],"")</f>
        <v>116</v>
      </c>
      <c r="I1112" s="65" t="s">
        <v>912</v>
      </c>
      <c r="J1112" s="65" t="s">
        <v>52</v>
      </c>
      <c r="K1112" s="71" t="s">
        <v>1921</v>
      </c>
      <c r="L1112" s="67">
        <v>40934</v>
      </c>
      <c r="M1112" s="69">
        <f>IF(Main[[#This Row],[Tech Start Date]]&lt;1/1/1990,"",IF(Main[[#This Row],[Class]]="C",WORKDAY(Main[[#This Row],[Tech Start Date]],9),IF(Main[[#This Row],[Class]]="B", WORKDAY(Main[[#This Row],[Tech Start Date]],6),IF(Main[[#This Row],[Class]]="A",WORKDAY(Main[[#This Row],[Tech Start Date]],2),""))))</f>
        <v>40942</v>
      </c>
      <c r="N1112" s="69">
        <f>IF(Main[[#This Row],[Tech Start Date]]&lt;1/1/1990,"",IF(Main[[#This Row],[Class]]="C",WORKDAY(Main[[#This Row],[Tech Start Date]],19),IF(Main[[#This Row],[Class]]="B", WORKDAY(Main[[#This Row],[Tech Start Date]],12),IF(Main[[#This Row],[Class]]="A",WORKDAY(Main[[#This Row],[Tech Start Date]],4),""))))</f>
        <v>40952</v>
      </c>
      <c r="O1112" s="69">
        <f>IF(Main[[#This Row],[Tech Start Date]]&lt;1/1/1990,"",IF(Main[[#This Row],[Class]]="C",WORKDAY(Main[[#This Row],[Tech Start Date]],23),IF(Main[[#This Row],[Class]]="B", WORKDAY(Main[[#This Row],[Tech Start Date]],15),IF(Main[[#This Row],[Class]]="A",WORKDAY(Main[[#This Row],[Tech Start Date]],5),""))))</f>
        <v>40955</v>
      </c>
      <c r="P1112" s="69">
        <f>IF(Main[[#This Row],[Tech Start Date]]&lt;1/1/1990,"",IF(Main[[#This Row],[Class]]="C",WORKDAY(Main[[#This Row],[Tech Start Date]],28),IF(Main[[#This Row],[Class]]="B", WORKDAY(Main[[#This Row],[Tech Start Date]],19),IF(Main[[#This Row],[Class]]="A",WORKDAY(Main[[#This Row],[Tech Start Date]],9),""))))</f>
        <v>40961</v>
      </c>
      <c r="Q1112" s="67"/>
      <c r="R1112" s="67">
        <v>40975</v>
      </c>
      <c r="S1112" s="65" t="s">
        <v>11</v>
      </c>
      <c r="T1112" s="70" t="s">
        <v>3839</v>
      </c>
      <c r="U1112" s="65" t="s">
        <v>29</v>
      </c>
      <c r="V1112" s="65" t="s">
        <v>1914</v>
      </c>
      <c r="W1112" s="65" t="s">
        <v>1922</v>
      </c>
      <c r="X1112" s="65" t="s">
        <v>50</v>
      </c>
      <c r="Y1112" s="65" t="s">
        <v>3158</v>
      </c>
      <c r="Z1112" s="65" t="s">
        <v>129</v>
      </c>
      <c r="AA1112" s="65" t="s">
        <v>3464</v>
      </c>
    </row>
    <row r="1113" spans="1:27" ht="17.45" hidden="1" customHeight="1">
      <c r="A1113" s="100" t="str">
        <f>IF(priority(Main[[#This Row],[Comments]])&lt;&gt;0, priority(Main[[#This Row],[Comments]]),"")</f>
        <v/>
      </c>
      <c r="B1113" s="77" t="s">
        <v>3508</v>
      </c>
      <c r="C1113" s="65" t="s">
        <v>4</v>
      </c>
      <c r="D1113" s="66" t="s">
        <v>3509</v>
      </c>
      <c r="E1113" s="67">
        <v>40942.135775462964</v>
      </c>
      <c r="F1113" s="67"/>
      <c r="G1113" s="64" t="str">
        <f>IF(stdProdLT(Main[[#This Row],[Comments]])=0.1,"N/A",IF(stdProdLT(Main[[#This Row],[Comments]])=0,"",stdProdLT(Main[[#This Row],[Comments]])))</f>
        <v/>
      </c>
      <c r="H1113" s="68" t="str">
        <f>IF(AND(Main[[#This Row],[In Stock Date]]&lt;&gt;"",Main[[#This Row],[Revised Due Date]]&lt;&gt;""),Main[[#This Row],[In Stock Date]]-Main[[#This Row],[Revised Due Date]],"")</f>
        <v/>
      </c>
      <c r="I1113" s="65" t="s">
        <v>4</v>
      </c>
      <c r="J1113" s="65" t="s">
        <v>4</v>
      </c>
      <c r="K1113" s="65" t="s">
        <v>4</v>
      </c>
      <c r="L1113" s="67"/>
      <c r="M1113" s="69" t="str">
        <f>IF(Main[[#This Row],[Tech Start Date]]&lt;1/1/1990,"",IF(Main[[#This Row],[Class]]="C",WORKDAY(Main[[#This Row],[Tech Start Date]],9),IF(Main[[#This Row],[Class]]="B", WORKDAY(Main[[#This Row],[Tech Start Date]],6),IF(Main[[#This Row],[Class]]="A",WORKDAY(Main[[#This Row],[Tech Start Date]],2),""))))</f>
        <v/>
      </c>
      <c r="N1113" s="69" t="str">
        <f>IF(Main[[#This Row],[Tech Start Date]]&lt;1/1/1990,"",IF(Main[[#This Row],[Class]]="C",WORKDAY(Main[[#This Row],[Tech Start Date]],19),IF(Main[[#This Row],[Class]]="B", WORKDAY(Main[[#This Row],[Tech Start Date]],12),IF(Main[[#This Row],[Class]]="A",WORKDAY(Main[[#This Row],[Tech Start Date]],4),""))))</f>
        <v/>
      </c>
      <c r="O1113" s="69" t="str">
        <f>IF(Main[[#This Row],[Tech Start Date]]&lt;1/1/1990,"",IF(Main[[#This Row],[Class]]="C",WORKDAY(Main[[#This Row],[Tech Start Date]],23),IF(Main[[#This Row],[Class]]="B", WORKDAY(Main[[#This Row],[Tech Start Date]],15),IF(Main[[#This Row],[Class]]="A",WORKDAY(Main[[#This Row],[Tech Start Date]],5),""))))</f>
        <v/>
      </c>
      <c r="P1113" s="69" t="str">
        <f>IF(Main[[#This Row],[Tech Start Date]]&lt;1/1/1990,"",IF(Main[[#This Row],[Class]]="C",WORKDAY(Main[[#This Row],[Tech Start Date]],28),IF(Main[[#This Row],[Class]]="B", WORKDAY(Main[[#This Row],[Tech Start Date]],19),IF(Main[[#This Row],[Class]]="A",WORKDAY(Main[[#This Row],[Tech Start Date]],9),""))))</f>
        <v/>
      </c>
      <c r="Q1113" s="67">
        <v>41001</v>
      </c>
      <c r="R1113" s="67"/>
      <c r="S1113" s="65" t="s">
        <v>6</v>
      </c>
      <c r="T1113" s="70" t="s">
        <v>4</v>
      </c>
      <c r="U1113" s="65" t="s">
        <v>29</v>
      </c>
      <c r="V1113" s="65" t="s">
        <v>1917</v>
      </c>
      <c r="W1113" s="65" t="s">
        <v>4</v>
      </c>
      <c r="X1113" s="65" t="s">
        <v>2822</v>
      </c>
      <c r="Y1113" s="65" t="s">
        <v>2938</v>
      </c>
      <c r="Z1113" s="65" t="s">
        <v>4</v>
      </c>
      <c r="AA1113" s="65" t="s">
        <v>2822</v>
      </c>
    </row>
    <row r="1114" spans="1:27" ht="17.45" hidden="1" customHeight="1">
      <c r="A1114" s="100" t="str">
        <f>IF(priority(Main[[#This Row],[Comments]])&lt;&gt;0, priority(Main[[#This Row],[Comments]]),"")</f>
        <v/>
      </c>
      <c r="B1114" s="77" t="s">
        <v>2554</v>
      </c>
      <c r="C1114" s="65" t="s">
        <v>4</v>
      </c>
      <c r="D1114" s="66" t="s">
        <v>2553</v>
      </c>
      <c r="E1114" s="67"/>
      <c r="F1114" s="67"/>
      <c r="G1114" s="64" t="str">
        <f>IF(stdProdLT(Main[[#This Row],[Comments]])=0.1,"N/A",IF(stdProdLT(Main[[#This Row],[Comments]])=0,"",stdProdLT(Main[[#This Row],[Comments]])))</f>
        <v/>
      </c>
      <c r="H1114" s="68" t="str">
        <f>IF(AND(Main[[#This Row],[In Stock Date]]&lt;&gt;"",Main[[#This Row],[Revised Due Date]]&lt;&gt;""),Main[[#This Row],[In Stock Date]]-Main[[#This Row],[Revised Due Date]],"")</f>
        <v/>
      </c>
      <c r="I1114" s="65" t="s">
        <v>4</v>
      </c>
      <c r="J1114" s="65" t="s">
        <v>4</v>
      </c>
      <c r="K1114" s="65" t="s">
        <v>4</v>
      </c>
      <c r="L1114" s="67"/>
      <c r="M1114" s="69" t="str">
        <f>IF(Main[[#This Row],[Tech Start Date]]&lt;1/1/1990,"",IF(Main[[#This Row],[Class]]="C",WORKDAY(Main[[#This Row],[Tech Start Date]],9),IF(Main[[#This Row],[Class]]="B", WORKDAY(Main[[#This Row],[Tech Start Date]],6),IF(Main[[#This Row],[Class]]="A",WORKDAY(Main[[#This Row],[Tech Start Date]],2),""))))</f>
        <v/>
      </c>
      <c r="N1114" s="69" t="str">
        <f>IF(Main[[#This Row],[Tech Start Date]]&lt;1/1/1990,"",IF(Main[[#This Row],[Class]]="C",WORKDAY(Main[[#This Row],[Tech Start Date]],19),IF(Main[[#This Row],[Class]]="B", WORKDAY(Main[[#This Row],[Tech Start Date]],12),IF(Main[[#This Row],[Class]]="A",WORKDAY(Main[[#This Row],[Tech Start Date]],4),""))))</f>
        <v/>
      </c>
      <c r="O1114" s="69" t="str">
        <f>IF(Main[[#This Row],[Tech Start Date]]&lt;1/1/1990,"",IF(Main[[#This Row],[Class]]="C",WORKDAY(Main[[#This Row],[Tech Start Date]],23),IF(Main[[#This Row],[Class]]="B", WORKDAY(Main[[#This Row],[Tech Start Date]],15),IF(Main[[#This Row],[Class]]="A",WORKDAY(Main[[#This Row],[Tech Start Date]],5),""))))</f>
        <v/>
      </c>
      <c r="P1114" s="69" t="str">
        <f>IF(Main[[#This Row],[Tech Start Date]]&lt;1/1/1990,"",IF(Main[[#This Row],[Class]]="C",WORKDAY(Main[[#This Row],[Tech Start Date]],28),IF(Main[[#This Row],[Class]]="B", WORKDAY(Main[[#This Row],[Tech Start Date]],19),IF(Main[[#This Row],[Class]]="A",WORKDAY(Main[[#This Row],[Tech Start Date]],9),""))))</f>
        <v/>
      </c>
      <c r="Q1114" s="67">
        <v>40891</v>
      </c>
      <c r="R1114" s="67"/>
      <c r="S1114" s="65" t="s">
        <v>6</v>
      </c>
      <c r="T1114" s="70" t="s">
        <v>4</v>
      </c>
      <c r="U1114" s="65" t="s">
        <v>12</v>
      </c>
      <c r="V1114" s="65" t="s">
        <v>1917</v>
      </c>
      <c r="W1114" s="65" t="s">
        <v>4</v>
      </c>
      <c r="X1114" s="65" t="s">
        <v>2822</v>
      </c>
      <c r="Y1114" s="65" t="s">
        <v>2938</v>
      </c>
      <c r="Z1114" s="65" t="s">
        <v>4</v>
      </c>
      <c r="AA1114" s="65" t="s">
        <v>2822</v>
      </c>
    </row>
    <row r="1115" spans="1:27" ht="17.45" hidden="1" customHeight="1">
      <c r="A1115" s="100" t="str">
        <f>IF(priority(Main[[#This Row],[Comments]])&lt;&gt;0, priority(Main[[#This Row],[Comments]]),"")</f>
        <v/>
      </c>
      <c r="B1115" s="77" t="s">
        <v>2186</v>
      </c>
      <c r="C1115" s="65" t="s">
        <v>4</v>
      </c>
      <c r="D1115" s="66" t="s">
        <v>2187</v>
      </c>
      <c r="E1115" s="67">
        <v>40792.385717592595</v>
      </c>
      <c r="F1115" s="67"/>
      <c r="G1115" s="64" t="str">
        <f>IF(stdProdLT(Main[[#This Row],[Comments]])=0.1,"N/A",IF(stdProdLT(Main[[#This Row],[Comments]])=0,"",stdProdLT(Main[[#This Row],[Comments]])))</f>
        <v/>
      </c>
      <c r="H1115" s="68" t="str">
        <f>IF(AND(Main[[#This Row],[In Stock Date]]&lt;&gt;"",Main[[#This Row],[Revised Due Date]]&lt;&gt;""),Main[[#This Row],[In Stock Date]]-Main[[#This Row],[Revised Due Date]],"")</f>
        <v/>
      </c>
      <c r="I1115" s="65" t="s">
        <v>81</v>
      </c>
      <c r="J1115" s="65" t="s">
        <v>70</v>
      </c>
      <c r="K1115" s="65" t="s">
        <v>1923</v>
      </c>
      <c r="L1115" s="67"/>
      <c r="M1115" s="69" t="str">
        <f>IF(Main[[#This Row],[Tech Start Date]]&lt;1/1/1990,"",IF(Main[[#This Row],[Class]]="C",WORKDAY(Main[[#This Row],[Tech Start Date]],9),IF(Main[[#This Row],[Class]]="B", WORKDAY(Main[[#This Row],[Tech Start Date]],6),IF(Main[[#This Row],[Class]]="A",WORKDAY(Main[[#This Row],[Tech Start Date]],2),""))))</f>
        <v/>
      </c>
      <c r="N1115" s="69" t="str">
        <f>IF(Main[[#This Row],[Tech Start Date]]&lt;1/1/1990,"",IF(Main[[#This Row],[Class]]="C",WORKDAY(Main[[#This Row],[Tech Start Date]],19),IF(Main[[#This Row],[Class]]="B", WORKDAY(Main[[#This Row],[Tech Start Date]],12),IF(Main[[#This Row],[Class]]="A",WORKDAY(Main[[#This Row],[Tech Start Date]],4),""))))</f>
        <v/>
      </c>
      <c r="O1115" s="69" t="str">
        <f>IF(Main[[#This Row],[Tech Start Date]]&lt;1/1/1990,"",IF(Main[[#This Row],[Class]]="C",WORKDAY(Main[[#This Row],[Tech Start Date]],23),IF(Main[[#This Row],[Class]]="B", WORKDAY(Main[[#This Row],[Tech Start Date]],15),IF(Main[[#This Row],[Class]]="A",WORKDAY(Main[[#This Row],[Tech Start Date]],5),""))))</f>
        <v/>
      </c>
      <c r="P1115" s="69" t="str">
        <f>IF(Main[[#This Row],[Tech Start Date]]&lt;1/1/1990,"",IF(Main[[#This Row],[Class]]="C",WORKDAY(Main[[#This Row],[Tech Start Date]],28),IF(Main[[#This Row],[Class]]="B", WORKDAY(Main[[#This Row],[Tech Start Date]],19),IF(Main[[#This Row],[Class]]="A",WORKDAY(Main[[#This Row],[Tech Start Date]],9),""))))</f>
        <v/>
      </c>
      <c r="Q1115" s="67">
        <v>40823</v>
      </c>
      <c r="R1115" s="67"/>
      <c r="S1115" s="65" t="s">
        <v>6</v>
      </c>
      <c r="T1115" s="70" t="s">
        <v>4</v>
      </c>
      <c r="U1115" s="65" t="s">
        <v>29</v>
      </c>
      <c r="V1115" s="65" t="s">
        <v>1917</v>
      </c>
      <c r="W1115" s="65" t="s">
        <v>1918</v>
      </c>
      <c r="X1115" s="65" t="s">
        <v>2818</v>
      </c>
      <c r="Y1115" s="65" t="s">
        <v>2929</v>
      </c>
      <c r="Z1115" s="65" t="s">
        <v>30</v>
      </c>
      <c r="AA1115" s="65" t="s">
        <v>2818</v>
      </c>
    </row>
    <row r="1116" spans="1:27" ht="17.45" hidden="1" customHeight="1">
      <c r="A1116" s="100" t="str">
        <f>IF(priority(Main[[#This Row],[Comments]])&lt;&gt;0, priority(Main[[#This Row],[Comments]]),"")</f>
        <v/>
      </c>
      <c r="B1116" s="77" t="s">
        <v>3685</v>
      </c>
      <c r="C1116" s="65" t="s">
        <v>4</v>
      </c>
      <c r="D1116" s="66" t="s">
        <v>3686</v>
      </c>
      <c r="E1116" s="67">
        <v>40953.329780092594</v>
      </c>
      <c r="F1116" s="67"/>
      <c r="G1116" s="64" t="str">
        <f>IF(stdProdLT(Main[[#This Row],[Comments]])=0.1,"N/A",IF(stdProdLT(Main[[#This Row],[Comments]])=0,"",stdProdLT(Main[[#This Row],[Comments]])))</f>
        <v/>
      </c>
      <c r="H1116" s="68" t="str">
        <f>IF(AND(Main[[#This Row],[In Stock Date]]&lt;&gt;"",Main[[#This Row],[Revised Due Date]]&lt;&gt;""),Main[[#This Row],[In Stock Date]]-Main[[#This Row],[Revised Due Date]],"")</f>
        <v/>
      </c>
      <c r="I1116" s="65" t="s">
        <v>530</v>
      </c>
      <c r="J1116" s="65" t="s">
        <v>28</v>
      </c>
      <c r="K1116" s="65" t="s">
        <v>1923</v>
      </c>
      <c r="L1116" s="67"/>
      <c r="M1116" s="69" t="str">
        <f>IF(Main[[#This Row],[Tech Start Date]]&lt;1/1/1990,"",IF(Main[[#This Row],[Class]]="C",WORKDAY(Main[[#This Row],[Tech Start Date]],9),IF(Main[[#This Row],[Class]]="B", WORKDAY(Main[[#This Row],[Tech Start Date]],6),IF(Main[[#This Row],[Class]]="A",WORKDAY(Main[[#This Row],[Tech Start Date]],2),""))))</f>
        <v/>
      </c>
      <c r="N1116" s="69" t="str">
        <f>IF(Main[[#This Row],[Tech Start Date]]&lt;1/1/1990,"",IF(Main[[#This Row],[Class]]="C",WORKDAY(Main[[#This Row],[Tech Start Date]],19),IF(Main[[#This Row],[Class]]="B", WORKDAY(Main[[#This Row],[Tech Start Date]],12),IF(Main[[#This Row],[Class]]="A",WORKDAY(Main[[#This Row],[Tech Start Date]],4),""))))</f>
        <v/>
      </c>
      <c r="O1116" s="69" t="str">
        <f>IF(Main[[#This Row],[Tech Start Date]]&lt;1/1/1990,"",IF(Main[[#This Row],[Class]]="C",WORKDAY(Main[[#This Row],[Tech Start Date]],23),IF(Main[[#This Row],[Class]]="B", WORKDAY(Main[[#This Row],[Tech Start Date]],15),IF(Main[[#This Row],[Class]]="A",WORKDAY(Main[[#This Row],[Tech Start Date]],5),""))))</f>
        <v/>
      </c>
      <c r="P1116" s="69" t="str">
        <f>IF(Main[[#This Row],[Tech Start Date]]&lt;1/1/1990,"",IF(Main[[#This Row],[Class]]="C",WORKDAY(Main[[#This Row],[Tech Start Date]],28),IF(Main[[#This Row],[Class]]="B", WORKDAY(Main[[#This Row],[Tech Start Date]],19),IF(Main[[#This Row],[Class]]="A",WORKDAY(Main[[#This Row],[Tech Start Date]],9),""))))</f>
        <v/>
      </c>
      <c r="Q1116" s="67">
        <v>40984</v>
      </c>
      <c r="R1116" s="67"/>
      <c r="S1116" s="65" t="s">
        <v>6</v>
      </c>
      <c r="T1116" s="70" t="s">
        <v>4</v>
      </c>
      <c r="U1116" s="65" t="s">
        <v>29</v>
      </c>
      <c r="V1116" s="65" t="s">
        <v>1917</v>
      </c>
      <c r="W1116" s="65" t="s">
        <v>1918</v>
      </c>
      <c r="X1116" s="65" t="s">
        <v>2818</v>
      </c>
      <c r="Y1116" s="65" t="s">
        <v>2929</v>
      </c>
      <c r="Z1116" s="65" t="s">
        <v>30</v>
      </c>
      <c r="AA1116" s="65" t="s">
        <v>2818</v>
      </c>
    </row>
    <row r="1117" spans="1:27" ht="17.45" hidden="1" customHeight="1">
      <c r="A1117" s="100" t="str">
        <f>IF(priority(Main[[#This Row],[Comments]])&lt;&gt;0, priority(Main[[#This Row],[Comments]]),"")</f>
        <v/>
      </c>
      <c r="B1117" s="77" t="s">
        <v>2759</v>
      </c>
      <c r="C1117" s="65" t="s">
        <v>4</v>
      </c>
      <c r="D1117" s="66" t="s">
        <v>3682</v>
      </c>
      <c r="E1117" s="67">
        <v>40907.447002314817</v>
      </c>
      <c r="F1117" s="67"/>
      <c r="G1117" s="64" t="str">
        <f>IF(stdProdLT(Main[[#This Row],[Comments]])=0.1,"N/A",IF(stdProdLT(Main[[#This Row],[Comments]])=0,"",stdProdLT(Main[[#This Row],[Comments]])))</f>
        <v/>
      </c>
      <c r="H1117" s="68" t="str">
        <f>IF(AND(Main[[#This Row],[In Stock Date]]&lt;&gt;"",Main[[#This Row],[Revised Due Date]]&lt;&gt;""),Main[[#This Row],[In Stock Date]]-Main[[#This Row],[Revised Due Date]],"")</f>
        <v/>
      </c>
      <c r="I1117" s="65" t="s">
        <v>530</v>
      </c>
      <c r="J1117" s="65" t="s">
        <v>70</v>
      </c>
      <c r="K1117" s="65" t="s">
        <v>1923</v>
      </c>
      <c r="L1117" s="67"/>
      <c r="M1117" s="69" t="str">
        <f>IF(Main[[#This Row],[Tech Start Date]]&lt;1/1/1990,"",IF(Main[[#This Row],[Class]]="C",WORKDAY(Main[[#This Row],[Tech Start Date]],9),IF(Main[[#This Row],[Class]]="B", WORKDAY(Main[[#This Row],[Tech Start Date]],6),IF(Main[[#This Row],[Class]]="A",WORKDAY(Main[[#This Row],[Tech Start Date]],2),""))))</f>
        <v/>
      </c>
      <c r="N1117" s="69" t="str">
        <f>IF(Main[[#This Row],[Tech Start Date]]&lt;1/1/1990,"",IF(Main[[#This Row],[Class]]="C",WORKDAY(Main[[#This Row],[Tech Start Date]],19),IF(Main[[#This Row],[Class]]="B", WORKDAY(Main[[#This Row],[Tech Start Date]],12),IF(Main[[#This Row],[Class]]="A",WORKDAY(Main[[#This Row],[Tech Start Date]],4),""))))</f>
        <v/>
      </c>
      <c r="O1117" s="69" t="str">
        <f>IF(Main[[#This Row],[Tech Start Date]]&lt;1/1/1990,"",IF(Main[[#This Row],[Class]]="C",WORKDAY(Main[[#This Row],[Tech Start Date]],23),IF(Main[[#This Row],[Class]]="B", WORKDAY(Main[[#This Row],[Tech Start Date]],15),IF(Main[[#This Row],[Class]]="A",WORKDAY(Main[[#This Row],[Tech Start Date]],5),""))))</f>
        <v/>
      </c>
      <c r="P1117" s="69" t="str">
        <f>IF(Main[[#This Row],[Tech Start Date]]&lt;1/1/1990,"",IF(Main[[#This Row],[Class]]="C",WORKDAY(Main[[#This Row],[Tech Start Date]],28),IF(Main[[#This Row],[Class]]="B", WORKDAY(Main[[#This Row],[Tech Start Date]],19),IF(Main[[#This Row],[Class]]="A",WORKDAY(Main[[#This Row],[Tech Start Date]],9),""))))</f>
        <v/>
      </c>
      <c r="Q1117" s="67">
        <v>40921</v>
      </c>
      <c r="R1117" s="67"/>
      <c r="S1117" s="65" t="s">
        <v>6</v>
      </c>
      <c r="T1117" s="70" t="s">
        <v>4</v>
      </c>
      <c r="U1117" s="65" t="s">
        <v>29</v>
      </c>
      <c r="V1117" s="65" t="s">
        <v>1917</v>
      </c>
      <c r="W1117" s="65" t="s">
        <v>1922</v>
      </c>
      <c r="X1117" s="65" t="s">
        <v>2885</v>
      </c>
      <c r="Y1117" s="65" t="s">
        <v>3041</v>
      </c>
      <c r="Z1117" s="65" t="s">
        <v>30</v>
      </c>
      <c r="AA1117" s="65" t="s">
        <v>2885</v>
      </c>
    </row>
    <row r="1118" spans="1:27" ht="17.45" hidden="1" customHeight="1">
      <c r="A1118" s="100" t="str">
        <f>IF(priority(Main[[#This Row],[Comments]])&lt;&gt;0, priority(Main[[#This Row],[Comments]]),"")</f>
        <v/>
      </c>
      <c r="B1118" s="77" t="s">
        <v>2791</v>
      </c>
      <c r="C1118" s="65" t="s">
        <v>4</v>
      </c>
      <c r="D1118" s="66" t="s">
        <v>2792</v>
      </c>
      <c r="E1118" s="67">
        <v>40913.314733796295</v>
      </c>
      <c r="F1118" s="67"/>
      <c r="G1118" s="64" t="str">
        <f>IF(stdProdLT(Main[[#This Row],[Comments]])=0.1,"N/A",IF(stdProdLT(Main[[#This Row],[Comments]])=0,"",stdProdLT(Main[[#This Row],[Comments]])))</f>
        <v/>
      </c>
      <c r="H1118" s="68" t="str">
        <f>IF(AND(Main[[#This Row],[In Stock Date]]&lt;&gt;"",Main[[#This Row],[Revised Due Date]]&lt;&gt;""),Main[[#This Row],[In Stock Date]]-Main[[#This Row],[Revised Due Date]],"")</f>
        <v/>
      </c>
      <c r="I1118" s="65" t="s">
        <v>69</v>
      </c>
      <c r="J1118" s="65" t="s">
        <v>70</v>
      </c>
      <c r="K1118" s="65" t="s">
        <v>1923</v>
      </c>
      <c r="L1118" s="67"/>
      <c r="M1118" s="69" t="str">
        <f>IF(Main[[#This Row],[Tech Start Date]]&lt;1/1/1990,"",IF(Main[[#This Row],[Class]]="C",WORKDAY(Main[[#This Row],[Tech Start Date]],9),IF(Main[[#This Row],[Class]]="B", WORKDAY(Main[[#This Row],[Tech Start Date]],6),IF(Main[[#This Row],[Class]]="A",WORKDAY(Main[[#This Row],[Tech Start Date]],2),""))))</f>
        <v/>
      </c>
      <c r="N1118" s="69" t="str">
        <f>IF(Main[[#This Row],[Tech Start Date]]&lt;1/1/1990,"",IF(Main[[#This Row],[Class]]="C",WORKDAY(Main[[#This Row],[Tech Start Date]],19),IF(Main[[#This Row],[Class]]="B", WORKDAY(Main[[#This Row],[Tech Start Date]],12),IF(Main[[#This Row],[Class]]="A",WORKDAY(Main[[#This Row],[Tech Start Date]],4),""))))</f>
        <v/>
      </c>
      <c r="O1118" s="69" t="str">
        <f>IF(Main[[#This Row],[Tech Start Date]]&lt;1/1/1990,"",IF(Main[[#This Row],[Class]]="C",WORKDAY(Main[[#This Row],[Tech Start Date]],23),IF(Main[[#This Row],[Class]]="B", WORKDAY(Main[[#This Row],[Tech Start Date]],15),IF(Main[[#This Row],[Class]]="A",WORKDAY(Main[[#This Row],[Tech Start Date]],5),""))))</f>
        <v/>
      </c>
      <c r="P1118" s="69" t="str">
        <f>IF(Main[[#This Row],[Tech Start Date]]&lt;1/1/1990,"",IF(Main[[#This Row],[Class]]="C",WORKDAY(Main[[#This Row],[Tech Start Date]],28),IF(Main[[#This Row],[Class]]="B", WORKDAY(Main[[#This Row],[Tech Start Date]],19),IF(Main[[#This Row],[Class]]="A",WORKDAY(Main[[#This Row],[Tech Start Date]],9),""))))</f>
        <v/>
      </c>
      <c r="Q1118" s="67">
        <v>40945</v>
      </c>
      <c r="R1118" s="67"/>
      <c r="S1118" s="65" t="s">
        <v>6</v>
      </c>
      <c r="T1118" s="70" t="s">
        <v>4</v>
      </c>
      <c r="U1118" s="65" t="s">
        <v>29</v>
      </c>
      <c r="V1118" s="65" t="s">
        <v>1917</v>
      </c>
      <c r="W1118" s="65" t="s">
        <v>1918</v>
      </c>
      <c r="X1118" s="65" t="s">
        <v>2822</v>
      </c>
      <c r="Y1118" s="65" t="s">
        <v>2938</v>
      </c>
      <c r="Z1118" s="65" t="s">
        <v>30</v>
      </c>
      <c r="AA1118" s="65" t="s">
        <v>2822</v>
      </c>
    </row>
    <row r="1119" spans="1:27" ht="17.45" hidden="1" customHeight="1">
      <c r="A1119" s="100" t="str">
        <f>IF(priority(Main[[#This Row],[Comments]])&lt;&gt;0, priority(Main[[#This Row],[Comments]]),"")</f>
        <v/>
      </c>
      <c r="B1119" s="77" t="s">
        <v>2771</v>
      </c>
      <c r="C1119" s="65" t="s">
        <v>4</v>
      </c>
      <c r="D1119" s="66" t="s">
        <v>2772</v>
      </c>
      <c r="E1119" s="67">
        <v>40914.408773148149</v>
      </c>
      <c r="F1119" s="67"/>
      <c r="G1119" s="64" t="str">
        <f>IF(stdProdLT(Main[[#This Row],[Comments]])=0.1,"N/A",IF(stdProdLT(Main[[#This Row],[Comments]])=0,"",stdProdLT(Main[[#This Row],[Comments]])))</f>
        <v/>
      </c>
      <c r="H1119" s="68" t="str">
        <f>IF(AND(Main[[#This Row],[In Stock Date]]&lt;&gt;"",Main[[#This Row],[Revised Due Date]]&lt;&gt;""),Main[[#This Row],[In Stock Date]]-Main[[#This Row],[Revised Due Date]],"")</f>
        <v/>
      </c>
      <c r="I1119" s="65" t="s">
        <v>4</v>
      </c>
      <c r="J1119" s="65" t="s">
        <v>4</v>
      </c>
      <c r="K1119" s="65" t="s">
        <v>4</v>
      </c>
      <c r="L1119" s="67"/>
      <c r="M1119" s="69" t="str">
        <f>IF(Main[[#This Row],[Tech Start Date]]&lt;1/1/1990,"",IF(Main[[#This Row],[Class]]="C",WORKDAY(Main[[#This Row],[Tech Start Date]],9),IF(Main[[#This Row],[Class]]="B", WORKDAY(Main[[#This Row],[Tech Start Date]],6),IF(Main[[#This Row],[Class]]="A",WORKDAY(Main[[#This Row],[Tech Start Date]],2),""))))</f>
        <v/>
      </c>
      <c r="N1119" s="69" t="str">
        <f>IF(Main[[#This Row],[Tech Start Date]]&lt;1/1/1990,"",IF(Main[[#This Row],[Class]]="C",WORKDAY(Main[[#This Row],[Tech Start Date]],19),IF(Main[[#This Row],[Class]]="B", WORKDAY(Main[[#This Row],[Tech Start Date]],12),IF(Main[[#This Row],[Class]]="A",WORKDAY(Main[[#This Row],[Tech Start Date]],4),""))))</f>
        <v/>
      </c>
      <c r="O1119" s="69" t="str">
        <f>IF(Main[[#This Row],[Tech Start Date]]&lt;1/1/1990,"",IF(Main[[#This Row],[Class]]="C",WORKDAY(Main[[#This Row],[Tech Start Date]],23),IF(Main[[#This Row],[Class]]="B", WORKDAY(Main[[#This Row],[Tech Start Date]],15),IF(Main[[#This Row],[Class]]="A",WORKDAY(Main[[#This Row],[Tech Start Date]],5),""))))</f>
        <v/>
      </c>
      <c r="P1119" s="69" t="str">
        <f>IF(Main[[#This Row],[Tech Start Date]]&lt;1/1/1990,"",IF(Main[[#This Row],[Class]]="C",WORKDAY(Main[[#This Row],[Tech Start Date]],28),IF(Main[[#This Row],[Class]]="B", WORKDAY(Main[[#This Row],[Tech Start Date]],19),IF(Main[[#This Row],[Class]]="A",WORKDAY(Main[[#This Row],[Tech Start Date]],9),""))))</f>
        <v/>
      </c>
      <c r="Q1119" s="67"/>
      <c r="R1119" s="67"/>
      <c r="S1119" s="65" t="s">
        <v>6</v>
      </c>
      <c r="T1119" s="70" t="s">
        <v>4</v>
      </c>
      <c r="U1119" s="65" t="s">
        <v>29</v>
      </c>
      <c r="V1119" s="65" t="s">
        <v>1914</v>
      </c>
      <c r="W1119" s="65" t="s">
        <v>1918</v>
      </c>
      <c r="X1119" s="65" t="s">
        <v>937</v>
      </c>
      <c r="Y1119" s="65" t="s">
        <v>2984</v>
      </c>
      <c r="Z1119" s="65" t="s">
        <v>4</v>
      </c>
      <c r="AA1119" s="65" t="s">
        <v>937</v>
      </c>
    </row>
    <row r="1120" spans="1:27" ht="17.45" hidden="1" customHeight="1">
      <c r="A1120" s="100" t="str">
        <f>IF(priority(Main[[#This Row],[Comments]])&lt;&gt;0, priority(Main[[#This Row],[Comments]]),"")</f>
        <v/>
      </c>
      <c r="B1120" s="77" t="s">
        <v>3355</v>
      </c>
      <c r="C1120" s="65" t="s">
        <v>4</v>
      </c>
      <c r="D1120" s="66" t="s">
        <v>3356</v>
      </c>
      <c r="E1120" s="67"/>
      <c r="F1120" s="67"/>
      <c r="G1120" s="64" t="str">
        <f>IF(stdProdLT(Main[[#This Row],[Comments]])=0.1,"N/A",IF(stdProdLT(Main[[#This Row],[Comments]])=0,"",stdProdLT(Main[[#This Row],[Comments]])))</f>
        <v/>
      </c>
      <c r="H1120" s="68" t="str">
        <f>IF(AND(Main[[#This Row],[In Stock Date]]&lt;&gt;"",Main[[#This Row],[Revised Due Date]]&lt;&gt;""),Main[[#This Row],[In Stock Date]]-Main[[#This Row],[Revised Due Date]],"")</f>
        <v/>
      </c>
      <c r="I1120" s="65" t="s">
        <v>4</v>
      </c>
      <c r="J1120" s="65" t="s">
        <v>4</v>
      </c>
      <c r="K1120" s="65" t="s">
        <v>4</v>
      </c>
      <c r="L1120" s="67"/>
      <c r="M1120" s="69" t="str">
        <f>IF(Main[[#This Row],[Tech Start Date]]&lt;1/1/1990,"",IF(Main[[#This Row],[Class]]="C",WORKDAY(Main[[#This Row],[Tech Start Date]],9),IF(Main[[#This Row],[Class]]="B", WORKDAY(Main[[#This Row],[Tech Start Date]],6),IF(Main[[#This Row],[Class]]="A",WORKDAY(Main[[#This Row],[Tech Start Date]],2),""))))</f>
        <v/>
      </c>
      <c r="N1120" s="69" t="str">
        <f>IF(Main[[#This Row],[Tech Start Date]]&lt;1/1/1990,"",IF(Main[[#This Row],[Class]]="C",WORKDAY(Main[[#This Row],[Tech Start Date]],19),IF(Main[[#This Row],[Class]]="B", WORKDAY(Main[[#This Row],[Tech Start Date]],12),IF(Main[[#This Row],[Class]]="A",WORKDAY(Main[[#This Row],[Tech Start Date]],4),""))))</f>
        <v/>
      </c>
      <c r="O1120" s="69" t="str">
        <f>IF(Main[[#This Row],[Tech Start Date]]&lt;1/1/1990,"",IF(Main[[#This Row],[Class]]="C",WORKDAY(Main[[#This Row],[Tech Start Date]],23),IF(Main[[#This Row],[Class]]="B", WORKDAY(Main[[#This Row],[Tech Start Date]],15),IF(Main[[#This Row],[Class]]="A",WORKDAY(Main[[#This Row],[Tech Start Date]],5),""))))</f>
        <v/>
      </c>
      <c r="P1120" s="69" t="str">
        <f>IF(Main[[#This Row],[Tech Start Date]]&lt;1/1/1990,"",IF(Main[[#This Row],[Class]]="C",WORKDAY(Main[[#This Row],[Tech Start Date]],28),IF(Main[[#This Row],[Class]]="B", WORKDAY(Main[[#This Row],[Tech Start Date]],19),IF(Main[[#This Row],[Class]]="A",WORKDAY(Main[[#This Row],[Tech Start Date]],9),""))))</f>
        <v/>
      </c>
      <c r="Q1120" s="67"/>
      <c r="R1120" s="67"/>
      <c r="S1120" s="65" t="s">
        <v>11</v>
      </c>
      <c r="T1120" s="70" t="s">
        <v>4</v>
      </c>
      <c r="U1120" s="65" t="s">
        <v>14</v>
      </c>
      <c r="V1120" s="65" t="s">
        <v>1929</v>
      </c>
      <c r="W1120" s="65" t="s">
        <v>1918</v>
      </c>
      <c r="X1120" s="65" t="s">
        <v>922</v>
      </c>
      <c r="Y1120" s="65" t="s">
        <v>2982</v>
      </c>
      <c r="Z1120" s="65" t="s">
        <v>4</v>
      </c>
      <c r="AA1120" s="65" t="s">
        <v>922</v>
      </c>
    </row>
    <row r="1121" spans="1:27" ht="17.45" hidden="1" customHeight="1">
      <c r="A1121" s="100" t="str">
        <f>IF(priority(Main[[#This Row],[Comments]])&lt;&gt;0, priority(Main[[#This Row],[Comments]]),"")</f>
        <v/>
      </c>
      <c r="B1121" s="77" t="s">
        <v>3683</v>
      </c>
      <c r="C1121" s="65" t="s">
        <v>4</v>
      </c>
      <c r="D1121" s="66" t="s">
        <v>3684</v>
      </c>
      <c r="E1121" s="67">
        <v>40952.960995370369</v>
      </c>
      <c r="F1121" s="67"/>
      <c r="G1121" s="64" t="str">
        <f>IF(stdProdLT(Main[[#This Row],[Comments]])=0.1,"N/A",IF(stdProdLT(Main[[#This Row],[Comments]])=0,"",stdProdLT(Main[[#This Row],[Comments]])))</f>
        <v/>
      </c>
      <c r="H1121" s="68" t="str">
        <f>IF(AND(Main[[#This Row],[In Stock Date]]&lt;&gt;"",Main[[#This Row],[Revised Due Date]]&lt;&gt;""),Main[[#This Row],[In Stock Date]]-Main[[#This Row],[Revised Due Date]],"")</f>
        <v/>
      </c>
      <c r="I1121" s="65" t="s">
        <v>2051</v>
      </c>
      <c r="J1121" s="65" t="s">
        <v>28</v>
      </c>
      <c r="K1121" s="65" t="s">
        <v>4</v>
      </c>
      <c r="L1121" s="67"/>
      <c r="M1121" s="69" t="str">
        <f>IF(Main[[#This Row],[Tech Start Date]]&lt;1/1/1990,"",IF(Main[[#This Row],[Class]]="C",WORKDAY(Main[[#This Row],[Tech Start Date]],9),IF(Main[[#This Row],[Class]]="B", WORKDAY(Main[[#This Row],[Tech Start Date]],6),IF(Main[[#This Row],[Class]]="A",WORKDAY(Main[[#This Row],[Tech Start Date]],2),""))))</f>
        <v/>
      </c>
      <c r="N1121" s="69" t="str">
        <f>IF(Main[[#This Row],[Tech Start Date]]&lt;1/1/1990,"",IF(Main[[#This Row],[Class]]="C",WORKDAY(Main[[#This Row],[Tech Start Date]],19),IF(Main[[#This Row],[Class]]="B", WORKDAY(Main[[#This Row],[Tech Start Date]],12),IF(Main[[#This Row],[Class]]="A",WORKDAY(Main[[#This Row],[Tech Start Date]],4),""))))</f>
        <v/>
      </c>
      <c r="O1121" s="69" t="str">
        <f>IF(Main[[#This Row],[Tech Start Date]]&lt;1/1/1990,"",IF(Main[[#This Row],[Class]]="C",WORKDAY(Main[[#This Row],[Tech Start Date]],23),IF(Main[[#This Row],[Class]]="B", WORKDAY(Main[[#This Row],[Tech Start Date]],15),IF(Main[[#This Row],[Class]]="A",WORKDAY(Main[[#This Row],[Tech Start Date]],5),""))))</f>
        <v/>
      </c>
      <c r="P1121" s="69" t="str">
        <f>IF(Main[[#This Row],[Tech Start Date]]&lt;1/1/1990,"",IF(Main[[#This Row],[Class]]="C",WORKDAY(Main[[#This Row],[Tech Start Date]],28),IF(Main[[#This Row],[Class]]="B", WORKDAY(Main[[#This Row],[Tech Start Date]],19),IF(Main[[#This Row],[Class]]="A",WORKDAY(Main[[#This Row],[Tech Start Date]],9),""))))</f>
        <v/>
      </c>
      <c r="Q1121" s="67">
        <v>40953</v>
      </c>
      <c r="R1121" s="67"/>
      <c r="S1121" s="65" t="s">
        <v>6</v>
      </c>
      <c r="T1121" s="70" t="s">
        <v>4</v>
      </c>
      <c r="U1121" s="65" t="s">
        <v>29</v>
      </c>
      <c r="V1121" s="65" t="s">
        <v>1917</v>
      </c>
      <c r="W1121" s="65" t="s">
        <v>1918</v>
      </c>
      <c r="X1121" s="65" t="s">
        <v>2895</v>
      </c>
      <c r="Y1121" s="65" t="s">
        <v>3060</v>
      </c>
      <c r="Z1121" s="65" t="s">
        <v>30</v>
      </c>
      <c r="AA1121" s="65" t="s">
        <v>2895</v>
      </c>
    </row>
    <row r="1122" spans="1:27" ht="17.45" hidden="1" customHeight="1">
      <c r="A1122" s="100" t="str">
        <f>IF(priority(Main[[#This Row],[Comments]])&lt;&gt;0, priority(Main[[#This Row],[Comments]]),"")</f>
        <v/>
      </c>
      <c r="B1122" s="77" t="s">
        <v>3357</v>
      </c>
      <c r="C1122" s="65" t="s">
        <v>47</v>
      </c>
      <c r="D1122" s="66" t="s">
        <v>3358</v>
      </c>
      <c r="E1122" s="67"/>
      <c r="F1122" s="67"/>
      <c r="G1122" s="64" t="str">
        <f>IF(stdProdLT(Main[[#This Row],[Comments]])=0.1,"N/A",IF(stdProdLT(Main[[#This Row],[Comments]])=0,"",stdProdLT(Main[[#This Row],[Comments]])))</f>
        <v/>
      </c>
      <c r="H1122" s="68" t="str">
        <f>IF(AND(Main[[#This Row],[In Stock Date]]&lt;&gt;"",Main[[#This Row],[Revised Due Date]]&lt;&gt;""),Main[[#This Row],[In Stock Date]]-Main[[#This Row],[Revised Due Date]],"")</f>
        <v/>
      </c>
      <c r="I1122" s="65" t="s">
        <v>4</v>
      </c>
      <c r="J1122" s="65" t="s">
        <v>4</v>
      </c>
      <c r="K1122" s="65" t="s">
        <v>4</v>
      </c>
      <c r="L1122" s="67"/>
      <c r="M1122" s="69" t="str">
        <f>IF(Main[[#This Row],[Tech Start Date]]&lt;1/1/1990,"",IF(Main[[#This Row],[Class]]="C",WORKDAY(Main[[#This Row],[Tech Start Date]],9),IF(Main[[#This Row],[Class]]="B", WORKDAY(Main[[#This Row],[Tech Start Date]],6),IF(Main[[#This Row],[Class]]="A",WORKDAY(Main[[#This Row],[Tech Start Date]],2),""))))</f>
        <v/>
      </c>
      <c r="N1122" s="69" t="str">
        <f>IF(Main[[#This Row],[Tech Start Date]]&lt;1/1/1990,"",IF(Main[[#This Row],[Class]]="C",WORKDAY(Main[[#This Row],[Tech Start Date]],19),IF(Main[[#This Row],[Class]]="B", WORKDAY(Main[[#This Row],[Tech Start Date]],12),IF(Main[[#This Row],[Class]]="A",WORKDAY(Main[[#This Row],[Tech Start Date]],4),""))))</f>
        <v/>
      </c>
      <c r="O1122" s="69" t="str">
        <f>IF(Main[[#This Row],[Tech Start Date]]&lt;1/1/1990,"",IF(Main[[#This Row],[Class]]="C",WORKDAY(Main[[#This Row],[Tech Start Date]],23),IF(Main[[#This Row],[Class]]="B", WORKDAY(Main[[#This Row],[Tech Start Date]],15),IF(Main[[#This Row],[Class]]="A",WORKDAY(Main[[#This Row],[Tech Start Date]],5),""))))</f>
        <v/>
      </c>
      <c r="P1122" s="69" t="str">
        <f>IF(Main[[#This Row],[Tech Start Date]]&lt;1/1/1990,"",IF(Main[[#This Row],[Class]]="C",WORKDAY(Main[[#This Row],[Tech Start Date]],28),IF(Main[[#This Row],[Class]]="B", WORKDAY(Main[[#This Row],[Tech Start Date]],19),IF(Main[[#This Row],[Class]]="A",WORKDAY(Main[[#This Row],[Tech Start Date]],9),""))))</f>
        <v/>
      </c>
      <c r="Q1122" s="67">
        <v>40964</v>
      </c>
      <c r="R1122" s="67"/>
      <c r="S1122" s="65" t="s">
        <v>6</v>
      </c>
      <c r="T1122" s="70" t="s">
        <v>4</v>
      </c>
      <c r="U1122" s="65" t="s">
        <v>12</v>
      </c>
      <c r="V1122" s="65" t="s">
        <v>2283</v>
      </c>
      <c r="W1122" s="65" t="s">
        <v>4</v>
      </c>
      <c r="X1122" s="65" t="s">
        <v>2865</v>
      </c>
      <c r="Y1122" s="65" t="s">
        <v>4</v>
      </c>
      <c r="Z1122" s="65" t="s">
        <v>4</v>
      </c>
      <c r="AA1122" s="65" t="s">
        <v>2865</v>
      </c>
    </row>
    <row r="1123" spans="1:27" ht="17.45" hidden="1" customHeight="1">
      <c r="A1123" s="100" t="str">
        <f>IF(priority(Main[[#This Row],[Comments]])&lt;&gt;0, priority(Main[[#This Row],[Comments]]),"")</f>
        <v/>
      </c>
      <c r="B1123" s="77" t="s">
        <v>3278</v>
      </c>
      <c r="C1123" s="65" t="s">
        <v>3279</v>
      </c>
      <c r="D1123" s="66" t="s">
        <v>3280</v>
      </c>
      <c r="E1123" s="67"/>
      <c r="F1123" s="67">
        <v>41117</v>
      </c>
      <c r="G1123" s="64" t="str">
        <f>IF(stdProdLT(Main[[#This Row],[Comments]])=0.1,"N/A",IF(stdProdLT(Main[[#This Row],[Comments]])=0,"",stdProdLT(Main[[#This Row],[Comments]])))</f>
        <v/>
      </c>
      <c r="H1123" s="68" t="str">
        <f>IF(AND(Main[[#This Row],[In Stock Date]]&lt;&gt;"",Main[[#This Row],[Revised Due Date]]&lt;&gt;""),Main[[#This Row],[In Stock Date]]-Main[[#This Row],[Revised Due Date]],"")</f>
        <v/>
      </c>
      <c r="I1123" s="65" t="s">
        <v>4</v>
      </c>
      <c r="J1123" s="65" t="s">
        <v>4</v>
      </c>
      <c r="K1123" s="65" t="s">
        <v>4</v>
      </c>
      <c r="L1123" s="67"/>
      <c r="M1123" s="69" t="str">
        <f>IF(Main[[#This Row],[Tech Start Date]]&lt;1/1/1990,"",IF(Main[[#This Row],[Class]]="C",WORKDAY(Main[[#This Row],[Tech Start Date]],9),IF(Main[[#This Row],[Class]]="B", WORKDAY(Main[[#This Row],[Tech Start Date]],6),IF(Main[[#This Row],[Class]]="A",WORKDAY(Main[[#This Row],[Tech Start Date]],2),""))))</f>
        <v/>
      </c>
      <c r="N1123" s="69" t="str">
        <f>IF(Main[[#This Row],[Tech Start Date]]&lt;1/1/1990,"",IF(Main[[#This Row],[Class]]="C",WORKDAY(Main[[#This Row],[Tech Start Date]],19),IF(Main[[#This Row],[Class]]="B", WORKDAY(Main[[#This Row],[Tech Start Date]],12),IF(Main[[#This Row],[Class]]="A",WORKDAY(Main[[#This Row],[Tech Start Date]],4),""))))</f>
        <v/>
      </c>
      <c r="O1123" s="69" t="str">
        <f>IF(Main[[#This Row],[Tech Start Date]]&lt;1/1/1990,"",IF(Main[[#This Row],[Class]]="C",WORKDAY(Main[[#This Row],[Tech Start Date]],23),IF(Main[[#This Row],[Class]]="B", WORKDAY(Main[[#This Row],[Tech Start Date]],15),IF(Main[[#This Row],[Class]]="A",WORKDAY(Main[[#This Row],[Tech Start Date]],5),""))))</f>
        <v/>
      </c>
      <c r="P1123" s="69" t="str">
        <f>IF(Main[[#This Row],[Tech Start Date]]&lt;1/1/1990,"",IF(Main[[#This Row],[Class]]="C",WORKDAY(Main[[#This Row],[Tech Start Date]],28),IF(Main[[#This Row],[Class]]="B", WORKDAY(Main[[#This Row],[Tech Start Date]],19),IF(Main[[#This Row],[Class]]="A",WORKDAY(Main[[#This Row],[Tech Start Date]],9),""))))</f>
        <v/>
      </c>
      <c r="Q1123" s="67">
        <v>40935</v>
      </c>
      <c r="R1123" s="67"/>
      <c r="S1123" s="65" t="s">
        <v>11</v>
      </c>
      <c r="T1123" s="70" t="s">
        <v>3281</v>
      </c>
      <c r="U1123" s="65" t="s">
        <v>14</v>
      </c>
      <c r="V1123" s="65" t="s">
        <v>1914</v>
      </c>
      <c r="W1123" s="65" t="s">
        <v>1922</v>
      </c>
      <c r="X1123" s="65" t="s">
        <v>2906</v>
      </c>
      <c r="Y1123" s="65" t="s">
        <v>3096</v>
      </c>
      <c r="Z1123" s="65" t="s">
        <v>4</v>
      </c>
      <c r="AA1123" s="65" t="s">
        <v>2906</v>
      </c>
    </row>
    <row r="1124" spans="1:27" ht="17.45" hidden="1" customHeight="1">
      <c r="A1124" s="100" t="str">
        <f>IF(priority(Main[[#This Row],[Comments]])&lt;&gt;0, priority(Main[[#This Row],[Comments]]),"")</f>
        <v/>
      </c>
      <c r="B1124" s="77" t="s">
        <v>2725</v>
      </c>
      <c r="C1124" s="65" t="s">
        <v>4</v>
      </c>
      <c r="D1124" s="66" t="s">
        <v>2726</v>
      </c>
      <c r="E1124" s="67">
        <v>40884.635914351849</v>
      </c>
      <c r="F1124" s="67"/>
      <c r="G1124" s="64" t="str">
        <f>IF(stdProdLT(Main[[#This Row],[Comments]])=0.1,"N/A",IF(stdProdLT(Main[[#This Row],[Comments]])=0,"",stdProdLT(Main[[#This Row],[Comments]])))</f>
        <v/>
      </c>
      <c r="H1124" s="68" t="str">
        <f>IF(AND(Main[[#This Row],[In Stock Date]]&lt;&gt;"",Main[[#This Row],[Revised Due Date]]&lt;&gt;""),Main[[#This Row],[In Stock Date]]-Main[[#This Row],[Revised Due Date]],"")</f>
        <v/>
      </c>
      <c r="I1124" s="65" t="s">
        <v>4</v>
      </c>
      <c r="J1124" s="65" t="s">
        <v>4</v>
      </c>
      <c r="K1124" s="65" t="s">
        <v>4</v>
      </c>
      <c r="L1124" s="67"/>
      <c r="M1124" s="69" t="str">
        <f>IF(Main[[#This Row],[Tech Start Date]]&lt;1/1/1990,"",IF(Main[[#This Row],[Class]]="C",WORKDAY(Main[[#This Row],[Tech Start Date]],9),IF(Main[[#This Row],[Class]]="B", WORKDAY(Main[[#This Row],[Tech Start Date]],6),IF(Main[[#This Row],[Class]]="A",WORKDAY(Main[[#This Row],[Tech Start Date]],2),""))))</f>
        <v/>
      </c>
      <c r="N1124" s="69" t="str">
        <f>IF(Main[[#This Row],[Tech Start Date]]&lt;1/1/1990,"",IF(Main[[#This Row],[Class]]="C",WORKDAY(Main[[#This Row],[Tech Start Date]],19),IF(Main[[#This Row],[Class]]="B", WORKDAY(Main[[#This Row],[Tech Start Date]],12),IF(Main[[#This Row],[Class]]="A",WORKDAY(Main[[#This Row],[Tech Start Date]],4),""))))</f>
        <v/>
      </c>
      <c r="O1124" s="69" t="str">
        <f>IF(Main[[#This Row],[Tech Start Date]]&lt;1/1/1990,"",IF(Main[[#This Row],[Class]]="C",WORKDAY(Main[[#This Row],[Tech Start Date]],23),IF(Main[[#This Row],[Class]]="B", WORKDAY(Main[[#This Row],[Tech Start Date]],15),IF(Main[[#This Row],[Class]]="A",WORKDAY(Main[[#This Row],[Tech Start Date]],5),""))))</f>
        <v/>
      </c>
      <c r="P1124" s="69" t="str">
        <f>IF(Main[[#This Row],[Tech Start Date]]&lt;1/1/1990,"",IF(Main[[#This Row],[Class]]="C",WORKDAY(Main[[#This Row],[Tech Start Date]],28),IF(Main[[#This Row],[Class]]="B", WORKDAY(Main[[#This Row],[Tech Start Date]],19),IF(Main[[#This Row],[Class]]="A",WORKDAY(Main[[#This Row],[Tech Start Date]],9),""))))</f>
        <v/>
      </c>
      <c r="Q1124" s="67">
        <v>41000</v>
      </c>
      <c r="R1124" s="67"/>
      <c r="S1124" s="65" t="s">
        <v>11</v>
      </c>
      <c r="T1124" s="70" t="s">
        <v>4</v>
      </c>
      <c r="U1124" s="65" t="s">
        <v>7</v>
      </c>
      <c r="V1124" s="65" t="s">
        <v>1929</v>
      </c>
      <c r="W1124" s="65" t="s">
        <v>1919</v>
      </c>
      <c r="X1124" s="65" t="s">
        <v>922</v>
      </c>
      <c r="Y1124" s="65" t="s">
        <v>3072</v>
      </c>
      <c r="Z1124" s="65" t="s">
        <v>4</v>
      </c>
      <c r="AA1124" s="65" t="s">
        <v>907</v>
      </c>
    </row>
    <row r="1125" spans="1:27" ht="17.45" hidden="1" customHeight="1">
      <c r="A1125" s="100" t="str">
        <f>IF(priority(Main[[#This Row],[Comments]])&lt;&gt;0, priority(Main[[#This Row],[Comments]]),"")</f>
        <v/>
      </c>
      <c r="B1125" s="77" t="s">
        <v>2271</v>
      </c>
      <c r="C1125" s="65" t="s">
        <v>4</v>
      </c>
      <c r="D1125" s="66" t="s">
        <v>2555</v>
      </c>
      <c r="E1125" s="67">
        <v>40809.3827662037</v>
      </c>
      <c r="F1125" s="67"/>
      <c r="G1125" s="64" t="str">
        <f>IF(stdProdLT(Main[[#This Row],[Comments]])=0.1,"N/A",IF(stdProdLT(Main[[#This Row],[Comments]])=0,"",stdProdLT(Main[[#This Row],[Comments]])))</f>
        <v/>
      </c>
      <c r="H1125" s="68" t="str">
        <f>IF(AND(Main[[#This Row],[In Stock Date]]&lt;&gt;"",Main[[#This Row],[Revised Due Date]]&lt;&gt;""),Main[[#This Row],[In Stock Date]]-Main[[#This Row],[Revised Due Date]],"")</f>
        <v/>
      </c>
      <c r="I1125" s="65" t="s">
        <v>912</v>
      </c>
      <c r="J1125" s="65" t="s">
        <v>52</v>
      </c>
      <c r="K1125" s="65" t="s">
        <v>4</v>
      </c>
      <c r="L1125" s="67"/>
      <c r="M1125" s="69" t="str">
        <f>IF(Main[[#This Row],[Tech Start Date]]&lt;1/1/1990,"",IF(Main[[#This Row],[Class]]="C",WORKDAY(Main[[#This Row],[Tech Start Date]],9),IF(Main[[#This Row],[Class]]="B", WORKDAY(Main[[#This Row],[Tech Start Date]],6),IF(Main[[#This Row],[Class]]="A",WORKDAY(Main[[#This Row],[Tech Start Date]],2),""))))</f>
        <v/>
      </c>
      <c r="N1125" s="69" t="str">
        <f>IF(Main[[#This Row],[Tech Start Date]]&lt;1/1/1990,"",IF(Main[[#This Row],[Class]]="C",WORKDAY(Main[[#This Row],[Tech Start Date]],19),IF(Main[[#This Row],[Class]]="B", WORKDAY(Main[[#This Row],[Tech Start Date]],12),IF(Main[[#This Row],[Class]]="A",WORKDAY(Main[[#This Row],[Tech Start Date]],4),""))))</f>
        <v/>
      </c>
      <c r="O1125" s="69" t="str">
        <f>IF(Main[[#This Row],[Tech Start Date]]&lt;1/1/1990,"",IF(Main[[#This Row],[Class]]="C",WORKDAY(Main[[#This Row],[Tech Start Date]],23),IF(Main[[#This Row],[Class]]="B", WORKDAY(Main[[#This Row],[Tech Start Date]],15),IF(Main[[#This Row],[Class]]="A",WORKDAY(Main[[#This Row],[Tech Start Date]],5),""))))</f>
        <v/>
      </c>
      <c r="P1125" s="69" t="str">
        <f>IF(Main[[#This Row],[Tech Start Date]]&lt;1/1/1990,"",IF(Main[[#This Row],[Class]]="C",WORKDAY(Main[[#This Row],[Tech Start Date]],28),IF(Main[[#This Row],[Class]]="B", WORKDAY(Main[[#This Row],[Tech Start Date]],19),IF(Main[[#This Row],[Class]]="A",WORKDAY(Main[[#This Row],[Tech Start Date]],9),""))))</f>
        <v/>
      </c>
      <c r="Q1125" s="67"/>
      <c r="R1125" s="67">
        <v>40840</v>
      </c>
      <c r="S1125" s="65" t="s">
        <v>6</v>
      </c>
      <c r="T1125" s="70" t="s">
        <v>4</v>
      </c>
      <c r="U1125" s="65" t="s">
        <v>29</v>
      </c>
      <c r="V1125" s="65" t="s">
        <v>1914</v>
      </c>
      <c r="W1125" s="65" t="s">
        <v>1918</v>
      </c>
      <c r="X1125" s="65" t="s">
        <v>306</v>
      </c>
      <c r="Y1125" s="65" t="s">
        <v>4</v>
      </c>
      <c r="Z1125" s="65" t="s">
        <v>129</v>
      </c>
      <c r="AA1125" s="65" t="s">
        <v>50</v>
      </c>
    </row>
    <row r="1126" spans="1:27" ht="17.45" hidden="1" customHeight="1">
      <c r="A1126" s="100" t="str">
        <f>IF(priority(Main[[#This Row],[Comments]])&lt;&gt;0, priority(Main[[#This Row],[Comments]]),"")</f>
        <v/>
      </c>
      <c r="B1126" s="77" t="s">
        <v>1840</v>
      </c>
      <c r="C1126" s="65" t="s">
        <v>4</v>
      </c>
      <c r="D1126" s="66" t="s">
        <v>896</v>
      </c>
      <c r="E1126" s="67">
        <v>40241.453090277777</v>
      </c>
      <c r="F1126" s="67"/>
      <c r="G1126" s="64" t="str">
        <f>IF(stdProdLT(Main[[#This Row],[Comments]])=0.1,"N/A",IF(stdProdLT(Main[[#This Row],[Comments]])=0,"",stdProdLT(Main[[#This Row],[Comments]])))</f>
        <v/>
      </c>
      <c r="H1126" s="68" t="str">
        <f>IF(AND(Main[[#This Row],[In Stock Date]]&lt;&gt;"",Main[[#This Row],[Revised Due Date]]&lt;&gt;""),Main[[#This Row],[In Stock Date]]-Main[[#This Row],[Revised Due Date]],"")</f>
        <v/>
      </c>
      <c r="I1126" s="65" t="s">
        <v>74</v>
      </c>
      <c r="J1126" s="65" t="s">
        <v>4</v>
      </c>
      <c r="K1126" s="65" t="s">
        <v>1926</v>
      </c>
      <c r="L1126" s="67"/>
      <c r="M1126" s="69" t="str">
        <f>IF(Main[[#This Row],[Tech Start Date]]&lt;1/1/1990,"",IF(Main[[#This Row],[Class]]="C",WORKDAY(Main[[#This Row],[Tech Start Date]],9),IF(Main[[#This Row],[Class]]="B", WORKDAY(Main[[#This Row],[Tech Start Date]],6),IF(Main[[#This Row],[Class]]="A",WORKDAY(Main[[#This Row],[Tech Start Date]],2),""))))</f>
        <v/>
      </c>
      <c r="N1126" s="69" t="str">
        <f>IF(Main[[#This Row],[Tech Start Date]]&lt;1/1/1990,"",IF(Main[[#This Row],[Class]]="C",WORKDAY(Main[[#This Row],[Tech Start Date]],19),IF(Main[[#This Row],[Class]]="B", WORKDAY(Main[[#This Row],[Tech Start Date]],12),IF(Main[[#This Row],[Class]]="A",WORKDAY(Main[[#This Row],[Tech Start Date]],4),""))))</f>
        <v/>
      </c>
      <c r="O1126" s="69" t="str">
        <f>IF(Main[[#This Row],[Tech Start Date]]&lt;1/1/1990,"",IF(Main[[#This Row],[Class]]="C",WORKDAY(Main[[#This Row],[Tech Start Date]],23),IF(Main[[#This Row],[Class]]="B", WORKDAY(Main[[#This Row],[Tech Start Date]],15),IF(Main[[#This Row],[Class]]="A",WORKDAY(Main[[#This Row],[Tech Start Date]],5),""))))</f>
        <v/>
      </c>
      <c r="P1126" s="69" t="str">
        <f>IF(Main[[#This Row],[Tech Start Date]]&lt;1/1/1990,"",IF(Main[[#This Row],[Class]]="C",WORKDAY(Main[[#This Row],[Tech Start Date]],28),IF(Main[[#This Row],[Class]]="B", WORKDAY(Main[[#This Row],[Tech Start Date]],19),IF(Main[[#This Row],[Class]]="A",WORKDAY(Main[[#This Row],[Tech Start Date]],9),""))))</f>
        <v/>
      </c>
      <c r="Q1126" s="67"/>
      <c r="R1126" s="67">
        <v>40967</v>
      </c>
      <c r="S1126" s="65" t="s">
        <v>17</v>
      </c>
      <c r="T1126" s="70" t="s">
        <v>4</v>
      </c>
      <c r="U1126" s="65" t="s">
        <v>29</v>
      </c>
      <c r="V1126" s="65" t="s">
        <v>1917</v>
      </c>
      <c r="W1126" s="65" t="s">
        <v>4</v>
      </c>
      <c r="X1126" s="65" t="s">
        <v>306</v>
      </c>
      <c r="Y1126" s="65" t="s">
        <v>2949</v>
      </c>
      <c r="Z1126" s="65" t="s">
        <v>415</v>
      </c>
      <c r="AA1126" s="65" t="s">
        <v>3435</v>
      </c>
    </row>
    <row r="1127" spans="1:27" ht="17.45" hidden="1" customHeight="1">
      <c r="A1127" s="100" t="str">
        <f>IF(priority(Main[[#This Row],[Comments]])&lt;&gt;0, priority(Main[[#This Row],[Comments]]),"")</f>
        <v/>
      </c>
      <c r="B1127" s="77" t="s">
        <v>2666</v>
      </c>
      <c r="C1127" s="65" t="s">
        <v>47</v>
      </c>
      <c r="D1127" s="66" t="s">
        <v>3349</v>
      </c>
      <c r="E1127" s="67">
        <v>40938.399201388886</v>
      </c>
      <c r="F1127" s="67"/>
      <c r="G1127" s="64" t="str">
        <f>IF(stdProdLT(Main[[#This Row],[Comments]])=0.1,"N/A",IF(stdProdLT(Main[[#This Row],[Comments]])=0,"",stdProdLT(Main[[#This Row],[Comments]])))</f>
        <v/>
      </c>
      <c r="H1127" s="68" t="str">
        <f>IF(AND(Main[[#This Row],[In Stock Date]]&lt;&gt;"",Main[[#This Row],[Revised Due Date]]&lt;&gt;""),Main[[#This Row],[In Stock Date]]-Main[[#This Row],[Revised Due Date]],"")</f>
        <v/>
      </c>
      <c r="I1127" s="65" t="s">
        <v>4</v>
      </c>
      <c r="J1127" s="65" t="s">
        <v>4</v>
      </c>
      <c r="K1127" s="65" t="s">
        <v>4</v>
      </c>
      <c r="L1127" s="67"/>
      <c r="M1127" s="69" t="str">
        <f>IF(Main[[#This Row],[Tech Start Date]]&lt;1/1/1990,"",IF(Main[[#This Row],[Class]]="C",WORKDAY(Main[[#This Row],[Tech Start Date]],9),IF(Main[[#This Row],[Class]]="B", WORKDAY(Main[[#This Row],[Tech Start Date]],6),IF(Main[[#This Row],[Class]]="A",WORKDAY(Main[[#This Row],[Tech Start Date]],2),""))))</f>
        <v/>
      </c>
      <c r="N1127" s="69" t="str">
        <f>IF(Main[[#This Row],[Tech Start Date]]&lt;1/1/1990,"",IF(Main[[#This Row],[Class]]="C",WORKDAY(Main[[#This Row],[Tech Start Date]],19),IF(Main[[#This Row],[Class]]="B", WORKDAY(Main[[#This Row],[Tech Start Date]],12),IF(Main[[#This Row],[Class]]="A",WORKDAY(Main[[#This Row],[Tech Start Date]],4),""))))</f>
        <v/>
      </c>
      <c r="O1127" s="69" t="str">
        <f>IF(Main[[#This Row],[Tech Start Date]]&lt;1/1/1990,"",IF(Main[[#This Row],[Class]]="C",WORKDAY(Main[[#This Row],[Tech Start Date]],23),IF(Main[[#This Row],[Class]]="B", WORKDAY(Main[[#This Row],[Tech Start Date]],15),IF(Main[[#This Row],[Class]]="A",WORKDAY(Main[[#This Row],[Tech Start Date]],5),""))))</f>
        <v/>
      </c>
      <c r="P1127" s="69" t="str">
        <f>IF(Main[[#This Row],[Tech Start Date]]&lt;1/1/1990,"",IF(Main[[#This Row],[Class]]="C",WORKDAY(Main[[#This Row],[Tech Start Date]],28),IF(Main[[#This Row],[Class]]="B", WORKDAY(Main[[#This Row],[Tech Start Date]],19),IF(Main[[#This Row],[Class]]="A",WORKDAY(Main[[#This Row],[Tech Start Date]],9),""))))</f>
        <v/>
      </c>
      <c r="Q1127" s="67">
        <v>40913</v>
      </c>
      <c r="R1127" s="67"/>
      <c r="S1127" s="65" t="s">
        <v>6</v>
      </c>
      <c r="T1127" s="70" t="s">
        <v>4</v>
      </c>
      <c r="U1127" s="65" t="s">
        <v>7</v>
      </c>
      <c r="V1127" s="65" t="s">
        <v>2283</v>
      </c>
      <c r="W1127" s="65" t="s">
        <v>4</v>
      </c>
      <c r="X1127" s="65" t="s">
        <v>2865</v>
      </c>
      <c r="Y1127" s="65" t="s">
        <v>3010</v>
      </c>
      <c r="Z1127" s="65" t="s">
        <v>4</v>
      </c>
      <c r="AA1127" s="65" t="s">
        <v>2865</v>
      </c>
    </row>
    <row r="1128" spans="1:27" ht="17.45" hidden="1" customHeight="1">
      <c r="A1128" s="100" t="str">
        <f>IF(priority(Main[[#This Row],[Comments]])&lt;&gt;0, priority(Main[[#This Row],[Comments]]),"")</f>
        <v/>
      </c>
      <c r="B1128" s="77" t="s">
        <v>3350</v>
      </c>
      <c r="C1128" s="65" t="s">
        <v>4</v>
      </c>
      <c r="D1128" s="66" t="s">
        <v>3687</v>
      </c>
      <c r="E1128" s="67">
        <v>40938.460613425923</v>
      </c>
      <c r="F1128" s="67"/>
      <c r="G1128" s="64" t="str">
        <f>IF(stdProdLT(Main[[#This Row],[Comments]])=0.1,"N/A",IF(stdProdLT(Main[[#This Row],[Comments]])=0,"",stdProdLT(Main[[#This Row],[Comments]])))</f>
        <v/>
      </c>
      <c r="H1128" s="68" t="str">
        <f>IF(AND(Main[[#This Row],[In Stock Date]]&lt;&gt;"",Main[[#This Row],[Revised Due Date]]&lt;&gt;""),Main[[#This Row],[In Stock Date]]-Main[[#This Row],[Revised Due Date]],"")</f>
        <v/>
      </c>
      <c r="I1128" s="65" t="s">
        <v>69</v>
      </c>
      <c r="J1128" s="65" t="s">
        <v>70</v>
      </c>
      <c r="K1128" s="65" t="s">
        <v>4</v>
      </c>
      <c r="L1128" s="67"/>
      <c r="M1128" s="69" t="str">
        <f>IF(Main[[#This Row],[Tech Start Date]]&lt;1/1/1990,"",IF(Main[[#This Row],[Class]]="C",WORKDAY(Main[[#This Row],[Tech Start Date]],9),IF(Main[[#This Row],[Class]]="B", WORKDAY(Main[[#This Row],[Tech Start Date]],6),IF(Main[[#This Row],[Class]]="A",WORKDAY(Main[[#This Row],[Tech Start Date]],2),""))))</f>
        <v/>
      </c>
      <c r="N1128" s="69" t="str">
        <f>IF(Main[[#This Row],[Tech Start Date]]&lt;1/1/1990,"",IF(Main[[#This Row],[Class]]="C",WORKDAY(Main[[#This Row],[Tech Start Date]],19),IF(Main[[#This Row],[Class]]="B", WORKDAY(Main[[#This Row],[Tech Start Date]],12),IF(Main[[#This Row],[Class]]="A",WORKDAY(Main[[#This Row],[Tech Start Date]],4),""))))</f>
        <v/>
      </c>
      <c r="O1128" s="69" t="str">
        <f>IF(Main[[#This Row],[Tech Start Date]]&lt;1/1/1990,"",IF(Main[[#This Row],[Class]]="C",WORKDAY(Main[[#This Row],[Tech Start Date]],23),IF(Main[[#This Row],[Class]]="B", WORKDAY(Main[[#This Row],[Tech Start Date]],15),IF(Main[[#This Row],[Class]]="A",WORKDAY(Main[[#This Row],[Tech Start Date]],5),""))))</f>
        <v/>
      </c>
      <c r="P1128" s="69" t="str">
        <f>IF(Main[[#This Row],[Tech Start Date]]&lt;1/1/1990,"",IF(Main[[#This Row],[Class]]="C",WORKDAY(Main[[#This Row],[Tech Start Date]],28),IF(Main[[#This Row],[Class]]="B", WORKDAY(Main[[#This Row],[Tech Start Date]],19),IF(Main[[#This Row],[Class]]="A",WORKDAY(Main[[#This Row],[Tech Start Date]],9),""))))</f>
        <v/>
      </c>
      <c r="Q1128" s="67"/>
      <c r="R1128" s="67"/>
      <c r="S1128" s="65" t="s">
        <v>6</v>
      </c>
      <c r="T1128" s="70" t="s">
        <v>4</v>
      </c>
      <c r="U1128" s="65" t="s">
        <v>29</v>
      </c>
      <c r="V1128" s="65" t="s">
        <v>1917</v>
      </c>
      <c r="W1128" s="65" t="s">
        <v>4</v>
      </c>
      <c r="X1128" s="65" t="s">
        <v>2841</v>
      </c>
      <c r="Y1128" s="65" t="s">
        <v>2971</v>
      </c>
      <c r="Z1128" s="65" t="s">
        <v>4</v>
      </c>
      <c r="AA1128" s="65" t="s">
        <v>2841</v>
      </c>
    </row>
    <row r="1129" spans="1:27" ht="17.45" hidden="1" customHeight="1">
      <c r="A1129" s="100" t="str">
        <f>IF(priority(Main[[#This Row],[Comments]])&lt;&gt;0, priority(Main[[#This Row],[Comments]]),"")</f>
        <v/>
      </c>
      <c r="B1129" s="77" t="s">
        <v>3346</v>
      </c>
      <c r="C1129" s="65" t="s">
        <v>148</v>
      </c>
      <c r="D1129" s="66" t="s">
        <v>3347</v>
      </c>
      <c r="E1129" s="67">
        <v>40967.389756944445</v>
      </c>
      <c r="F1129" s="67">
        <v>41128</v>
      </c>
      <c r="G1129" s="64">
        <f>IF(stdProdLT(Main[[#This Row],[Comments]])=0.1,"N/A",IF(stdProdLT(Main[[#This Row],[Comments]])=0,"",stdProdLT(Main[[#This Row],[Comments]])))</f>
        <v>168</v>
      </c>
      <c r="H1129" s="68" t="str">
        <f>IF(AND(Main[[#This Row],[In Stock Date]]&lt;&gt;"",Main[[#This Row],[Revised Due Date]]&lt;&gt;""),Main[[#This Row],[In Stock Date]]-Main[[#This Row],[Revised Due Date]],"")</f>
        <v/>
      </c>
      <c r="I1129" s="65" t="s">
        <v>4</v>
      </c>
      <c r="J1129" s="65" t="s">
        <v>4</v>
      </c>
      <c r="K1129" s="65" t="s">
        <v>4</v>
      </c>
      <c r="L1129" s="67"/>
      <c r="M1129" s="69" t="str">
        <f>IF(Main[[#This Row],[Tech Start Date]]&lt;1/1/1990,"",IF(Main[[#This Row],[Class]]="C",WORKDAY(Main[[#This Row],[Tech Start Date]],9),IF(Main[[#This Row],[Class]]="B", WORKDAY(Main[[#This Row],[Tech Start Date]],6),IF(Main[[#This Row],[Class]]="A",WORKDAY(Main[[#This Row],[Tech Start Date]],2),""))))</f>
        <v/>
      </c>
      <c r="N1129" s="69" t="str">
        <f>IF(Main[[#This Row],[Tech Start Date]]&lt;1/1/1990,"",IF(Main[[#This Row],[Class]]="C",WORKDAY(Main[[#This Row],[Tech Start Date]],19),IF(Main[[#This Row],[Class]]="B", WORKDAY(Main[[#This Row],[Tech Start Date]],12),IF(Main[[#This Row],[Class]]="A",WORKDAY(Main[[#This Row],[Tech Start Date]],4),""))))</f>
        <v/>
      </c>
      <c r="O1129" s="69" t="str">
        <f>IF(Main[[#This Row],[Tech Start Date]]&lt;1/1/1990,"",IF(Main[[#This Row],[Class]]="C",WORKDAY(Main[[#This Row],[Tech Start Date]],23),IF(Main[[#This Row],[Class]]="B", WORKDAY(Main[[#This Row],[Tech Start Date]],15),IF(Main[[#This Row],[Class]]="A",WORKDAY(Main[[#This Row],[Tech Start Date]],5),""))))</f>
        <v/>
      </c>
      <c r="P1129" s="69" t="str">
        <f>IF(Main[[#This Row],[Tech Start Date]]&lt;1/1/1990,"",IF(Main[[#This Row],[Class]]="C",WORKDAY(Main[[#This Row],[Tech Start Date]],28),IF(Main[[#This Row],[Class]]="B", WORKDAY(Main[[#This Row],[Tech Start Date]],19),IF(Main[[#This Row],[Class]]="A",WORKDAY(Main[[#This Row],[Tech Start Date]],9),""))))</f>
        <v/>
      </c>
      <c r="Q1129" s="67"/>
      <c r="R1129" s="67"/>
      <c r="S1129" s="65" t="s">
        <v>11</v>
      </c>
      <c r="T1129" s="70" t="s">
        <v>3688</v>
      </c>
      <c r="U1129" s="65" t="s">
        <v>694</v>
      </c>
      <c r="V1129" s="65" t="s">
        <v>1917</v>
      </c>
      <c r="W1129" s="65" t="s">
        <v>1922</v>
      </c>
      <c r="X1129" s="65" t="s">
        <v>2893</v>
      </c>
      <c r="Y1129" s="65" t="s">
        <v>3055</v>
      </c>
      <c r="Z1129" s="65" t="s">
        <v>4</v>
      </c>
      <c r="AA1129" s="65" t="s">
        <v>2893</v>
      </c>
    </row>
    <row r="1130" spans="1:27" ht="17.45" hidden="1" customHeight="1">
      <c r="A1130" s="100" t="str">
        <f>IF(priority(Main[[#This Row],[Comments]])&lt;&gt;0, priority(Main[[#This Row],[Comments]]),"")</f>
        <v/>
      </c>
      <c r="B1130" s="77" t="s">
        <v>1201</v>
      </c>
      <c r="C1130" s="65" t="s">
        <v>4</v>
      </c>
      <c r="D1130" s="66" t="s">
        <v>3689</v>
      </c>
      <c r="E1130" s="67">
        <v>40667.612881944442</v>
      </c>
      <c r="F1130" s="67"/>
      <c r="G1130" s="64" t="str">
        <f>IF(stdProdLT(Main[[#This Row],[Comments]])=0.1,"N/A",IF(stdProdLT(Main[[#This Row],[Comments]])=0,"",stdProdLT(Main[[#This Row],[Comments]])))</f>
        <v/>
      </c>
      <c r="H1130" s="68" t="str">
        <f>IF(AND(Main[[#This Row],[In Stock Date]]&lt;&gt;"",Main[[#This Row],[Revised Due Date]]&lt;&gt;""),Main[[#This Row],[In Stock Date]]-Main[[#This Row],[Revised Due Date]],"")</f>
        <v/>
      </c>
      <c r="I1130" s="65" t="s">
        <v>4</v>
      </c>
      <c r="J1130" s="65" t="s">
        <v>4</v>
      </c>
      <c r="K1130" s="65" t="s">
        <v>4</v>
      </c>
      <c r="L1130" s="67"/>
      <c r="M1130" s="69" t="str">
        <f>IF(Main[[#This Row],[Tech Start Date]]&lt;1/1/1990,"",IF(Main[[#This Row],[Class]]="C",WORKDAY(Main[[#This Row],[Tech Start Date]],9),IF(Main[[#This Row],[Class]]="B", WORKDAY(Main[[#This Row],[Tech Start Date]],6),IF(Main[[#This Row],[Class]]="A",WORKDAY(Main[[#This Row],[Tech Start Date]],2),""))))</f>
        <v/>
      </c>
      <c r="N1130" s="69" t="str">
        <f>IF(Main[[#This Row],[Tech Start Date]]&lt;1/1/1990,"",IF(Main[[#This Row],[Class]]="C",WORKDAY(Main[[#This Row],[Tech Start Date]],19),IF(Main[[#This Row],[Class]]="B", WORKDAY(Main[[#This Row],[Tech Start Date]],12),IF(Main[[#This Row],[Class]]="A",WORKDAY(Main[[#This Row],[Tech Start Date]],4),""))))</f>
        <v/>
      </c>
      <c r="O1130" s="69" t="str">
        <f>IF(Main[[#This Row],[Tech Start Date]]&lt;1/1/1990,"",IF(Main[[#This Row],[Class]]="C",WORKDAY(Main[[#This Row],[Tech Start Date]],23),IF(Main[[#This Row],[Class]]="B", WORKDAY(Main[[#This Row],[Tech Start Date]],15),IF(Main[[#This Row],[Class]]="A",WORKDAY(Main[[#This Row],[Tech Start Date]],5),""))))</f>
        <v/>
      </c>
      <c r="P1130" s="69" t="str">
        <f>IF(Main[[#This Row],[Tech Start Date]]&lt;1/1/1990,"",IF(Main[[#This Row],[Class]]="C",WORKDAY(Main[[#This Row],[Tech Start Date]],28),IF(Main[[#This Row],[Class]]="B", WORKDAY(Main[[#This Row],[Tech Start Date]],19),IF(Main[[#This Row],[Class]]="A",WORKDAY(Main[[#This Row],[Tech Start Date]],9),""))))</f>
        <v/>
      </c>
      <c r="Q1130" s="67">
        <v>40858</v>
      </c>
      <c r="R1130" s="67"/>
      <c r="S1130" s="65" t="s">
        <v>17</v>
      </c>
      <c r="T1130" s="70" t="s">
        <v>4</v>
      </c>
      <c r="U1130" s="65" t="s">
        <v>7</v>
      </c>
      <c r="V1130" s="65" t="s">
        <v>1914</v>
      </c>
      <c r="W1130" s="65" t="s">
        <v>1919</v>
      </c>
      <c r="X1130" s="65" t="s">
        <v>50</v>
      </c>
      <c r="Y1130" s="65" t="s">
        <v>2959</v>
      </c>
      <c r="Z1130" s="65" t="s">
        <v>4</v>
      </c>
      <c r="AA1130" s="65" t="s">
        <v>2828</v>
      </c>
    </row>
    <row r="1131" spans="1:27" ht="17.45" hidden="1" customHeight="1">
      <c r="A1131" s="100" t="str">
        <f>IF(priority(Main[[#This Row],[Comments]])&lt;&gt;0, priority(Main[[#This Row],[Comments]]),"")</f>
        <v/>
      </c>
      <c r="B1131" s="77" t="s">
        <v>3690</v>
      </c>
      <c r="C1131" s="65" t="s">
        <v>4</v>
      </c>
      <c r="D1131" s="66" t="s">
        <v>3691</v>
      </c>
      <c r="E1131" s="67">
        <v>40960.145115740743</v>
      </c>
      <c r="F1131" s="67"/>
      <c r="G1131" s="64" t="str">
        <f>IF(stdProdLT(Main[[#This Row],[Comments]])=0.1,"N/A",IF(stdProdLT(Main[[#This Row],[Comments]])=0,"",stdProdLT(Main[[#This Row],[Comments]])))</f>
        <v/>
      </c>
      <c r="H1131" s="68" t="str">
        <f>IF(AND(Main[[#This Row],[In Stock Date]]&lt;&gt;"",Main[[#This Row],[Revised Due Date]]&lt;&gt;""),Main[[#This Row],[In Stock Date]]-Main[[#This Row],[Revised Due Date]],"")</f>
        <v/>
      </c>
      <c r="I1131" s="65" t="s">
        <v>912</v>
      </c>
      <c r="J1131" s="65" t="s">
        <v>52</v>
      </c>
      <c r="K1131" s="65" t="s">
        <v>4</v>
      </c>
      <c r="L1131" s="67"/>
      <c r="M1131" s="69" t="str">
        <f>IF(Main[[#This Row],[Tech Start Date]]&lt;1/1/1990,"",IF(Main[[#This Row],[Class]]="C",WORKDAY(Main[[#This Row],[Tech Start Date]],9),IF(Main[[#This Row],[Class]]="B", WORKDAY(Main[[#This Row],[Tech Start Date]],6),IF(Main[[#This Row],[Class]]="A",WORKDAY(Main[[#This Row],[Tech Start Date]],2),""))))</f>
        <v/>
      </c>
      <c r="N1131" s="69" t="str">
        <f>IF(Main[[#This Row],[Tech Start Date]]&lt;1/1/1990,"",IF(Main[[#This Row],[Class]]="C",WORKDAY(Main[[#This Row],[Tech Start Date]],19),IF(Main[[#This Row],[Class]]="B", WORKDAY(Main[[#This Row],[Tech Start Date]],12),IF(Main[[#This Row],[Class]]="A",WORKDAY(Main[[#This Row],[Tech Start Date]],4),""))))</f>
        <v/>
      </c>
      <c r="O1131" s="69" t="str">
        <f>IF(Main[[#This Row],[Tech Start Date]]&lt;1/1/1990,"",IF(Main[[#This Row],[Class]]="C",WORKDAY(Main[[#This Row],[Tech Start Date]],23),IF(Main[[#This Row],[Class]]="B", WORKDAY(Main[[#This Row],[Tech Start Date]],15),IF(Main[[#This Row],[Class]]="A",WORKDAY(Main[[#This Row],[Tech Start Date]],5),""))))</f>
        <v/>
      </c>
      <c r="P1131" s="69" t="str">
        <f>IF(Main[[#This Row],[Tech Start Date]]&lt;1/1/1990,"",IF(Main[[#This Row],[Class]]="C",WORKDAY(Main[[#This Row],[Tech Start Date]],28),IF(Main[[#This Row],[Class]]="B", WORKDAY(Main[[#This Row],[Tech Start Date]],19),IF(Main[[#This Row],[Class]]="A",WORKDAY(Main[[#This Row],[Tech Start Date]],9),""))))</f>
        <v/>
      </c>
      <c r="Q1131" s="67">
        <v>40989</v>
      </c>
      <c r="R1131" s="67"/>
      <c r="S1131" s="65" t="s">
        <v>6</v>
      </c>
      <c r="T1131" s="70" t="s">
        <v>4</v>
      </c>
      <c r="U1131" s="65" t="s">
        <v>29</v>
      </c>
      <c r="V1131" s="65" t="s">
        <v>1914</v>
      </c>
      <c r="W1131" s="65" t="s">
        <v>4</v>
      </c>
      <c r="X1131" s="65" t="s">
        <v>2822</v>
      </c>
      <c r="Y1131" s="65" t="s">
        <v>2938</v>
      </c>
      <c r="Z1131" s="65" t="s">
        <v>129</v>
      </c>
      <c r="AA1131" s="65" t="s">
        <v>2822</v>
      </c>
    </row>
    <row r="1132" spans="1:27" ht="17.45" hidden="1" customHeight="1">
      <c r="A1132" s="100" t="str">
        <f>IF(priority(Main[[#This Row],[Comments]])&lt;&gt;0, priority(Main[[#This Row],[Comments]]),"")</f>
        <v/>
      </c>
      <c r="B1132" s="77" t="s">
        <v>2734</v>
      </c>
      <c r="C1132" s="65" t="s">
        <v>4</v>
      </c>
      <c r="D1132" s="66" t="s">
        <v>3354</v>
      </c>
      <c r="E1132" s="67">
        <v>40891.136469907404</v>
      </c>
      <c r="F1132" s="67"/>
      <c r="G1132" s="64" t="str">
        <f>IF(stdProdLT(Main[[#This Row],[Comments]])=0.1,"N/A",IF(stdProdLT(Main[[#This Row],[Comments]])=0,"",stdProdLT(Main[[#This Row],[Comments]])))</f>
        <v/>
      </c>
      <c r="H1132" s="68" t="str">
        <f>IF(AND(Main[[#This Row],[In Stock Date]]&lt;&gt;"",Main[[#This Row],[Revised Due Date]]&lt;&gt;""),Main[[#This Row],[In Stock Date]]-Main[[#This Row],[Revised Due Date]],"")</f>
        <v/>
      </c>
      <c r="I1132" s="65" t="s">
        <v>69</v>
      </c>
      <c r="J1132" s="65" t="s">
        <v>70</v>
      </c>
      <c r="K1132" s="65" t="s">
        <v>1923</v>
      </c>
      <c r="L1132" s="67"/>
      <c r="M1132" s="69" t="str">
        <f>IF(Main[[#This Row],[Tech Start Date]]&lt;1/1/1990,"",IF(Main[[#This Row],[Class]]="C",WORKDAY(Main[[#This Row],[Tech Start Date]],9),IF(Main[[#This Row],[Class]]="B", WORKDAY(Main[[#This Row],[Tech Start Date]],6),IF(Main[[#This Row],[Class]]="A",WORKDAY(Main[[#This Row],[Tech Start Date]],2),""))))</f>
        <v/>
      </c>
      <c r="N1132" s="69" t="str">
        <f>IF(Main[[#This Row],[Tech Start Date]]&lt;1/1/1990,"",IF(Main[[#This Row],[Class]]="C",WORKDAY(Main[[#This Row],[Tech Start Date]],19),IF(Main[[#This Row],[Class]]="B", WORKDAY(Main[[#This Row],[Tech Start Date]],12),IF(Main[[#This Row],[Class]]="A",WORKDAY(Main[[#This Row],[Tech Start Date]],4),""))))</f>
        <v/>
      </c>
      <c r="O1132" s="69" t="str">
        <f>IF(Main[[#This Row],[Tech Start Date]]&lt;1/1/1990,"",IF(Main[[#This Row],[Class]]="C",WORKDAY(Main[[#This Row],[Tech Start Date]],23),IF(Main[[#This Row],[Class]]="B", WORKDAY(Main[[#This Row],[Tech Start Date]],15),IF(Main[[#This Row],[Class]]="A",WORKDAY(Main[[#This Row],[Tech Start Date]],5),""))))</f>
        <v/>
      </c>
      <c r="P1132" s="69" t="str">
        <f>IF(Main[[#This Row],[Tech Start Date]]&lt;1/1/1990,"",IF(Main[[#This Row],[Class]]="C",WORKDAY(Main[[#This Row],[Tech Start Date]],28),IF(Main[[#This Row],[Class]]="B", WORKDAY(Main[[#This Row],[Tech Start Date]],19),IF(Main[[#This Row],[Class]]="A",WORKDAY(Main[[#This Row],[Tech Start Date]],9),""))))</f>
        <v/>
      </c>
      <c r="Q1132" s="67">
        <v>40914</v>
      </c>
      <c r="R1132" s="67"/>
      <c r="S1132" s="65" t="s">
        <v>6</v>
      </c>
      <c r="T1132" s="70" t="s">
        <v>4</v>
      </c>
      <c r="U1132" s="65" t="s">
        <v>29</v>
      </c>
      <c r="V1132" s="65" t="s">
        <v>1917</v>
      </c>
      <c r="W1132" s="65" t="s">
        <v>1918</v>
      </c>
      <c r="X1132" s="65" t="s">
        <v>2851</v>
      </c>
      <c r="Y1132" s="65" t="s">
        <v>2986</v>
      </c>
      <c r="Z1132" s="65" t="s">
        <v>30</v>
      </c>
      <c r="AA1132" s="65" t="s">
        <v>2851</v>
      </c>
    </row>
    <row r="1133" spans="1:27" ht="17.45" hidden="1" customHeight="1">
      <c r="A1133" s="100" t="str">
        <f>IF(priority(Main[[#This Row],[Comments]])&lt;&gt;0, priority(Main[[#This Row],[Comments]]),"")</f>
        <v/>
      </c>
      <c r="B1133" s="77" t="s">
        <v>2558</v>
      </c>
      <c r="C1133" s="65" t="s">
        <v>4</v>
      </c>
      <c r="D1133" s="66" t="s">
        <v>2559</v>
      </c>
      <c r="E1133" s="67">
        <v>40835.766481481478</v>
      </c>
      <c r="F1133" s="67"/>
      <c r="G1133" s="64" t="str">
        <f>IF(stdProdLT(Main[[#This Row],[Comments]])=0.1,"N/A",IF(stdProdLT(Main[[#This Row],[Comments]])=0,"",stdProdLT(Main[[#This Row],[Comments]])))</f>
        <v/>
      </c>
      <c r="H1133" s="68" t="str">
        <f>IF(AND(Main[[#This Row],[In Stock Date]]&lt;&gt;"",Main[[#This Row],[Revised Due Date]]&lt;&gt;""),Main[[#This Row],[In Stock Date]]-Main[[#This Row],[Revised Due Date]],"")</f>
        <v/>
      </c>
      <c r="I1133" s="65" t="s">
        <v>4</v>
      </c>
      <c r="J1133" s="65" t="s">
        <v>4</v>
      </c>
      <c r="K1133" s="65" t="s">
        <v>4</v>
      </c>
      <c r="L1133" s="67"/>
      <c r="M1133" s="69" t="str">
        <f>IF(Main[[#This Row],[Tech Start Date]]&lt;1/1/1990,"",IF(Main[[#This Row],[Class]]="C",WORKDAY(Main[[#This Row],[Tech Start Date]],9),IF(Main[[#This Row],[Class]]="B", WORKDAY(Main[[#This Row],[Tech Start Date]],6),IF(Main[[#This Row],[Class]]="A",WORKDAY(Main[[#This Row],[Tech Start Date]],2),""))))</f>
        <v/>
      </c>
      <c r="N1133" s="69" t="str">
        <f>IF(Main[[#This Row],[Tech Start Date]]&lt;1/1/1990,"",IF(Main[[#This Row],[Class]]="C",WORKDAY(Main[[#This Row],[Tech Start Date]],19),IF(Main[[#This Row],[Class]]="B", WORKDAY(Main[[#This Row],[Tech Start Date]],12),IF(Main[[#This Row],[Class]]="A",WORKDAY(Main[[#This Row],[Tech Start Date]],4),""))))</f>
        <v/>
      </c>
      <c r="O1133" s="69" t="str">
        <f>IF(Main[[#This Row],[Tech Start Date]]&lt;1/1/1990,"",IF(Main[[#This Row],[Class]]="C",WORKDAY(Main[[#This Row],[Tech Start Date]],23),IF(Main[[#This Row],[Class]]="B", WORKDAY(Main[[#This Row],[Tech Start Date]],15),IF(Main[[#This Row],[Class]]="A",WORKDAY(Main[[#This Row],[Tech Start Date]],5),""))))</f>
        <v/>
      </c>
      <c r="P1133" s="69" t="str">
        <f>IF(Main[[#This Row],[Tech Start Date]]&lt;1/1/1990,"",IF(Main[[#This Row],[Class]]="C",WORKDAY(Main[[#This Row],[Tech Start Date]],28),IF(Main[[#This Row],[Class]]="B", WORKDAY(Main[[#This Row],[Tech Start Date]],19),IF(Main[[#This Row],[Class]]="A",WORKDAY(Main[[#This Row],[Tech Start Date]],9),""))))</f>
        <v/>
      </c>
      <c r="Q1133" s="67">
        <v>40858</v>
      </c>
      <c r="R1133" s="67"/>
      <c r="S1133" s="65" t="s">
        <v>6</v>
      </c>
      <c r="T1133" s="70" t="s">
        <v>4</v>
      </c>
      <c r="U1133" s="65" t="s">
        <v>7</v>
      </c>
      <c r="V1133" s="65" t="s">
        <v>1917</v>
      </c>
      <c r="W1133" s="65" t="s">
        <v>4</v>
      </c>
      <c r="X1133" s="65" t="s">
        <v>2819</v>
      </c>
      <c r="Y1133" s="65" t="s">
        <v>2932</v>
      </c>
      <c r="Z1133" s="65" t="s">
        <v>4</v>
      </c>
      <c r="AA1133" s="65" t="s">
        <v>2819</v>
      </c>
    </row>
    <row r="1134" spans="1:27" ht="17.45" hidden="1" customHeight="1">
      <c r="A1134" s="100" t="str">
        <f>IF(priority(Main[[#This Row],[Comments]])&lt;&gt;0, priority(Main[[#This Row],[Comments]]),"")</f>
        <v/>
      </c>
      <c r="B1134" s="77" t="s">
        <v>2560</v>
      </c>
      <c r="C1134" s="65" t="s">
        <v>4</v>
      </c>
      <c r="D1134" s="66" t="s">
        <v>2561</v>
      </c>
      <c r="E1134" s="67"/>
      <c r="F1134" s="67"/>
      <c r="G1134" s="64" t="str">
        <f>IF(stdProdLT(Main[[#This Row],[Comments]])=0.1,"N/A",IF(stdProdLT(Main[[#This Row],[Comments]])=0,"",stdProdLT(Main[[#This Row],[Comments]])))</f>
        <v/>
      </c>
      <c r="H1134" s="68" t="str">
        <f>IF(AND(Main[[#This Row],[In Stock Date]]&lt;&gt;"",Main[[#This Row],[Revised Due Date]]&lt;&gt;""),Main[[#This Row],[In Stock Date]]-Main[[#This Row],[Revised Due Date]],"")</f>
        <v/>
      </c>
      <c r="I1134" s="65" t="s">
        <v>4</v>
      </c>
      <c r="J1134" s="65" t="s">
        <v>4</v>
      </c>
      <c r="K1134" s="65" t="s">
        <v>4</v>
      </c>
      <c r="L1134" s="67"/>
      <c r="M1134" s="69" t="str">
        <f>IF(Main[[#This Row],[Tech Start Date]]&lt;1/1/1990,"",IF(Main[[#This Row],[Class]]="C",WORKDAY(Main[[#This Row],[Tech Start Date]],9),IF(Main[[#This Row],[Class]]="B", WORKDAY(Main[[#This Row],[Tech Start Date]],6),IF(Main[[#This Row],[Class]]="A",WORKDAY(Main[[#This Row],[Tech Start Date]],2),""))))</f>
        <v/>
      </c>
      <c r="N1134" s="69" t="str">
        <f>IF(Main[[#This Row],[Tech Start Date]]&lt;1/1/1990,"",IF(Main[[#This Row],[Class]]="C",WORKDAY(Main[[#This Row],[Tech Start Date]],19),IF(Main[[#This Row],[Class]]="B", WORKDAY(Main[[#This Row],[Tech Start Date]],12),IF(Main[[#This Row],[Class]]="A",WORKDAY(Main[[#This Row],[Tech Start Date]],4),""))))</f>
        <v/>
      </c>
      <c r="O1134" s="69" t="str">
        <f>IF(Main[[#This Row],[Tech Start Date]]&lt;1/1/1990,"",IF(Main[[#This Row],[Class]]="C",WORKDAY(Main[[#This Row],[Tech Start Date]],23),IF(Main[[#This Row],[Class]]="B", WORKDAY(Main[[#This Row],[Tech Start Date]],15),IF(Main[[#This Row],[Class]]="A",WORKDAY(Main[[#This Row],[Tech Start Date]],5),""))))</f>
        <v/>
      </c>
      <c r="P1134" s="69" t="str">
        <f>IF(Main[[#This Row],[Tech Start Date]]&lt;1/1/1990,"",IF(Main[[#This Row],[Class]]="C",WORKDAY(Main[[#This Row],[Tech Start Date]],28),IF(Main[[#This Row],[Class]]="B", WORKDAY(Main[[#This Row],[Tech Start Date]],19),IF(Main[[#This Row],[Class]]="A",WORKDAY(Main[[#This Row],[Tech Start Date]],9),""))))</f>
        <v/>
      </c>
      <c r="Q1134" s="67"/>
      <c r="R1134" s="67"/>
      <c r="S1134" s="65" t="s">
        <v>11</v>
      </c>
      <c r="T1134" s="70" t="s">
        <v>4</v>
      </c>
      <c r="U1134" s="65" t="s">
        <v>14</v>
      </c>
      <c r="V1134" s="65" t="s">
        <v>1915</v>
      </c>
      <c r="W1134" s="65" t="s">
        <v>4</v>
      </c>
      <c r="X1134" s="65" t="s">
        <v>2249</v>
      </c>
      <c r="Y1134" s="65" t="s">
        <v>4</v>
      </c>
      <c r="Z1134" s="65" t="s">
        <v>4</v>
      </c>
      <c r="AA1134" s="65" t="s">
        <v>4</v>
      </c>
    </row>
    <row r="1135" spans="1:27" ht="17.45" hidden="1" customHeight="1">
      <c r="A1135" s="100" t="str">
        <f>IF(priority(Main[[#This Row],[Comments]])&lt;&gt;0, priority(Main[[#This Row],[Comments]]),"")</f>
        <v/>
      </c>
      <c r="B1135" s="77" t="s">
        <v>1698</v>
      </c>
      <c r="C1135" s="65" t="s">
        <v>4</v>
      </c>
      <c r="D1135" s="66" t="s">
        <v>2113</v>
      </c>
      <c r="E1135" s="67"/>
      <c r="F1135" s="67"/>
      <c r="G1135" s="64" t="str">
        <f>IF(stdProdLT(Main[[#This Row],[Comments]])=0.1,"N/A",IF(stdProdLT(Main[[#This Row],[Comments]])=0,"",stdProdLT(Main[[#This Row],[Comments]])))</f>
        <v/>
      </c>
      <c r="H1135" s="68" t="str">
        <f>IF(AND(Main[[#This Row],[In Stock Date]]&lt;&gt;"",Main[[#This Row],[Revised Due Date]]&lt;&gt;""),Main[[#This Row],[In Stock Date]]-Main[[#This Row],[Revised Due Date]],"")</f>
        <v/>
      </c>
      <c r="I1135" s="65" t="s">
        <v>69</v>
      </c>
      <c r="J1135" s="65" t="s">
        <v>70</v>
      </c>
      <c r="K1135" s="65" t="s">
        <v>1923</v>
      </c>
      <c r="L1135" s="67"/>
      <c r="M1135" s="69" t="str">
        <f>IF(Main[[#This Row],[Tech Start Date]]&lt;1/1/1990,"",IF(Main[[#This Row],[Class]]="C",WORKDAY(Main[[#This Row],[Tech Start Date]],9),IF(Main[[#This Row],[Class]]="B", WORKDAY(Main[[#This Row],[Tech Start Date]],6),IF(Main[[#This Row],[Class]]="A",WORKDAY(Main[[#This Row],[Tech Start Date]],2),""))))</f>
        <v/>
      </c>
      <c r="N1135" s="69" t="str">
        <f>IF(Main[[#This Row],[Tech Start Date]]&lt;1/1/1990,"",IF(Main[[#This Row],[Class]]="C",WORKDAY(Main[[#This Row],[Tech Start Date]],19),IF(Main[[#This Row],[Class]]="B", WORKDAY(Main[[#This Row],[Tech Start Date]],12),IF(Main[[#This Row],[Class]]="A",WORKDAY(Main[[#This Row],[Tech Start Date]],4),""))))</f>
        <v/>
      </c>
      <c r="O1135" s="69" t="str">
        <f>IF(Main[[#This Row],[Tech Start Date]]&lt;1/1/1990,"",IF(Main[[#This Row],[Class]]="C",WORKDAY(Main[[#This Row],[Tech Start Date]],23),IF(Main[[#This Row],[Class]]="B", WORKDAY(Main[[#This Row],[Tech Start Date]],15),IF(Main[[#This Row],[Class]]="A",WORKDAY(Main[[#This Row],[Tech Start Date]],5),""))))</f>
        <v/>
      </c>
      <c r="P1135" s="69" t="str">
        <f>IF(Main[[#This Row],[Tech Start Date]]&lt;1/1/1990,"",IF(Main[[#This Row],[Class]]="C",WORKDAY(Main[[#This Row],[Tech Start Date]],28),IF(Main[[#This Row],[Class]]="B", WORKDAY(Main[[#This Row],[Tech Start Date]],19),IF(Main[[#This Row],[Class]]="A",WORKDAY(Main[[#This Row],[Tech Start Date]],9),""))))</f>
        <v/>
      </c>
      <c r="Q1135" s="67">
        <v>40816</v>
      </c>
      <c r="R1135" s="67"/>
      <c r="S1135" s="65" t="s">
        <v>6</v>
      </c>
      <c r="T1135" s="70" t="s">
        <v>4</v>
      </c>
      <c r="U1135" s="65" t="s">
        <v>14</v>
      </c>
      <c r="V1135" s="65" t="s">
        <v>1917</v>
      </c>
      <c r="W1135" s="65" t="s">
        <v>1919</v>
      </c>
      <c r="X1135" s="65" t="s">
        <v>530</v>
      </c>
      <c r="Y1135" s="65" t="s">
        <v>4</v>
      </c>
      <c r="Z1135" s="65" t="s">
        <v>30</v>
      </c>
      <c r="AA1135" s="65" t="s">
        <v>530</v>
      </c>
    </row>
    <row r="1136" spans="1:27" ht="17.45" hidden="1" customHeight="1">
      <c r="A1136" s="100">
        <f>IF(priority(Main[[#This Row],[Comments]])&lt;&gt;0, priority(Main[[#This Row],[Comments]]),"")</f>
        <v>20</v>
      </c>
      <c r="B1136" s="77" t="s">
        <v>1953</v>
      </c>
      <c r="C1136" s="65" t="s">
        <v>4</v>
      </c>
      <c r="D1136" s="66" t="s">
        <v>2269</v>
      </c>
      <c r="E1136" s="67">
        <v>40722.471516203703</v>
      </c>
      <c r="F1136" s="67"/>
      <c r="G1136" s="64" t="str">
        <f>IF(stdProdLT(Main[[#This Row],[Comments]])=0.1,"N/A",IF(stdProdLT(Main[[#This Row],[Comments]])=0,"",stdProdLT(Main[[#This Row],[Comments]])))</f>
        <v>N/A</v>
      </c>
      <c r="H1136" s="68" t="str">
        <f>IF(AND(Main[[#This Row],[In Stock Date]]&lt;&gt;"",Main[[#This Row],[Revised Due Date]]&lt;&gt;""),Main[[#This Row],[In Stock Date]]-Main[[#This Row],[Revised Due Date]],"")</f>
        <v/>
      </c>
      <c r="I1136" s="65" t="s">
        <v>912</v>
      </c>
      <c r="J1136" s="65" t="s">
        <v>21</v>
      </c>
      <c r="K1136" s="65" t="s">
        <v>1923</v>
      </c>
      <c r="L1136" s="67"/>
      <c r="M1136" s="69" t="str">
        <f>IF(Main[[#This Row],[Tech Start Date]]&lt;1/1/1990,"",IF(Main[[#This Row],[Class]]="C",WORKDAY(Main[[#This Row],[Tech Start Date]],9),IF(Main[[#This Row],[Class]]="B", WORKDAY(Main[[#This Row],[Tech Start Date]],6),IF(Main[[#This Row],[Class]]="A",WORKDAY(Main[[#This Row],[Tech Start Date]],2),""))))</f>
        <v/>
      </c>
      <c r="N1136" s="69" t="str">
        <f>IF(Main[[#This Row],[Tech Start Date]]&lt;1/1/1990,"",IF(Main[[#This Row],[Class]]="C",WORKDAY(Main[[#This Row],[Tech Start Date]],19),IF(Main[[#This Row],[Class]]="B", WORKDAY(Main[[#This Row],[Tech Start Date]],12),IF(Main[[#This Row],[Class]]="A",WORKDAY(Main[[#This Row],[Tech Start Date]],4),""))))</f>
        <v/>
      </c>
      <c r="O1136" s="69" t="str">
        <f>IF(Main[[#This Row],[Tech Start Date]]&lt;1/1/1990,"",IF(Main[[#This Row],[Class]]="C",WORKDAY(Main[[#This Row],[Tech Start Date]],23),IF(Main[[#This Row],[Class]]="B", WORKDAY(Main[[#This Row],[Tech Start Date]],15),IF(Main[[#This Row],[Class]]="A",WORKDAY(Main[[#This Row],[Tech Start Date]],5),""))))</f>
        <v/>
      </c>
      <c r="P1136" s="69" t="str">
        <f>IF(Main[[#This Row],[Tech Start Date]]&lt;1/1/1990,"",IF(Main[[#This Row],[Class]]="C",WORKDAY(Main[[#This Row],[Tech Start Date]],28),IF(Main[[#This Row],[Class]]="B", WORKDAY(Main[[#This Row],[Tech Start Date]],19),IF(Main[[#This Row],[Class]]="A",WORKDAY(Main[[#This Row],[Tech Start Date]],9),""))))</f>
        <v/>
      </c>
      <c r="Q1136" s="67">
        <v>40753</v>
      </c>
      <c r="R1136" s="67">
        <v>40756</v>
      </c>
      <c r="S1136" s="65" t="s">
        <v>6</v>
      </c>
      <c r="T1136" s="70" t="s">
        <v>2656</v>
      </c>
      <c r="U1136" s="65" t="s">
        <v>29</v>
      </c>
      <c r="V1136" s="65" t="s">
        <v>1914</v>
      </c>
      <c r="W1136" s="65" t="s">
        <v>1918</v>
      </c>
      <c r="X1136" s="65" t="s">
        <v>2818</v>
      </c>
      <c r="Y1136" s="65" t="s">
        <v>2929</v>
      </c>
      <c r="Z1136" s="65" t="s">
        <v>129</v>
      </c>
      <c r="AA1136" s="65" t="s">
        <v>2818</v>
      </c>
    </row>
    <row r="1137" spans="1:27" ht="17.45" hidden="1" customHeight="1">
      <c r="A1137" s="100" t="str">
        <f>IF(priority(Main[[#This Row],[Comments]])&lt;&gt;0, priority(Main[[#This Row],[Comments]]),"")</f>
        <v/>
      </c>
      <c r="B1137" s="77" t="s">
        <v>3510</v>
      </c>
      <c r="C1137" s="65" t="s">
        <v>4</v>
      </c>
      <c r="D1137" s="66" t="s">
        <v>3692</v>
      </c>
      <c r="E1137" s="67">
        <v>40942.690023148149</v>
      </c>
      <c r="F1137" s="67"/>
      <c r="G1137" s="64" t="str">
        <f>IF(stdProdLT(Main[[#This Row],[Comments]])=0.1,"N/A",IF(stdProdLT(Main[[#This Row],[Comments]])=0,"",stdProdLT(Main[[#This Row],[Comments]])))</f>
        <v/>
      </c>
      <c r="H1137" s="68" t="str">
        <f>IF(AND(Main[[#This Row],[In Stock Date]]&lt;&gt;"",Main[[#This Row],[Revised Due Date]]&lt;&gt;""),Main[[#This Row],[In Stock Date]]-Main[[#This Row],[Revised Due Date]],"")</f>
        <v/>
      </c>
      <c r="I1137" s="65" t="s">
        <v>69</v>
      </c>
      <c r="J1137" s="65" t="s">
        <v>70</v>
      </c>
      <c r="K1137" s="65" t="s">
        <v>1923</v>
      </c>
      <c r="L1137" s="67"/>
      <c r="M1137" s="69" t="str">
        <f>IF(Main[[#This Row],[Tech Start Date]]&lt;1/1/1990,"",IF(Main[[#This Row],[Class]]="C",WORKDAY(Main[[#This Row],[Tech Start Date]],9),IF(Main[[#This Row],[Class]]="B", WORKDAY(Main[[#This Row],[Tech Start Date]],6),IF(Main[[#This Row],[Class]]="A",WORKDAY(Main[[#This Row],[Tech Start Date]],2),""))))</f>
        <v/>
      </c>
      <c r="N1137" s="69" t="str">
        <f>IF(Main[[#This Row],[Tech Start Date]]&lt;1/1/1990,"",IF(Main[[#This Row],[Class]]="C",WORKDAY(Main[[#This Row],[Tech Start Date]],19),IF(Main[[#This Row],[Class]]="B", WORKDAY(Main[[#This Row],[Tech Start Date]],12),IF(Main[[#This Row],[Class]]="A",WORKDAY(Main[[#This Row],[Tech Start Date]],4),""))))</f>
        <v/>
      </c>
      <c r="O1137" s="69" t="str">
        <f>IF(Main[[#This Row],[Tech Start Date]]&lt;1/1/1990,"",IF(Main[[#This Row],[Class]]="C",WORKDAY(Main[[#This Row],[Tech Start Date]],23),IF(Main[[#This Row],[Class]]="B", WORKDAY(Main[[#This Row],[Tech Start Date]],15),IF(Main[[#This Row],[Class]]="A",WORKDAY(Main[[#This Row],[Tech Start Date]],5),""))))</f>
        <v/>
      </c>
      <c r="P1137" s="69" t="str">
        <f>IF(Main[[#This Row],[Tech Start Date]]&lt;1/1/1990,"",IF(Main[[#This Row],[Class]]="C",WORKDAY(Main[[#This Row],[Tech Start Date]],28),IF(Main[[#This Row],[Class]]="B", WORKDAY(Main[[#This Row],[Tech Start Date]],19),IF(Main[[#This Row],[Class]]="A",WORKDAY(Main[[#This Row],[Tech Start Date]],9),""))))</f>
        <v/>
      </c>
      <c r="Q1137" s="67">
        <v>40970</v>
      </c>
      <c r="R1137" s="67"/>
      <c r="S1137" s="65" t="s">
        <v>6</v>
      </c>
      <c r="T1137" s="70" t="s">
        <v>4</v>
      </c>
      <c r="U1137" s="65" t="s">
        <v>29</v>
      </c>
      <c r="V1137" s="65" t="s">
        <v>1917</v>
      </c>
      <c r="W1137" s="65" t="s">
        <v>1918</v>
      </c>
      <c r="X1137" s="65" t="s">
        <v>2819</v>
      </c>
      <c r="Y1137" s="65" t="s">
        <v>2932</v>
      </c>
      <c r="Z1137" s="65" t="s">
        <v>30</v>
      </c>
      <c r="AA1137" s="65" t="s">
        <v>2819</v>
      </c>
    </row>
    <row r="1138" spans="1:27" ht="17.45" hidden="1" customHeight="1">
      <c r="A1138" s="100" t="str">
        <f>IF(priority(Main[[#This Row],[Comments]])&lt;&gt;0, priority(Main[[#This Row],[Comments]]),"")</f>
        <v/>
      </c>
      <c r="B1138" s="77" t="s">
        <v>2287</v>
      </c>
      <c r="C1138" s="65" t="s">
        <v>4</v>
      </c>
      <c r="D1138" s="66" t="s">
        <v>2565</v>
      </c>
      <c r="E1138" s="67"/>
      <c r="F1138" s="67"/>
      <c r="G1138" s="64" t="str">
        <f>IF(stdProdLT(Main[[#This Row],[Comments]])=0.1,"N/A",IF(stdProdLT(Main[[#This Row],[Comments]])=0,"",stdProdLT(Main[[#This Row],[Comments]])))</f>
        <v/>
      </c>
      <c r="H1138" s="68" t="str">
        <f>IF(AND(Main[[#This Row],[In Stock Date]]&lt;&gt;"",Main[[#This Row],[Revised Due Date]]&lt;&gt;""),Main[[#This Row],[In Stock Date]]-Main[[#This Row],[Revised Due Date]],"")</f>
        <v/>
      </c>
      <c r="I1138" s="65" t="s">
        <v>2208</v>
      </c>
      <c r="J1138" s="65" t="s">
        <v>75</v>
      </c>
      <c r="K1138" s="65" t="s">
        <v>1923</v>
      </c>
      <c r="L1138" s="67"/>
      <c r="M1138" s="69" t="str">
        <f>IF(Main[[#This Row],[Tech Start Date]]&lt;1/1/1990,"",IF(Main[[#This Row],[Class]]="C",WORKDAY(Main[[#This Row],[Tech Start Date]],9),IF(Main[[#This Row],[Class]]="B", WORKDAY(Main[[#This Row],[Tech Start Date]],6),IF(Main[[#This Row],[Class]]="A",WORKDAY(Main[[#This Row],[Tech Start Date]],2),""))))</f>
        <v/>
      </c>
      <c r="N1138" s="69" t="str">
        <f>IF(Main[[#This Row],[Tech Start Date]]&lt;1/1/1990,"",IF(Main[[#This Row],[Class]]="C",WORKDAY(Main[[#This Row],[Tech Start Date]],19),IF(Main[[#This Row],[Class]]="B", WORKDAY(Main[[#This Row],[Tech Start Date]],12),IF(Main[[#This Row],[Class]]="A",WORKDAY(Main[[#This Row],[Tech Start Date]],4),""))))</f>
        <v/>
      </c>
      <c r="O1138" s="69" t="str">
        <f>IF(Main[[#This Row],[Tech Start Date]]&lt;1/1/1990,"",IF(Main[[#This Row],[Class]]="C",WORKDAY(Main[[#This Row],[Tech Start Date]],23),IF(Main[[#This Row],[Class]]="B", WORKDAY(Main[[#This Row],[Tech Start Date]],15),IF(Main[[#This Row],[Class]]="A",WORKDAY(Main[[#This Row],[Tech Start Date]],5),""))))</f>
        <v/>
      </c>
      <c r="P1138" s="69" t="str">
        <f>IF(Main[[#This Row],[Tech Start Date]]&lt;1/1/1990,"",IF(Main[[#This Row],[Class]]="C",WORKDAY(Main[[#This Row],[Tech Start Date]],28),IF(Main[[#This Row],[Class]]="B", WORKDAY(Main[[#This Row],[Tech Start Date]],19),IF(Main[[#This Row],[Class]]="A",WORKDAY(Main[[#This Row],[Tech Start Date]],9),""))))</f>
        <v/>
      </c>
      <c r="Q1138" s="67"/>
      <c r="R1138" s="67"/>
      <c r="S1138" s="65" t="s">
        <v>6</v>
      </c>
      <c r="T1138" s="70" t="s">
        <v>4</v>
      </c>
      <c r="U1138" s="65" t="s">
        <v>14</v>
      </c>
      <c r="V1138" s="65" t="s">
        <v>1924</v>
      </c>
      <c r="W1138" s="65" t="s">
        <v>1918</v>
      </c>
      <c r="X1138" s="65" t="s">
        <v>2208</v>
      </c>
      <c r="Y1138" s="65" t="s">
        <v>3127</v>
      </c>
      <c r="Z1138" s="65" t="s">
        <v>306</v>
      </c>
      <c r="AA1138" s="65" t="s">
        <v>2208</v>
      </c>
    </row>
    <row r="1139" spans="1:27" ht="17.45" hidden="1" customHeight="1">
      <c r="A1139" s="100" t="str">
        <f>IF(priority(Main[[#This Row],[Comments]])&lt;&gt;0, priority(Main[[#This Row],[Comments]]),"")</f>
        <v/>
      </c>
      <c r="B1139" s="77" t="s">
        <v>1590</v>
      </c>
      <c r="C1139" s="65" t="s">
        <v>4</v>
      </c>
      <c r="D1139" s="66" t="s">
        <v>667</v>
      </c>
      <c r="E1139" s="67"/>
      <c r="F1139" s="67"/>
      <c r="G1139" s="64" t="str">
        <f>IF(stdProdLT(Main[[#This Row],[Comments]])=0.1,"N/A",IF(stdProdLT(Main[[#This Row],[Comments]])=0,"",stdProdLT(Main[[#This Row],[Comments]])))</f>
        <v/>
      </c>
      <c r="H1139" s="68" t="str">
        <f>IF(AND(Main[[#This Row],[In Stock Date]]&lt;&gt;"",Main[[#This Row],[Revised Due Date]]&lt;&gt;""),Main[[#This Row],[In Stock Date]]-Main[[#This Row],[Revised Due Date]],"")</f>
        <v/>
      </c>
      <c r="I1139" s="65" t="s">
        <v>4</v>
      </c>
      <c r="J1139" s="65" t="s">
        <v>4</v>
      </c>
      <c r="K1139" s="65" t="s">
        <v>4</v>
      </c>
      <c r="L1139" s="67"/>
      <c r="M1139" s="69" t="str">
        <f>IF(Main[[#This Row],[Tech Start Date]]&lt;1/1/1990,"",IF(Main[[#This Row],[Class]]="C",WORKDAY(Main[[#This Row],[Tech Start Date]],9),IF(Main[[#This Row],[Class]]="B", WORKDAY(Main[[#This Row],[Tech Start Date]],6),IF(Main[[#This Row],[Class]]="A",WORKDAY(Main[[#This Row],[Tech Start Date]],2),""))))</f>
        <v/>
      </c>
      <c r="N1139" s="69" t="str">
        <f>IF(Main[[#This Row],[Tech Start Date]]&lt;1/1/1990,"",IF(Main[[#This Row],[Class]]="C",WORKDAY(Main[[#This Row],[Tech Start Date]],19),IF(Main[[#This Row],[Class]]="B", WORKDAY(Main[[#This Row],[Tech Start Date]],12),IF(Main[[#This Row],[Class]]="A",WORKDAY(Main[[#This Row],[Tech Start Date]],4),""))))</f>
        <v/>
      </c>
      <c r="O1139" s="69" t="str">
        <f>IF(Main[[#This Row],[Tech Start Date]]&lt;1/1/1990,"",IF(Main[[#This Row],[Class]]="C",WORKDAY(Main[[#This Row],[Tech Start Date]],23),IF(Main[[#This Row],[Class]]="B", WORKDAY(Main[[#This Row],[Tech Start Date]],15),IF(Main[[#This Row],[Class]]="A",WORKDAY(Main[[#This Row],[Tech Start Date]],5),""))))</f>
        <v/>
      </c>
      <c r="P1139" s="69" t="str">
        <f>IF(Main[[#This Row],[Tech Start Date]]&lt;1/1/1990,"",IF(Main[[#This Row],[Class]]="C",WORKDAY(Main[[#This Row],[Tech Start Date]],28),IF(Main[[#This Row],[Class]]="B", WORKDAY(Main[[#This Row],[Tech Start Date]],19),IF(Main[[#This Row],[Class]]="A",WORKDAY(Main[[#This Row],[Tech Start Date]],9),""))))</f>
        <v/>
      </c>
      <c r="Q1139" s="67"/>
      <c r="R1139" s="67"/>
      <c r="S1139" s="65" t="s">
        <v>6</v>
      </c>
      <c r="T1139" s="70" t="s">
        <v>4</v>
      </c>
      <c r="U1139" s="65" t="s">
        <v>14</v>
      </c>
      <c r="V1139" s="65" t="s">
        <v>1914</v>
      </c>
      <c r="W1139" s="65" t="s">
        <v>1922</v>
      </c>
      <c r="X1139" s="65" t="s">
        <v>2052</v>
      </c>
      <c r="Y1139" s="65" t="s">
        <v>3002</v>
      </c>
      <c r="Z1139" s="65" t="s">
        <v>4</v>
      </c>
      <c r="AA1139" s="65" t="s">
        <v>2052</v>
      </c>
    </row>
    <row r="1140" spans="1:27" ht="17.45" hidden="1" customHeight="1">
      <c r="A1140" s="100" t="str">
        <f>IF(priority(Main[[#This Row],[Comments]])&lt;&gt;0, priority(Main[[#This Row],[Comments]]),"")</f>
        <v/>
      </c>
      <c r="B1140" s="77" t="s">
        <v>2664</v>
      </c>
      <c r="C1140" s="65" t="s">
        <v>4</v>
      </c>
      <c r="D1140" s="66" t="s">
        <v>2665</v>
      </c>
      <c r="E1140" s="67"/>
      <c r="F1140" s="67"/>
      <c r="G1140" s="64" t="str">
        <f>IF(stdProdLT(Main[[#This Row],[Comments]])=0.1,"N/A",IF(stdProdLT(Main[[#This Row],[Comments]])=0,"",stdProdLT(Main[[#This Row],[Comments]])))</f>
        <v/>
      </c>
      <c r="H1140" s="68" t="str">
        <f>IF(AND(Main[[#This Row],[In Stock Date]]&lt;&gt;"",Main[[#This Row],[Revised Due Date]]&lt;&gt;""),Main[[#This Row],[In Stock Date]]-Main[[#This Row],[Revised Due Date]],"")</f>
        <v/>
      </c>
      <c r="I1140" s="65" t="s">
        <v>4</v>
      </c>
      <c r="J1140" s="65" t="s">
        <v>4</v>
      </c>
      <c r="K1140" s="71" t="s">
        <v>4</v>
      </c>
      <c r="L1140" s="67"/>
      <c r="M1140" s="69" t="str">
        <f>IF(Main[[#This Row],[Tech Start Date]]&lt;1/1/1990,"",IF(Main[[#This Row],[Class]]="C",WORKDAY(Main[[#This Row],[Tech Start Date]],9),IF(Main[[#This Row],[Class]]="B", WORKDAY(Main[[#This Row],[Tech Start Date]],6),IF(Main[[#This Row],[Class]]="A",WORKDAY(Main[[#This Row],[Tech Start Date]],2),""))))</f>
        <v/>
      </c>
      <c r="N1140" s="69" t="str">
        <f>IF(Main[[#This Row],[Tech Start Date]]&lt;1/1/1990,"",IF(Main[[#This Row],[Class]]="C",WORKDAY(Main[[#This Row],[Tech Start Date]],19),IF(Main[[#This Row],[Class]]="B", WORKDAY(Main[[#This Row],[Tech Start Date]],12),IF(Main[[#This Row],[Class]]="A",WORKDAY(Main[[#This Row],[Tech Start Date]],4),""))))</f>
        <v/>
      </c>
      <c r="O1140" s="69" t="str">
        <f>IF(Main[[#This Row],[Tech Start Date]]&lt;1/1/1990,"",IF(Main[[#This Row],[Class]]="C",WORKDAY(Main[[#This Row],[Tech Start Date]],23),IF(Main[[#This Row],[Class]]="B", WORKDAY(Main[[#This Row],[Tech Start Date]],15),IF(Main[[#This Row],[Class]]="A",WORKDAY(Main[[#This Row],[Tech Start Date]],5),""))))</f>
        <v/>
      </c>
      <c r="P1140" s="69" t="str">
        <f>IF(Main[[#This Row],[Tech Start Date]]&lt;1/1/1990,"",IF(Main[[#This Row],[Class]]="C",WORKDAY(Main[[#This Row],[Tech Start Date]],28),IF(Main[[#This Row],[Class]]="B", WORKDAY(Main[[#This Row],[Tech Start Date]],19),IF(Main[[#This Row],[Class]]="A",WORKDAY(Main[[#This Row],[Tech Start Date]],9),""))))</f>
        <v/>
      </c>
      <c r="Q1140" s="67"/>
      <c r="R1140" s="67"/>
      <c r="S1140" s="65" t="s">
        <v>11</v>
      </c>
      <c r="T1140" s="70" t="s">
        <v>4</v>
      </c>
      <c r="U1140" s="65" t="s">
        <v>14</v>
      </c>
      <c r="V1140" s="65" t="s">
        <v>1924</v>
      </c>
      <c r="W1140" s="65" t="s">
        <v>1922</v>
      </c>
      <c r="X1140" s="65" t="s">
        <v>2857</v>
      </c>
      <c r="Y1140" s="65" t="s">
        <v>2998</v>
      </c>
      <c r="Z1140" s="65" t="s">
        <v>4</v>
      </c>
      <c r="AA1140" s="65" t="s">
        <v>2857</v>
      </c>
    </row>
    <row r="1141" spans="1:27" ht="17.45" hidden="1" customHeight="1">
      <c r="A1141" s="100" t="str">
        <f>IF(priority(Main[[#This Row],[Comments]])&lt;&gt;0, priority(Main[[#This Row],[Comments]]),"")</f>
        <v/>
      </c>
      <c r="B1141" s="77" t="s">
        <v>2367</v>
      </c>
      <c r="C1141" s="65" t="s">
        <v>4</v>
      </c>
      <c r="D1141" s="66" t="s">
        <v>2368</v>
      </c>
      <c r="E1141" s="67">
        <v>40856.690810185188</v>
      </c>
      <c r="F1141" s="67"/>
      <c r="G1141" s="64" t="str">
        <f>IF(stdProdLT(Main[[#This Row],[Comments]])=0.1,"N/A",IF(stdProdLT(Main[[#This Row],[Comments]])=0,"",stdProdLT(Main[[#This Row],[Comments]])))</f>
        <v/>
      </c>
      <c r="H1141" s="68" t="str">
        <f>IF(AND(Main[[#This Row],[In Stock Date]]&lt;&gt;"",Main[[#This Row],[Revised Due Date]]&lt;&gt;""),Main[[#This Row],[In Stock Date]]-Main[[#This Row],[Revised Due Date]],"")</f>
        <v/>
      </c>
      <c r="I1141" s="65" t="s">
        <v>4</v>
      </c>
      <c r="J1141" s="65" t="s">
        <v>4</v>
      </c>
      <c r="K1141" s="65" t="s">
        <v>4</v>
      </c>
      <c r="L1141" s="67"/>
      <c r="M1141" s="69" t="str">
        <f>IF(Main[[#This Row],[Tech Start Date]]&lt;1/1/1990,"",IF(Main[[#This Row],[Class]]="C",WORKDAY(Main[[#This Row],[Tech Start Date]],9),IF(Main[[#This Row],[Class]]="B", WORKDAY(Main[[#This Row],[Tech Start Date]],6),IF(Main[[#This Row],[Class]]="A",WORKDAY(Main[[#This Row],[Tech Start Date]],2),""))))</f>
        <v/>
      </c>
      <c r="N1141" s="69" t="str">
        <f>IF(Main[[#This Row],[Tech Start Date]]&lt;1/1/1990,"",IF(Main[[#This Row],[Class]]="C",WORKDAY(Main[[#This Row],[Tech Start Date]],19),IF(Main[[#This Row],[Class]]="B", WORKDAY(Main[[#This Row],[Tech Start Date]],12),IF(Main[[#This Row],[Class]]="A",WORKDAY(Main[[#This Row],[Tech Start Date]],4),""))))</f>
        <v/>
      </c>
      <c r="O1141" s="69" t="str">
        <f>IF(Main[[#This Row],[Tech Start Date]]&lt;1/1/1990,"",IF(Main[[#This Row],[Class]]="C",WORKDAY(Main[[#This Row],[Tech Start Date]],23),IF(Main[[#This Row],[Class]]="B", WORKDAY(Main[[#This Row],[Tech Start Date]],15),IF(Main[[#This Row],[Class]]="A",WORKDAY(Main[[#This Row],[Tech Start Date]],5),""))))</f>
        <v/>
      </c>
      <c r="P1141" s="69" t="str">
        <f>IF(Main[[#This Row],[Tech Start Date]]&lt;1/1/1990,"",IF(Main[[#This Row],[Class]]="C",WORKDAY(Main[[#This Row],[Tech Start Date]],28),IF(Main[[#This Row],[Class]]="B", WORKDAY(Main[[#This Row],[Tech Start Date]],19),IF(Main[[#This Row],[Class]]="A",WORKDAY(Main[[#This Row],[Tech Start Date]],9),""))))</f>
        <v/>
      </c>
      <c r="Q1141" s="67"/>
      <c r="R1141" s="67"/>
      <c r="S1141" s="65" t="s">
        <v>6</v>
      </c>
      <c r="T1141" s="70" t="s">
        <v>4</v>
      </c>
      <c r="U1141" s="65" t="s">
        <v>7</v>
      </c>
      <c r="V1141" s="65" t="s">
        <v>1914</v>
      </c>
      <c r="W1141" s="65" t="s">
        <v>1918</v>
      </c>
      <c r="X1141" s="65" t="s">
        <v>2817</v>
      </c>
      <c r="Y1141" s="65" t="s">
        <v>3130</v>
      </c>
      <c r="Z1141" s="65" t="s">
        <v>4</v>
      </c>
      <c r="AA1141" s="65" t="s">
        <v>2817</v>
      </c>
    </row>
    <row r="1142" spans="1:27" ht="17.45" hidden="1" customHeight="1">
      <c r="A1142" s="100">
        <f>IF(priority(Main[[#This Row],[Comments]])&lt;&gt;0, priority(Main[[#This Row],[Comments]]),"")</f>
        <v>46</v>
      </c>
      <c r="B1142" s="77" t="s">
        <v>2528</v>
      </c>
      <c r="C1142" s="65" t="s">
        <v>2008</v>
      </c>
      <c r="D1142" s="66" t="s">
        <v>2529</v>
      </c>
      <c r="E1142" s="67"/>
      <c r="F1142" s="67"/>
      <c r="G1142" s="64">
        <f>IF(stdProdLT(Main[[#This Row],[Comments]])=0.1,"N/A",IF(stdProdLT(Main[[#This Row],[Comments]])=0,"",stdProdLT(Main[[#This Row],[Comments]])))</f>
        <v>168</v>
      </c>
      <c r="H1142" s="68" t="str">
        <f>IF(AND(Main[[#This Row],[In Stock Date]]&lt;&gt;"",Main[[#This Row],[Revised Due Date]]&lt;&gt;""),Main[[#This Row],[In Stock Date]]-Main[[#This Row],[Revised Due Date]],"")</f>
        <v/>
      </c>
      <c r="I1142" s="65" t="s">
        <v>4</v>
      </c>
      <c r="J1142" s="65" t="s">
        <v>4</v>
      </c>
      <c r="K1142" s="65" t="s">
        <v>4</v>
      </c>
      <c r="L1142" s="67"/>
      <c r="M1142" s="69" t="str">
        <f>IF(Main[[#This Row],[Tech Start Date]]&lt;1/1/1990,"",IF(Main[[#This Row],[Class]]="C",WORKDAY(Main[[#This Row],[Tech Start Date]],9),IF(Main[[#This Row],[Class]]="B", WORKDAY(Main[[#This Row],[Tech Start Date]],6),IF(Main[[#This Row],[Class]]="A",WORKDAY(Main[[#This Row],[Tech Start Date]],2),""))))</f>
        <v/>
      </c>
      <c r="N1142" s="69" t="str">
        <f>IF(Main[[#This Row],[Tech Start Date]]&lt;1/1/1990,"",IF(Main[[#This Row],[Class]]="C",WORKDAY(Main[[#This Row],[Tech Start Date]],19),IF(Main[[#This Row],[Class]]="B", WORKDAY(Main[[#This Row],[Tech Start Date]],12),IF(Main[[#This Row],[Class]]="A",WORKDAY(Main[[#This Row],[Tech Start Date]],4),""))))</f>
        <v/>
      </c>
      <c r="O1142" s="69" t="str">
        <f>IF(Main[[#This Row],[Tech Start Date]]&lt;1/1/1990,"",IF(Main[[#This Row],[Class]]="C",WORKDAY(Main[[#This Row],[Tech Start Date]],23),IF(Main[[#This Row],[Class]]="B", WORKDAY(Main[[#This Row],[Tech Start Date]],15),IF(Main[[#This Row],[Class]]="A",WORKDAY(Main[[#This Row],[Tech Start Date]],5),""))))</f>
        <v/>
      </c>
      <c r="P1142" s="69" t="str">
        <f>IF(Main[[#This Row],[Tech Start Date]]&lt;1/1/1990,"",IF(Main[[#This Row],[Class]]="C",WORKDAY(Main[[#This Row],[Tech Start Date]],28),IF(Main[[#This Row],[Class]]="B", WORKDAY(Main[[#This Row],[Tech Start Date]],19),IF(Main[[#This Row],[Class]]="A",WORKDAY(Main[[#This Row],[Tech Start Date]],9),""))))</f>
        <v/>
      </c>
      <c r="Q1142" s="67">
        <v>40874</v>
      </c>
      <c r="R1142" s="67"/>
      <c r="S1142" s="65" t="s">
        <v>11</v>
      </c>
      <c r="T1142" s="70" t="s">
        <v>2530</v>
      </c>
      <c r="U1142" s="65" t="s">
        <v>14</v>
      </c>
      <c r="V1142" s="65" t="s">
        <v>1917</v>
      </c>
      <c r="W1142" s="65" t="s">
        <v>1916</v>
      </c>
      <c r="X1142" s="65" t="s">
        <v>2854</v>
      </c>
      <c r="Y1142" s="65" t="s">
        <v>4</v>
      </c>
      <c r="Z1142" s="65" t="s">
        <v>4</v>
      </c>
      <c r="AA1142" s="65" t="s">
        <v>2854</v>
      </c>
    </row>
    <row r="1143" spans="1:27" ht="17.45" hidden="1" customHeight="1">
      <c r="A1143" s="100" t="str">
        <f>IF(priority(Main[[#This Row],[Comments]])&lt;&gt;0, priority(Main[[#This Row],[Comments]]),"")</f>
        <v/>
      </c>
      <c r="B1143" s="77" t="s">
        <v>3693</v>
      </c>
      <c r="C1143" s="65" t="s">
        <v>3694</v>
      </c>
      <c r="D1143" s="66" t="s">
        <v>3695</v>
      </c>
      <c r="E1143" s="67"/>
      <c r="F1143" s="67"/>
      <c r="G1143" s="64" t="str">
        <f>IF(stdProdLT(Main[[#This Row],[Comments]])=0.1,"N/A",IF(stdProdLT(Main[[#This Row],[Comments]])=0,"",stdProdLT(Main[[#This Row],[Comments]])))</f>
        <v/>
      </c>
      <c r="H1143" s="68" t="str">
        <f>IF(AND(Main[[#This Row],[In Stock Date]]&lt;&gt;"",Main[[#This Row],[Revised Due Date]]&lt;&gt;""),Main[[#This Row],[In Stock Date]]-Main[[#This Row],[Revised Due Date]],"")</f>
        <v/>
      </c>
      <c r="I1143" s="65" t="s">
        <v>4</v>
      </c>
      <c r="J1143" s="65" t="s">
        <v>4</v>
      </c>
      <c r="K1143" s="65" t="s">
        <v>4</v>
      </c>
      <c r="L1143" s="67"/>
      <c r="M1143" s="69" t="str">
        <f>IF(Main[[#This Row],[Tech Start Date]]&lt;1/1/1990,"",IF(Main[[#This Row],[Class]]="C",WORKDAY(Main[[#This Row],[Tech Start Date]],9),IF(Main[[#This Row],[Class]]="B", WORKDAY(Main[[#This Row],[Tech Start Date]],6),IF(Main[[#This Row],[Class]]="A",WORKDAY(Main[[#This Row],[Tech Start Date]],2),""))))</f>
        <v/>
      </c>
      <c r="N1143" s="69" t="str">
        <f>IF(Main[[#This Row],[Tech Start Date]]&lt;1/1/1990,"",IF(Main[[#This Row],[Class]]="C",WORKDAY(Main[[#This Row],[Tech Start Date]],19),IF(Main[[#This Row],[Class]]="B", WORKDAY(Main[[#This Row],[Tech Start Date]],12),IF(Main[[#This Row],[Class]]="A",WORKDAY(Main[[#This Row],[Tech Start Date]],4),""))))</f>
        <v/>
      </c>
      <c r="O1143" s="69" t="str">
        <f>IF(Main[[#This Row],[Tech Start Date]]&lt;1/1/1990,"",IF(Main[[#This Row],[Class]]="C",WORKDAY(Main[[#This Row],[Tech Start Date]],23),IF(Main[[#This Row],[Class]]="B", WORKDAY(Main[[#This Row],[Tech Start Date]],15),IF(Main[[#This Row],[Class]]="A",WORKDAY(Main[[#This Row],[Tech Start Date]],5),""))))</f>
        <v/>
      </c>
      <c r="P1143" s="69" t="str">
        <f>IF(Main[[#This Row],[Tech Start Date]]&lt;1/1/1990,"",IF(Main[[#This Row],[Class]]="C",WORKDAY(Main[[#This Row],[Tech Start Date]],28),IF(Main[[#This Row],[Class]]="B", WORKDAY(Main[[#This Row],[Tech Start Date]],19),IF(Main[[#This Row],[Class]]="A",WORKDAY(Main[[#This Row],[Tech Start Date]],9),""))))</f>
        <v/>
      </c>
      <c r="Q1143" s="67">
        <v>40970</v>
      </c>
      <c r="R1143" s="67"/>
      <c r="S1143" s="65" t="s">
        <v>11</v>
      </c>
      <c r="T1143" s="70" t="s">
        <v>4</v>
      </c>
      <c r="U1143" s="65" t="s">
        <v>14</v>
      </c>
      <c r="V1143" s="65" t="s">
        <v>1915</v>
      </c>
      <c r="W1143" s="65" t="s">
        <v>1916</v>
      </c>
      <c r="X1143" s="65" t="s">
        <v>2816</v>
      </c>
      <c r="Y1143" s="65" t="s">
        <v>4</v>
      </c>
      <c r="Z1143" s="65" t="s">
        <v>4</v>
      </c>
      <c r="AA1143" s="65" t="s">
        <v>2816</v>
      </c>
    </row>
    <row r="1144" spans="1:27" ht="17.45" hidden="1" customHeight="1">
      <c r="A1144" s="100" t="str">
        <f>IF(priority(Main[[#This Row],[Comments]])&lt;&gt;0, priority(Main[[#This Row],[Comments]]),"")</f>
        <v/>
      </c>
      <c r="B1144" s="77" t="s">
        <v>3359</v>
      </c>
      <c r="C1144" s="65" t="s">
        <v>47</v>
      </c>
      <c r="D1144" s="66" t="s">
        <v>3360</v>
      </c>
      <c r="E1144" s="67">
        <v>40938.378252314818</v>
      </c>
      <c r="F1144" s="67"/>
      <c r="G1144" s="64" t="str">
        <f>IF(stdProdLT(Main[[#This Row],[Comments]])=0.1,"N/A",IF(stdProdLT(Main[[#This Row],[Comments]])=0,"",stdProdLT(Main[[#This Row],[Comments]])))</f>
        <v/>
      </c>
      <c r="H1144" s="68" t="str">
        <f>IF(AND(Main[[#This Row],[In Stock Date]]&lt;&gt;"",Main[[#This Row],[Revised Due Date]]&lt;&gt;""),Main[[#This Row],[In Stock Date]]-Main[[#This Row],[Revised Due Date]],"")</f>
        <v/>
      </c>
      <c r="I1144" s="65" t="s">
        <v>4</v>
      </c>
      <c r="J1144" s="65" t="s">
        <v>4</v>
      </c>
      <c r="K1144" s="65" t="s">
        <v>4</v>
      </c>
      <c r="L1144" s="67"/>
      <c r="M1144" s="69" t="str">
        <f>IF(Main[[#This Row],[Tech Start Date]]&lt;1/1/1990,"",IF(Main[[#This Row],[Class]]="C",WORKDAY(Main[[#This Row],[Tech Start Date]],9),IF(Main[[#This Row],[Class]]="B", WORKDAY(Main[[#This Row],[Tech Start Date]],6),IF(Main[[#This Row],[Class]]="A",WORKDAY(Main[[#This Row],[Tech Start Date]],2),""))))</f>
        <v/>
      </c>
      <c r="N1144" s="69" t="str">
        <f>IF(Main[[#This Row],[Tech Start Date]]&lt;1/1/1990,"",IF(Main[[#This Row],[Class]]="C",WORKDAY(Main[[#This Row],[Tech Start Date]],19),IF(Main[[#This Row],[Class]]="B", WORKDAY(Main[[#This Row],[Tech Start Date]],12),IF(Main[[#This Row],[Class]]="A",WORKDAY(Main[[#This Row],[Tech Start Date]],4),""))))</f>
        <v/>
      </c>
      <c r="O1144" s="69" t="str">
        <f>IF(Main[[#This Row],[Tech Start Date]]&lt;1/1/1990,"",IF(Main[[#This Row],[Class]]="C",WORKDAY(Main[[#This Row],[Tech Start Date]],23),IF(Main[[#This Row],[Class]]="B", WORKDAY(Main[[#This Row],[Tech Start Date]],15),IF(Main[[#This Row],[Class]]="A",WORKDAY(Main[[#This Row],[Tech Start Date]],5),""))))</f>
        <v/>
      </c>
      <c r="P1144" s="69" t="str">
        <f>IF(Main[[#This Row],[Tech Start Date]]&lt;1/1/1990,"",IF(Main[[#This Row],[Class]]="C",WORKDAY(Main[[#This Row],[Tech Start Date]],28),IF(Main[[#This Row],[Class]]="B", WORKDAY(Main[[#This Row],[Tech Start Date]],19),IF(Main[[#This Row],[Class]]="A",WORKDAY(Main[[#This Row],[Tech Start Date]],9),""))))</f>
        <v/>
      </c>
      <c r="Q1144" s="67">
        <v>40939</v>
      </c>
      <c r="R1144" s="67"/>
      <c r="S1144" s="65" t="s">
        <v>6</v>
      </c>
      <c r="T1144" s="70" t="s">
        <v>4</v>
      </c>
      <c r="U1144" s="65" t="s">
        <v>7</v>
      </c>
      <c r="V1144" s="65" t="s">
        <v>2283</v>
      </c>
      <c r="W1144" s="65" t="s">
        <v>4</v>
      </c>
      <c r="X1144" s="65" t="s">
        <v>2865</v>
      </c>
      <c r="Y1144" s="65" t="s">
        <v>3010</v>
      </c>
      <c r="Z1144" s="65" t="s">
        <v>4</v>
      </c>
      <c r="AA1144" s="65" t="s">
        <v>2865</v>
      </c>
    </row>
    <row r="1145" spans="1:27" ht="17.45" customHeight="1">
      <c r="A1145" s="100">
        <f>IF(priority(Main[[#This Row],[Comments]])&lt;&gt;0, priority(Main[[#This Row],[Comments]]),"")</f>
        <v>12</v>
      </c>
      <c r="B1145" s="77" t="s">
        <v>3194</v>
      </c>
      <c r="C1145" s="65" t="s">
        <v>3195</v>
      </c>
      <c r="D1145" s="66" t="s">
        <v>3370</v>
      </c>
      <c r="E1145" s="67">
        <v>40920.45616898148</v>
      </c>
      <c r="F1145" s="67">
        <v>41105</v>
      </c>
      <c r="G1145" s="64">
        <f>IF(stdProdLT(Main[[#This Row],[Comments]])=0.1,"N/A",IF(stdProdLT(Main[[#This Row],[Comments]])=0,"",stdProdLT(Main[[#This Row],[Comments]])))</f>
        <v>126</v>
      </c>
      <c r="H1145" s="68">
        <f>IF(AND(Main[[#This Row],[In Stock Date]]&lt;&gt;"",Main[[#This Row],[Revised Due Date]]&lt;&gt;""),Main[[#This Row],[In Stock Date]]-Main[[#This Row],[Revised Due Date]],"")</f>
        <v>130</v>
      </c>
      <c r="I1145" s="65" t="s">
        <v>912</v>
      </c>
      <c r="J1145" s="65" t="s">
        <v>52</v>
      </c>
      <c r="K1145" s="65" t="s">
        <v>1921</v>
      </c>
      <c r="L1145" s="67">
        <v>40924</v>
      </c>
      <c r="M1145" s="69">
        <f>IF(Main[[#This Row],[Tech Start Date]]&lt;1/1/1990,"",IF(Main[[#This Row],[Class]]="C",WORKDAY(Main[[#This Row],[Tech Start Date]],9),IF(Main[[#This Row],[Class]]="B", WORKDAY(Main[[#This Row],[Tech Start Date]],6),IF(Main[[#This Row],[Class]]="A",WORKDAY(Main[[#This Row],[Tech Start Date]],2),""))))</f>
        <v>40932</v>
      </c>
      <c r="N1145" s="69">
        <f>IF(Main[[#This Row],[Tech Start Date]]&lt;1/1/1990,"",IF(Main[[#This Row],[Class]]="C",WORKDAY(Main[[#This Row],[Tech Start Date]],19),IF(Main[[#This Row],[Class]]="B", WORKDAY(Main[[#This Row],[Tech Start Date]],12),IF(Main[[#This Row],[Class]]="A",WORKDAY(Main[[#This Row],[Tech Start Date]],4),""))))</f>
        <v>40940</v>
      </c>
      <c r="O1145" s="69">
        <f>IF(Main[[#This Row],[Tech Start Date]]&lt;1/1/1990,"",IF(Main[[#This Row],[Class]]="C",WORKDAY(Main[[#This Row],[Tech Start Date]],23),IF(Main[[#This Row],[Class]]="B", WORKDAY(Main[[#This Row],[Tech Start Date]],15),IF(Main[[#This Row],[Class]]="A",WORKDAY(Main[[#This Row],[Tech Start Date]],5),""))))</f>
        <v>40945</v>
      </c>
      <c r="P1145" s="69">
        <f>IF(Main[[#This Row],[Tech Start Date]]&lt;1/1/1990,"",IF(Main[[#This Row],[Class]]="C",WORKDAY(Main[[#This Row],[Tech Start Date]],28),IF(Main[[#This Row],[Class]]="B", WORKDAY(Main[[#This Row],[Tech Start Date]],19),IF(Main[[#This Row],[Class]]="A",WORKDAY(Main[[#This Row],[Tech Start Date]],9),""))))</f>
        <v>40949</v>
      </c>
      <c r="Q1145" s="67">
        <v>41105</v>
      </c>
      <c r="R1145" s="67">
        <v>40975</v>
      </c>
      <c r="S1145" s="65" t="s">
        <v>11</v>
      </c>
      <c r="T1145" s="70" t="s">
        <v>3827</v>
      </c>
      <c r="U1145" s="65" t="s">
        <v>29</v>
      </c>
      <c r="V1145" s="65" t="s">
        <v>1914</v>
      </c>
      <c r="W1145" s="65" t="s">
        <v>1920</v>
      </c>
      <c r="X1145" s="65" t="s">
        <v>2852</v>
      </c>
      <c r="Y1145" s="65" t="s">
        <v>2990</v>
      </c>
      <c r="Z1145" s="65" t="s">
        <v>129</v>
      </c>
      <c r="AA1145" s="65" t="s">
        <v>2852</v>
      </c>
    </row>
    <row r="1146" spans="1:27" ht="17.45" hidden="1" customHeight="1">
      <c r="A1146" s="100" t="str">
        <f>IF(priority(Main[[#This Row],[Comments]])&lt;&gt;0, priority(Main[[#This Row],[Comments]]),"")</f>
        <v/>
      </c>
      <c r="B1146" s="77" t="s">
        <v>2535</v>
      </c>
      <c r="C1146" s="65" t="s">
        <v>4</v>
      </c>
      <c r="D1146" s="66" t="s">
        <v>3698</v>
      </c>
      <c r="E1146" s="67">
        <v>40861.6484837963</v>
      </c>
      <c r="F1146" s="67"/>
      <c r="G1146" s="64" t="str">
        <f>IF(stdProdLT(Main[[#This Row],[Comments]])=0.1,"N/A",IF(stdProdLT(Main[[#This Row],[Comments]])=0,"",stdProdLT(Main[[#This Row],[Comments]])))</f>
        <v/>
      </c>
      <c r="H1146" s="68" t="str">
        <f>IF(AND(Main[[#This Row],[In Stock Date]]&lt;&gt;"",Main[[#This Row],[Revised Due Date]]&lt;&gt;""),Main[[#This Row],[In Stock Date]]-Main[[#This Row],[Revised Due Date]],"")</f>
        <v/>
      </c>
      <c r="I1146" s="65" t="s">
        <v>4</v>
      </c>
      <c r="J1146" s="65" t="s">
        <v>4</v>
      </c>
      <c r="K1146" s="65" t="s">
        <v>4</v>
      </c>
      <c r="L1146" s="67"/>
      <c r="M1146" s="69" t="str">
        <f>IF(Main[[#This Row],[Tech Start Date]]&lt;1/1/1990,"",IF(Main[[#This Row],[Class]]="C",WORKDAY(Main[[#This Row],[Tech Start Date]],9),IF(Main[[#This Row],[Class]]="B", WORKDAY(Main[[#This Row],[Tech Start Date]],6),IF(Main[[#This Row],[Class]]="A",WORKDAY(Main[[#This Row],[Tech Start Date]],2),""))))</f>
        <v/>
      </c>
      <c r="N1146" s="69" t="str">
        <f>IF(Main[[#This Row],[Tech Start Date]]&lt;1/1/1990,"",IF(Main[[#This Row],[Class]]="C",WORKDAY(Main[[#This Row],[Tech Start Date]],19),IF(Main[[#This Row],[Class]]="B", WORKDAY(Main[[#This Row],[Tech Start Date]],12),IF(Main[[#This Row],[Class]]="A",WORKDAY(Main[[#This Row],[Tech Start Date]],4),""))))</f>
        <v/>
      </c>
      <c r="O1146" s="69" t="str">
        <f>IF(Main[[#This Row],[Tech Start Date]]&lt;1/1/1990,"",IF(Main[[#This Row],[Class]]="C",WORKDAY(Main[[#This Row],[Tech Start Date]],23),IF(Main[[#This Row],[Class]]="B", WORKDAY(Main[[#This Row],[Tech Start Date]],15),IF(Main[[#This Row],[Class]]="A",WORKDAY(Main[[#This Row],[Tech Start Date]],5),""))))</f>
        <v/>
      </c>
      <c r="P1146" s="69" t="str">
        <f>IF(Main[[#This Row],[Tech Start Date]]&lt;1/1/1990,"",IF(Main[[#This Row],[Class]]="C",WORKDAY(Main[[#This Row],[Tech Start Date]],28),IF(Main[[#This Row],[Class]]="B", WORKDAY(Main[[#This Row],[Tech Start Date]],19),IF(Main[[#This Row],[Class]]="A",WORKDAY(Main[[#This Row],[Tech Start Date]],9),""))))</f>
        <v/>
      </c>
      <c r="Q1146" s="67">
        <v>41372</v>
      </c>
      <c r="R1146" s="67"/>
      <c r="S1146" s="65" t="s">
        <v>17</v>
      </c>
      <c r="T1146" s="70" t="s">
        <v>4</v>
      </c>
      <c r="U1146" s="65" t="s">
        <v>29</v>
      </c>
      <c r="V1146" s="65" t="s">
        <v>1917</v>
      </c>
      <c r="W1146" s="65" t="s">
        <v>1919</v>
      </c>
      <c r="X1146" s="65" t="s">
        <v>652</v>
      </c>
      <c r="Y1146" s="65" t="s">
        <v>3126</v>
      </c>
      <c r="Z1146" s="65" t="s">
        <v>4</v>
      </c>
      <c r="AA1146" s="65" t="s">
        <v>652</v>
      </c>
    </row>
    <row r="1147" spans="1:27" ht="17.45" hidden="1" customHeight="1">
      <c r="A1147" s="100" t="str">
        <f>IF(priority(Main[[#This Row],[Comments]])&lt;&gt;0, priority(Main[[#This Row],[Comments]]),"")</f>
        <v/>
      </c>
      <c r="B1147" s="77" t="s">
        <v>3488</v>
      </c>
      <c r="C1147" s="65" t="s">
        <v>4</v>
      </c>
      <c r="D1147" s="66" t="s">
        <v>3489</v>
      </c>
      <c r="E1147" s="67">
        <v>40941.350555555553</v>
      </c>
      <c r="F1147" s="67"/>
      <c r="G1147" s="64" t="str">
        <f>IF(stdProdLT(Main[[#This Row],[Comments]])=0.1,"N/A",IF(stdProdLT(Main[[#This Row],[Comments]])=0,"",stdProdLT(Main[[#This Row],[Comments]])))</f>
        <v/>
      </c>
      <c r="H1147" s="68" t="str">
        <f>IF(AND(Main[[#This Row],[In Stock Date]]&lt;&gt;"",Main[[#This Row],[Revised Due Date]]&lt;&gt;""),Main[[#This Row],[In Stock Date]]-Main[[#This Row],[Revised Due Date]],"")</f>
        <v/>
      </c>
      <c r="I1147" s="65" t="s">
        <v>4</v>
      </c>
      <c r="J1147" s="65" t="s">
        <v>4</v>
      </c>
      <c r="K1147" s="65" t="s">
        <v>4</v>
      </c>
      <c r="L1147" s="67"/>
      <c r="M1147" s="69" t="str">
        <f>IF(Main[[#This Row],[Tech Start Date]]&lt;1/1/1990,"",IF(Main[[#This Row],[Class]]="C",WORKDAY(Main[[#This Row],[Tech Start Date]],9),IF(Main[[#This Row],[Class]]="B", WORKDAY(Main[[#This Row],[Tech Start Date]],6),IF(Main[[#This Row],[Class]]="A",WORKDAY(Main[[#This Row],[Tech Start Date]],2),""))))</f>
        <v/>
      </c>
      <c r="N1147" s="69" t="str">
        <f>IF(Main[[#This Row],[Tech Start Date]]&lt;1/1/1990,"",IF(Main[[#This Row],[Class]]="C",WORKDAY(Main[[#This Row],[Tech Start Date]],19),IF(Main[[#This Row],[Class]]="B", WORKDAY(Main[[#This Row],[Tech Start Date]],12),IF(Main[[#This Row],[Class]]="A",WORKDAY(Main[[#This Row],[Tech Start Date]],4),""))))</f>
        <v/>
      </c>
      <c r="O1147" s="69" t="str">
        <f>IF(Main[[#This Row],[Tech Start Date]]&lt;1/1/1990,"",IF(Main[[#This Row],[Class]]="C",WORKDAY(Main[[#This Row],[Tech Start Date]],23),IF(Main[[#This Row],[Class]]="B", WORKDAY(Main[[#This Row],[Tech Start Date]],15),IF(Main[[#This Row],[Class]]="A",WORKDAY(Main[[#This Row],[Tech Start Date]],5),""))))</f>
        <v/>
      </c>
      <c r="P1147" s="69" t="str">
        <f>IF(Main[[#This Row],[Tech Start Date]]&lt;1/1/1990,"",IF(Main[[#This Row],[Class]]="C",WORKDAY(Main[[#This Row],[Tech Start Date]],28),IF(Main[[#This Row],[Class]]="B", WORKDAY(Main[[#This Row],[Tech Start Date]],19),IF(Main[[#This Row],[Class]]="A",WORKDAY(Main[[#This Row],[Tech Start Date]],9),""))))</f>
        <v/>
      </c>
      <c r="Q1147" s="67"/>
      <c r="R1147" s="67"/>
      <c r="S1147" s="65" t="s">
        <v>6</v>
      </c>
      <c r="T1147" s="70" t="s">
        <v>4</v>
      </c>
      <c r="U1147" s="65" t="s">
        <v>29</v>
      </c>
      <c r="V1147" s="65" t="s">
        <v>1917</v>
      </c>
      <c r="W1147" s="65" t="s">
        <v>4</v>
      </c>
      <c r="X1147" s="65" t="s">
        <v>2822</v>
      </c>
      <c r="Y1147" s="65" t="s">
        <v>2938</v>
      </c>
      <c r="Z1147" s="65" t="s">
        <v>4</v>
      </c>
      <c r="AA1147" s="65" t="s">
        <v>2822</v>
      </c>
    </row>
    <row r="1148" spans="1:27" ht="17.45" hidden="1" customHeight="1">
      <c r="A1148" s="100" t="str">
        <f>IF(priority(Main[[#This Row],[Comments]])&lt;&gt;0, priority(Main[[#This Row],[Comments]]),"")</f>
        <v/>
      </c>
      <c r="B1148" s="77" t="s">
        <v>1582</v>
      </c>
      <c r="C1148" s="65" t="s">
        <v>4</v>
      </c>
      <c r="D1148" s="66" t="s">
        <v>2675</v>
      </c>
      <c r="E1148" s="67">
        <v>40455.90111111111</v>
      </c>
      <c r="F1148" s="67"/>
      <c r="G1148" s="64" t="str">
        <f>IF(stdProdLT(Main[[#This Row],[Comments]])=0.1,"N/A",IF(stdProdLT(Main[[#This Row],[Comments]])=0,"",stdProdLT(Main[[#This Row],[Comments]])))</f>
        <v/>
      </c>
      <c r="H1148" s="68" t="str">
        <f>IF(AND(Main[[#This Row],[In Stock Date]]&lt;&gt;"",Main[[#This Row],[Revised Due Date]]&lt;&gt;""),Main[[#This Row],[In Stock Date]]-Main[[#This Row],[Revised Due Date]],"")</f>
        <v/>
      </c>
      <c r="I1148" s="65" t="s">
        <v>4</v>
      </c>
      <c r="J1148" s="65" t="s">
        <v>28</v>
      </c>
      <c r="K1148" s="65" t="s">
        <v>1926</v>
      </c>
      <c r="L1148" s="67"/>
      <c r="M1148" s="69" t="str">
        <f>IF(Main[[#This Row],[Tech Start Date]]&lt;1/1/1990,"",IF(Main[[#This Row],[Class]]="C",WORKDAY(Main[[#This Row],[Tech Start Date]],9),IF(Main[[#This Row],[Class]]="B", WORKDAY(Main[[#This Row],[Tech Start Date]],6),IF(Main[[#This Row],[Class]]="A",WORKDAY(Main[[#This Row],[Tech Start Date]],2),""))))</f>
        <v/>
      </c>
      <c r="N1148" s="69" t="str">
        <f>IF(Main[[#This Row],[Tech Start Date]]&lt;1/1/1990,"",IF(Main[[#This Row],[Class]]="C",WORKDAY(Main[[#This Row],[Tech Start Date]],19),IF(Main[[#This Row],[Class]]="B", WORKDAY(Main[[#This Row],[Tech Start Date]],12),IF(Main[[#This Row],[Class]]="A",WORKDAY(Main[[#This Row],[Tech Start Date]],4),""))))</f>
        <v/>
      </c>
      <c r="O1148" s="69" t="str">
        <f>IF(Main[[#This Row],[Tech Start Date]]&lt;1/1/1990,"",IF(Main[[#This Row],[Class]]="C",WORKDAY(Main[[#This Row],[Tech Start Date]],23),IF(Main[[#This Row],[Class]]="B", WORKDAY(Main[[#This Row],[Tech Start Date]],15),IF(Main[[#This Row],[Class]]="A",WORKDAY(Main[[#This Row],[Tech Start Date]],5),""))))</f>
        <v/>
      </c>
      <c r="P1148" s="69" t="str">
        <f>IF(Main[[#This Row],[Tech Start Date]]&lt;1/1/1990,"",IF(Main[[#This Row],[Class]]="C",WORKDAY(Main[[#This Row],[Tech Start Date]],28),IF(Main[[#This Row],[Class]]="B", WORKDAY(Main[[#This Row],[Tech Start Date]],19),IF(Main[[#This Row],[Class]]="A",WORKDAY(Main[[#This Row],[Tech Start Date]],9),""))))</f>
        <v/>
      </c>
      <c r="Q1148" s="67">
        <v>41060</v>
      </c>
      <c r="R1148" s="67"/>
      <c r="S1148" s="65" t="s">
        <v>17</v>
      </c>
      <c r="T1148" s="70" t="s">
        <v>4</v>
      </c>
      <c r="U1148" s="65" t="s">
        <v>7</v>
      </c>
      <c r="V1148" s="65" t="s">
        <v>1914</v>
      </c>
      <c r="W1148" s="65" t="s">
        <v>1916</v>
      </c>
      <c r="X1148" s="65" t="s">
        <v>129</v>
      </c>
      <c r="Y1148" s="65" t="s">
        <v>2933</v>
      </c>
      <c r="Z1148" s="65" t="s">
        <v>129</v>
      </c>
      <c r="AA1148" s="65" t="s">
        <v>129</v>
      </c>
    </row>
    <row r="1149" spans="1:27" ht="17.45" hidden="1" customHeight="1">
      <c r="A1149" s="100" t="str">
        <f>IF(priority(Main[[#This Row],[Comments]])&lt;&gt;0, priority(Main[[#This Row],[Comments]]),"")</f>
        <v/>
      </c>
      <c r="B1149" s="77" t="s">
        <v>3699</v>
      </c>
      <c r="C1149" s="65" t="s">
        <v>4</v>
      </c>
      <c r="D1149" s="66" t="s">
        <v>3700</v>
      </c>
      <c r="E1149" s="67">
        <v>40962.794108796297</v>
      </c>
      <c r="F1149" s="67"/>
      <c r="G1149" s="64" t="str">
        <f>IF(stdProdLT(Main[[#This Row],[Comments]])=0.1,"N/A",IF(stdProdLT(Main[[#This Row],[Comments]])=0,"",stdProdLT(Main[[#This Row],[Comments]])))</f>
        <v/>
      </c>
      <c r="H1149" s="68" t="str">
        <f>IF(AND(Main[[#This Row],[In Stock Date]]&lt;&gt;"",Main[[#This Row],[Revised Due Date]]&lt;&gt;""),Main[[#This Row],[In Stock Date]]-Main[[#This Row],[Revised Due Date]],"")</f>
        <v/>
      </c>
      <c r="I1149" s="65" t="s">
        <v>2051</v>
      </c>
      <c r="J1149" s="65" t="s">
        <v>28</v>
      </c>
      <c r="K1149" s="65" t="s">
        <v>1923</v>
      </c>
      <c r="L1149" s="67"/>
      <c r="M1149" s="69" t="str">
        <f>IF(Main[[#This Row],[Tech Start Date]]&lt;1/1/1990,"",IF(Main[[#This Row],[Class]]="C",WORKDAY(Main[[#This Row],[Tech Start Date]],9),IF(Main[[#This Row],[Class]]="B", WORKDAY(Main[[#This Row],[Tech Start Date]],6),IF(Main[[#This Row],[Class]]="A",WORKDAY(Main[[#This Row],[Tech Start Date]],2),""))))</f>
        <v/>
      </c>
      <c r="N1149" s="69" t="str">
        <f>IF(Main[[#This Row],[Tech Start Date]]&lt;1/1/1990,"",IF(Main[[#This Row],[Class]]="C",WORKDAY(Main[[#This Row],[Tech Start Date]],19),IF(Main[[#This Row],[Class]]="B", WORKDAY(Main[[#This Row],[Tech Start Date]],12),IF(Main[[#This Row],[Class]]="A",WORKDAY(Main[[#This Row],[Tech Start Date]],4),""))))</f>
        <v/>
      </c>
      <c r="O1149" s="69" t="str">
        <f>IF(Main[[#This Row],[Tech Start Date]]&lt;1/1/1990,"",IF(Main[[#This Row],[Class]]="C",WORKDAY(Main[[#This Row],[Tech Start Date]],23),IF(Main[[#This Row],[Class]]="B", WORKDAY(Main[[#This Row],[Tech Start Date]],15),IF(Main[[#This Row],[Class]]="A",WORKDAY(Main[[#This Row],[Tech Start Date]],5),""))))</f>
        <v/>
      </c>
      <c r="P1149" s="69" t="str">
        <f>IF(Main[[#This Row],[Tech Start Date]]&lt;1/1/1990,"",IF(Main[[#This Row],[Class]]="C",WORKDAY(Main[[#This Row],[Tech Start Date]],28),IF(Main[[#This Row],[Class]]="B", WORKDAY(Main[[#This Row],[Tech Start Date]],19),IF(Main[[#This Row],[Class]]="A",WORKDAY(Main[[#This Row],[Tech Start Date]],9),""))))</f>
        <v/>
      </c>
      <c r="Q1149" s="67">
        <v>40999</v>
      </c>
      <c r="R1149" s="67"/>
      <c r="S1149" s="65" t="s">
        <v>6</v>
      </c>
      <c r="T1149" s="70" t="s">
        <v>4</v>
      </c>
      <c r="U1149" s="65" t="s">
        <v>29</v>
      </c>
      <c r="V1149" s="65" t="s">
        <v>1917</v>
      </c>
      <c r="W1149" s="65" t="s">
        <v>1918</v>
      </c>
      <c r="X1149" s="65" t="s">
        <v>30</v>
      </c>
      <c r="Y1149" s="65" t="s">
        <v>3701</v>
      </c>
      <c r="Z1149" s="65" t="s">
        <v>415</v>
      </c>
      <c r="AA1149" s="65" t="s">
        <v>3448</v>
      </c>
    </row>
    <row r="1150" spans="1:27" ht="17.45" hidden="1" customHeight="1">
      <c r="A1150" s="100" t="str">
        <f>IF(priority(Main[[#This Row],[Comments]])&lt;&gt;0, priority(Main[[#This Row],[Comments]]),"")</f>
        <v/>
      </c>
      <c r="B1150" s="77" t="s">
        <v>2551</v>
      </c>
      <c r="C1150" s="65" t="s">
        <v>4</v>
      </c>
      <c r="D1150" s="66" t="s">
        <v>3283</v>
      </c>
      <c r="E1150" s="67">
        <v>40876.276597222219</v>
      </c>
      <c r="F1150" s="67"/>
      <c r="G1150" s="64" t="str">
        <f>IF(stdProdLT(Main[[#This Row],[Comments]])=0.1,"N/A",IF(stdProdLT(Main[[#This Row],[Comments]])=0,"",stdProdLT(Main[[#This Row],[Comments]])))</f>
        <v/>
      </c>
      <c r="H1150" s="68" t="str">
        <f>IF(AND(Main[[#This Row],[In Stock Date]]&lt;&gt;"",Main[[#This Row],[Revised Due Date]]&lt;&gt;""),Main[[#This Row],[In Stock Date]]-Main[[#This Row],[Revised Due Date]],"")</f>
        <v/>
      </c>
      <c r="I1150" s="65" t="s">
        <v>69</v>
      </c>
      <c r="J1150" s="65" t="s">
        <v>70</v>
      </c>
      <c r="K1150" s="65" t="s">
        <v>1923</v>
      </c>
      <c r="L1150" s="67"/>
      <c r="M1150" s="69" t="str">
        <f>IF(Main[[#This Row],[Tech Start Date]]&lt;1/1/1990,"",IF(Main[[#This Row],[Class]]="C",WORKDAY(Main[[#This Row],[Tech Start Date]],9),IF(Main[[#This Row],[Class]]="B", WORKDAY(Main[[#This Row],[Tech Start Date]],6),IF(Main[[#This Row],[Class]]="A",WORKDAY(Main[[#This Row],[Tech Start Date]],2),""))))</f>
        <v/>
      </c>
      <c r="N1150" s="69" t="str">
        <f>IF(Main[[#This Row],[Tech Start Date]]&lt;1/1/1990,"",IF(Main[[#This Row],[Class]]="C",WORKDAY(Main[[#This Row],[Tech Start Date]],19),IF(Main[[#This Row],[Class]]="B", WORKDAY(Main[[#This Row],[Tech Start Date]],12),IF(Main[[#This Row],[Class]]="A",WORKDAY(Main[[#This Row],[Tech Start Date]],4),""))))</f>
        <v/>
      </c>
      <c r="O1150" s="69" t="str">
        <f>IF(Main[[#This Row],[Tech Start Date]]&lt;1/1/1990,"",IF(Main[[#This Row],[Class]]="C",WORKDAY(Main[[#This Row],[Tech Start Date]],23),IF(Main[[#This Row],[Class]]="B", WORKDAY(Main[[#This Row],[Tech Start Date]],15),IF(Main[[#This Row],[Class]]="A",WORKDAY(Main[[#This Row],[Tech Start Date]],5),""))))</f>
        <v/>
      </c>
      <c r="P1150" s="69" t="str">
        <f>IF(Main[[#This Row],[Tech Start Date]]&lt;1/1/1990,"",IF(Main[[#This Row],[Class]]="C",WORKDAY(Main[[#This Row],[Tech Start Date]],28),IF(Main[[#This Row],[Class]]="B", WORKDAY(Main[[#This Row],[Tech Start Date]],19),IF(Main[[#This Row],[Class]]="A",WORKDAY(Main[[#This Row],[Tech Start Date]],9),""))))</f>
        <v/>
      </c>
      <c r="Q1150" s="67">
        <v>40907</v>
      </c>
      <c r="R1150" s="67"/>
      <c r="S1150" s="65" t="s">
        <v>6</v>
      </c>
      <c r="T1150" s="70" t="s">
        <v>4</v>
      </c>
      <c r="U1150" s="65" t="s">
        <v>29</v>
      </c>
      <c r="V1150" s="65" t="s">
        <v>1924</v>
      </c>
      <c r="W1150" s="65" t="s">
        <v>1918</v>
      </c>
      <c r="X1150" s="65" t="s">
        <v>2818</v>
      </c>
      <c r="Y1150" s="65" t="s">
        <v>2929</v>
      </c>
      <c r="Z1150" s="65" t="s">
        <v>30</v>
      </c>
      <c r="AA1150" s="65" t="s">
        <v>2818</v>
      </c>
    </row>
    <row r="1151" spans="1:27" ht="17.45" hidden="1" customHeight="1">
      <c r="A1151" s="100" t="str">
        <f>IF(priority(Main[[#This Row],[Comments]])&lt;&gt;0, priority(Main[[#This Row],[Comments]]),"")</f>
        <v/>
      </c>
      <c r="B1151" s="77" t="s">
        <v>1824</v>
      </c>
      <c r="C1151" s="65" t="s">
        <v>47</v>
      </c>
      <c r="D1151" s="66" t="s">
        <v>875</v>
      </c>
      <c r="E1151" s="67"/>
      <c r="F1151" s="67"/>
      <c r="G1151" s="64" t="str">
        <f>IF(stdProdLT(Main[[#This Row],[Comments]])=0.1,"N/A",IF(stdProdLT(Main[[#This Row],[Comments]])=0,"",stdProdLT(Main[[#This Row],[Comments]])))</f>
        <v/>
      </c>
      <c r="H1151" s="68" t="str">
        <f>IF(AND(Main[[#This Row],[In Stock Date]]&lt;&gt;"",Main[[#This Row],[Revised Due Date]]&lt;&gt;""),Main[[#This Row],[In Stock Date]]-Main[[#This Row],[Revised Due Date]],"")</f>
        <v/>
      </c>
      <c r="I1151" s="65" t="s">
        <v>4</v>
      </c>
      <c r="J1151" s="65" t="s">
        <v>4</v>
      </c>
      <c r="K1151" s="71" t="s">
        <v>1926</v>
      </c>
      <c r="L1151" s="67"/>
      <c r="M1151" s="69" t="str">
        <f>IF(Main[[#This Row],[Tech Start Date]]&lt;1/1/1990,"",IF(Main[[#This Row],[Class]]="C",WORKDAY(Main[[#This Row],[Tech Start Date]],9),IF(Main[[#This Row],[Class]]="B", WORKDAY(Main[[#This Row],[Tech Start Date]],6),IF(Main[[#This Row],[Class]]="A",WORKDAY(Main[[#This Row],[Tech Start Date]],2),""))))</f>
        <v/>
      </c>
      <c r="N1151" s="69" t="str">
        <f>IF(Main[[#This Row],[Tech Start Date]]&lt;1/1/1990,"",IF(Main[[#This Row],[Class]]="C",WORKDAY(Main[[#This Row],[Tech Start Date]],19),IF(Main[[#This Row],[Class]]="B", WORKDAY(Main[[#This Row],[Tech Start Date]],12),IF(Main[[#This Row],[Class]]="A",WORKDAY(Main[[#This Row],[Tech Start Date]],4),""))))</f>
        <v/>
      </c>
      <c r="O1151" s="69" t="str">
        <f>IF(Main[[#This Row],[Tech Start Date]]&lt;1/1/1990,"",IF(Main[[#This Row],[Class]]="C",WORKDAY(Main[[#This Row],[Tech Start Date]],23),IF(Main[[#This Row],[Class]]="B", WORKDAY(Main[[#This Row],[Tech Start Date]],15),IF(Main[[#This Row],[Class]]="A",WORKDAY(Main[[#This Row],[Tech Start Date]],5),""))))</f>
        <v/>
      </c>
      <c r="P1151" s="69" t="str">
        <f>IF(Main[[#This Row],[Tech Start Date]]&lt;1/1/1990,"",IF(Main[[#This Row],[Class]]="C",WORKDAY(Main[[#This Row],[Tech Start Date]],28),IF(Main[[#This Row],[Class]]="B", WORKDAY(Main[[#This Row],[Tech Start Date]],19),IF(Main[[#This Row],[Class]]="A",WORKDAY(Main[[#This Row],[Tech Start Date]],9),""))))</f>
        <v/>
      </c>
      <c r="Q1151" s="67"/>
      <c r="R1151" s="67">
        <v>40359</v>
      </c>
      <c r="S1151" s="65" t="s">
        <v>17</v>
      </c>
      <c r="T1151" s="70" t="s">
        <v>4</v>
      </c>
      <c r="U1151" s="65" t="s">
        <v>14</v>
      </c>
      <c r="V1151" s="65" t="s">
        <v>1914</v>
      </c>
      <c r="W1151" s="65" t="s">
        <v>1919</v>
      </c>
      <c r="X1151" s="65" t="s">
        <v>2821</v>
      </c>
      <c r="Y1151" s="65" t="s">
        <v>2936</v>
      </c>
      <c r="Z1151" s="65" t="s">
        <v>4</v>
      </c>
      <c r="AA1151" s="65" t="s">
        <v>2821</v>
      </c>
    </row>
    <row r="1152" spans="1:27" ht="17.45" hidden="1" customHeight="1">
      <c r="A1152" s="100" t="str">
        <f>IF(priority(Main[[#This Row],[Comments]])&lt;&gt;0, priority(Main[[#This Row],[Comments]]),"")</f>
        <v/>
      </c>
      <c r="B1152" s="77" t="s">
        <v>1634</v>
      </c>
      <c r="C1152" s="65" t="s">
        <v>4</v>
      </c>
      <c r="D1152" s="66" t="s">
        <v>706</v>
      </c>
      <c r="E1152" s="67"/>
      <c r="F1152" s="67"/>
      <c r="G1152" s="64" t="str">
        <f>IF(stdProdLT(Main[[#This Row],[Comments]])=0.1,"N/A",IF(stdProdLT(Main[[#This Row],[Comments]])=0,"",stdProdLT(Main[[#This Row],[Comments]])))</f>
        <v/>
      </c>
      <c r="H1152" s="68" t="str">
        <f>IF(AND(Main[[#This Row],[In Stock Date]]&lt;&gt;"",Main[[#This Row],[Revised Due Date]]&lt;&gt;""),Main[[#This Row],[In Stock Date]]-Main[[#This Row],[Revised Due Date]],"")</f>
        <v/>
      </c>
      <c r="I1152" s="65" t="s">
        <v>4</v>
      </c>
      <c r="J1152" s="65" t="s">
        <v>28</v>
      </c>
      <c r="K1152" s="71" t="s">
        <v>1923</v>
      </c>
      <c r="L1152" s="67"/>
      <c r="M1152" s="69" t="str">
        <f>IF(Main[[#This Row],[Tech Start Date]]&lt;1/1/1990,"",IF(Main[[#This Row],[Class]]="C",WORKDAY(Main[[#This Row],[Tech Start Date]],9),IF(Main[[#This Row],[Class]]="B", WORKDAY(Main[[#This Row],[Tech Start Date]],6),IF(Main[[#This Row],[Class]]="A",WORKDAY(Main[[#This Row],[Tech Start Date]],2),""))))</f>
        <v/>
      </c>
      <c r="N1152" s="69" t="str">
        <f>IF(Main[[#This Row],[Tech Start Date]]&lt;1/1/1990,"",IF(Main[[#This Row],[Class]]="C",WORKDAY(Main[[#This Row],[Tech Start Date]],19),IF(Main[[#This Row],[Class]]="B", WORKDAY(Main[[#This Row],[Tech Start Date]],12),IF(Main[[#This Row],[Class]]="A",WORKDAY(Main[[#This Row],[Tech Start Date]],4),""))))</f>
        <v/>
      </c>
      <c r="O1152" s="69" t="str">
        <f>IF(Main[[#This Row],[Tech Start Date]]&lt;1/1/1990,"",IF(Main[[#This Row],[Class]]="C",WORKDAY(Main[[#This Row],[Tech Start Date]],23),IF(Main[[#This Row],[Class]]="B", WORKDAY(Main[[#This Row],[Tech Start Date]],15),IF(Main[[#This Row],[Class]]="A",WORKDAY(Main[[#This Row],[Tech Start Date]],5),""))))</f>
        <v/>
      </c>
      <c r="P1152" s="69" t="str">
        <f>IF(Main[[#This Row],[Tech Start Date]]&lt;1/1/1990,"",IF(Main[[#This Row],[Class]]="C",WORKDAY(Main[[#This Row],[Tech Start Date]],28),IF(Main[[#This Row],[Class]]="B", WORKDAY(Main[[#This Row],[Tech Start Date]],19),IF(Main[[#This Row],[Class]]="A",WORKDAY(Main[[#This Row],[Tech Start Date]],9),""))))</f>
        <v/>
      </c>
      <c r="Q1152" s="67"/>
      <c r="R1152" s="67"/>
      <c r="S1152" s="65" t="s">
        <v>6</v>
      </c>
      <c r="T1152" s="70" t="s">
        <v>4</v>
      </c>
      <c r="U1152" s="65" t="s">
        <v>14</v>
      </c>
      <c r="V1152" s="65" t="s">
        <v>1914</v>
      </c>
      <c r="W1152" s="65" t="s">
        <v>1918</v>
      </c>
      <c r="X1152" s="65" t="s">
        <v>306</v>
      </c>
      <c r="Y1152" s="65" t="s">
        <v>3133</v>
      </c>
      <c r="Z1152" s="65" t="s">
        <v>129</v>
      </c>
      <c r="AA1152" s="65" t="s">
        <v>3458</v>
      </c>
    </row>
    <row r="1153" spans="1:27" ht="17.45" hidden="1" customHeight="1">
      <c r="A1153" s="100" t="str">
        <f>IF(priority(Main[[#This Row],[Comments]])&lt;&gt;0, priority(Main[[#This Row],[Comments]]),"")</f>
        <v/>
      </c>
      <c r="B1153" s="77" t="s">
        <v>3703</v>
      </c>
      <c r="C1153" s="65" t="s">
        <v>4</v>
      </c>
      <c r="D1153" s="66" t="s">
        <v>3704</v>
      </c>
      <c r="E1153" s="67"/>
      <c r="F1153" s="67"/>
      <c r="G1153" s="64" t="str">
        <f>IF(stdProdLT(Main[[#This Row],[Comments]])=0.1,"N/A",IF(stdProdLT(Main[[#This Row],[Comments]])=0,"",stdProdLT(Main[[#This Row],[Comments]])))</f>
        <v/>
      </c>
      <c r="H1153" s="68" t="str">
        <f>IF(AND(Main[[#This Row],[In Stock Date]]&lt;&gt;"",Main[[#This Row],[Revised Due Date]]&lt;&gt;""),Main[[#This Row],[In Stock Date]]-Main[[#This Row],[Revised Due Date]],"")</f>
        <v/>
      </c>
      <c r="I1153" s="65" t="s">
        <v>4</v>
      </c>
      <c r="J1153" s="65" t="s">
        <v>28</v>
      </c>
      <c r="K1153" s="65" t="s">
        <v>4</v>
      </c>
      <c r="L1153" s="67"/>
      <c r="M1153" s="69" t="str">
        <f>IF(Main[[#This Row],[Tech Start Date]]&lt;1/1/1990,"",IF(Main[[#This Row],[Class]]="C",WORKDAY(Main[[#This Row],[Tech Start Date]],9),IF(Main[[#This Row],[Class]]="B", WORKDAY(Main[[#This Row],[Tech Start Date]],6),IF(Main[[#This Row],[Class]]="A",WORKDAY(Main[[#This Row],[Tech Start Date]],2),""))))</f>
        <v/>
      </c>
      <c r="N1153" s="69" t="str">
        <f>IF(Main[[#This Row],[Tech Start Date]]&lt;1/1/1990,"",IF(Main[[#This Row],[Class]]="C",WORKDAY(Main[[#This Row],[Tech Start Date]],19),IF(Main[[#This Row],[Class]]="B", WORKDAY(Main[[#This Row],[Tech Start Date]],12),IF(Main[[#This Row],[Class]]="A",WORKDAY(Main[[#This Row],[Tech Start Date]],4),""))))</f>
        <v/>
      </c>
      <c r="O1153" s="69" t="str">
        <f>IF(Main[[#This Row],[Tech Start Date]]&lt;1/1/1990,"",IF(Main[[#This Row],[Class]]="C",WORKDAY(Main[[#This Row],[Tech Start Date]],23),IF(Main[[#This Row],[Class]]="B", WORKDAY(Main[[#This Row],[Tech Start Date]],15),IF(Main[[#This Row],[Class]]="A",WORKDAY(Main[[#This Row],[Tech Start Date]],5),""))))</f>
        <v/>
      </c>
      <c r="P1153" s="69" t="str">
        <f>IF(Main[[#This Row],[Tech Start Date]]&lt;1/1/1990,"",IF(Main[[#This Row],[Class]]="C",WORKDAY(Main[[#This Row],[Tech Start Date]],28),IF(Main[[#This Row],[Class]]="B", WORKDAY(Main[[#This Row],[Tech Start Date]],19),IF(Main[[#This Row],[Class]]="A",WORKDAY(Main[[#This Row],[Tech Start Date]],9),""))))</f>
        <v/>
      </c>
      <c r="Q1153" s="67">
        <v>40724</v>
      </c>
      <c r="R1153" s="67"/>
      <c r="S1153" s="65" t="s">
        <v>17</v>
      </c>
      <c r="T1153" s="70" t="s">
        <v>2463</v>
      </c>
      <c r="U1153" s="65" t="s">
        <v>12</v>
      </c>
      <c r="V1153" s="65" t="s">
        <v>1914</v>
      </c>
      <c r="W1153" s="65" t="s">
        <v>1919</v>
      </c>
      <c r="X1153" s="65" t="s">
        <v>129</v>
      </c>
      <c r="Y1153" s="65" t="s">
        <v>2933</v>
      </c>
      <c r="Z1153" s="65" t="s">
        <v>129</v>
      </c>
      <c r="AA1153" s="65" t="s">
        <v>129</v>
      </c>
    </row>
    <row r="1154" spans="1:27" ht="17.45" customHeight="1">
      <c r="A1154" s="100">
        <f>IF(priority(Main[[#This Row],[Comments]])&lt;&gt;0, priority(Main[[#This Row],[Comments]]),"")</f>
        <v>13</v>
      </c>
      <c r="B1154" s="77" t="s">
        <v>3863</v>
      </c>
      <c r="C1154" s="65" t="s">
        <v>506</v>
      </c>
      <c r="D1154" s="66" t="s">
        <v>3971</v>
      </c>
      <c r="E1154" s="67">
        <v>40952.439212962963</v>
      </c>
      <c r="F1154" s="67">
        <v>40968</v>
      </c>
      <c r="G1154" s="64" t="str">
        <f>IF(stdProdLT(Main[[#This Row],[Comments]])=0.1,"N/A",IF(stdProdLT(Main[[#This Row],[Comments]])=0,"",stdProdLT(Main[[#This Row],[Comments]])))</f>
        <v>N/A</v>
      </c>
      <c r="H1154" s="68">
        <f>IF(AND(Main[[#This Row],[In Stock Date]]&lt;&gt;"",Main[[#This Row],[Revised Due Date]]&lt;&gt;""),Main[[#This Row],[In Stock Date]]-Main[[#This Row],[Revised Due Date]],"")</f>
        <v>-7</v>
      </c>
      <c r="I1154" s="65" t="s">
        <v>912</v>
      </c>
      <c r="J1154" s="65" t="s">
        <v>52</v>
      </c>
      <c r="K1154" s="65" t="s">
        <v>1921</v>
      </c>
      <c r="L1154" s="67">
        <v>40954</v>
      </c>
      <c r="M1154" s="69">
        <f>IF(Main[[#This Row],[Tech Start Date]]&lt;1/1/1990,"",IF(Main[[#This Row],[Class]]="C",WORKDAY(Main[[#This Row],[Tech Start Date]],9),IF(Main[[#This Row],[Class]]="B", WORKDAY(Main[[#This Row],[Tech Start Date]],6),IF(Main[[#This Row],[Class]]="A",WORKDAY(Main[[#This Row],[Tech Start Date]],2),""))))</f>
        <v>40962</v>
      </c>
      <c r="N1154" s="69">
        <f>IF(Main[[#This Row],[Tech Start Date]]&lt;1/1/1990,"",IF(Main[[#This Row],[Class]]="C",WORKDAY(Main[[#This Row],[Tech Start Date]],19),IF(Main[[#This Row],[Class]]="B", WORKDAY(Main[[#This Row],[Tech Start Date]],12),IF(Main[[#This Row],[Class]]="A",WORKDAY(Main[[#This Row],[Tech Start Date]],4),""))))</f>
        <v>40970</v>
      </c>
      <c r="O1154" s="69">
        <f>IF(Main[[#This Row],[Tech Start Date]]&lt;1/1/1990,"",IF(Main[[#This Row],[Class]]="C",WORKDAY(Main[[#This Row],[Tech Start Date]],23),IF(Main[[#This Row],[Class]]="B", WORKDAY(Main[[#This Row],[Tech Start Date]],15),IF(Main[[#This Row],[Class]]="A",WORKDAY(Main[[#This Row],[Tech Start Date]],5),""))))</f>
        <v>40975</v>
      </c>
      <c r="P1154" s="69">
        <f>IF(Main[[#This Row],[Tech Start Date]]&lt;1/1/1990,"",IF(Main[[#This Row],[Class]]="C",WORKDAY(Main[[#This Row],[Tech Start Date]],28),IF(Main[[#This Row],[Class]]="B", WORKDAY(Main[[#This Row],[Tech Start Date]],19),IF(Main[[#This Row],[Class]]="A",WORKDAY(Main[[#This Row],[Tech Start Date]],9),""))))</f>
        <v>40981</v>
      </c>
      <c r="Q1154" s="67">
        <v>40956</v>
      </c>
      <c r="R1154" s="67">
        <v>40975</v>
      </c>
      <c r="S1154" s="65" t="s">
        <v>11</v>
      </c>
      <c r="T1154" s="70" t="s">
        <v>3864</v>
      </c>
      <c r="U1154" s="65" t="s">
        <v>29</v>
      </c>
      <c r="V1154" s="65" t="s">
        <v>1914</v>
      </c>
      <c r="W1154" s="65" t="s">
        <v>1922</v>
      </c>
      <c r="X1154" s="65" t="s">
        <v>2821</v>
      </c>
      <c r="Y1154" s="65" t="s">
        <v>3865</v>
      </c>
      <c r="Z1154" s="65" t="s">
        <v>129</v>
      </c>
      <c r="AA1154" s="65" t="s">
        <v>3414</v>
      </c>
    </row>
    <row r="1155" spans="1:27" ht="17.45" hidden="1" customHeight="1">
      <c r="A1155" s="100" t="str">
        <f>IF(priority(Main[[#This Row],[Comments]])&lt;&gt;0, priority(Main[[#This Row],[Comments]]),"")</f>
        <v/>
      </c>
      <c r="B1155" s="77" t="s">
        <v>3191</v>
      </c>
      <c r="C1155" s="65" t="s">
        <v>4</v>
      </c>
      <c r="D1155" s="66" t="s">
        <v>3705</v>
      </c>
      <c r="E1155" s="67">
        <v>40921.403067129628</v>
      </c>
      <c r="F1155" s="67"/>
      <c r="G1155" s="64" t="str">
        <f>IF(stdProdLT(Main[[#This Row],[Comments]])=0.1,"N/A",IF(stdProdLT(Main[[#This Row],[Comments]])=0,"",stdProdLT(Main[[#This Row],[Comments]])))</f>
        <v/>
      </c>
      <c r="H1155" s="68" t="str">
        <f>IF(AND(Main[[#This Row],[In Stock Date]]&lt;&gt;"",Main[[#This Row],[Revised Due Date]]&lt;&gt;""),Main[[#This Row],[In Stock Date]]-Main[[#This Row],[Revised Due Date]],"")</f>
        <v/>
      </c>
      <c r="I1155" s="65" t="s">
        <v>2051</v>
      </c>
      <c r="J1155" s="65" t="s">
        <v>28</v>
      </c>
      <c r="K1155" s="65" t="s">
        <v>1923</v>
      </c>
      <c r="L1155" s="67"/>
      <c r="M1155" s="69" t="str">
        <f>IF(Main[[#This Row],[Tech Start Date]]&lt;1/1/1990,"",IF(Main[[#This Row],[Class]]="C",WORKDAY(Main[[#This Row],[Tech Start Date]],9),IF(Main[[#This Row],[Class]]="B", WORKDAY(Main[[#This Row],[Tech Start Date]],6),IF(Main[[#This Row],[Class]]="A",WORKDAY(Main[[#This Row],[Tech Start Date]],2),""))))</f>
        <v/>
      </c>
      <c r="N1155" s="69" t="str">
        <f>IF(Main[[#This Row],[Tech Start Date]]&lt;1/1/1990,"",IF(Main[[#This Row],[Class]]="C",WORKDAY(Main[[#This Row],[Tech Start Date]],19),IF(Main[[#This Row],[Class]]="B", WORKDAY(Main[[#This Row],[Tech Start Date]],12),IF(Main[[#This Row],[Class]]="A",WORKDAY(Main[[#This Row],[Tech Start Date]],4),""))))</f>
        <v/>
      </c>
      <c r="O1155" s="69" t="str">
        <f>IF(Main[[#This Row],[Tech Start Date]]&lt;1/1/1990,"",IF(Main[[#This Row],[Class]]="C",WORKDAY(Main[[#This Row],[Tech Start Date]],23),IF(Main[[#This Row],[Class]]="B", WORKDAY(Main[[#This Row],[Tech Start Date]],15),IF(Main[[#This Row],[Class]]="A",WORKDAY(Main[[#This Row],[Tech Start Date]],5),""))))</f>
        <v/>
      </c>
      <c r="P1155" s="69" t="str">
        <f>IF(Main[[#This Row],[Tech Start Date]]&lt;1/1/1990,"",IF(Main[[#This Row],[Class]]="C",WORKDAY(Main[[#This Row],[Tech Start Date]],28),IF(Main[[#This Row],[Class]]="B", WORKDAY(Main[[#This Row],[Tech Start Date]],19),IF(Main[[#This Row],[Class]]="A",WORKDAY(Main[[#This Row],[Tech Start Date]],9),""))))</f>
        <v/>
      </c>
      <c r="Q1155" s="67"/>
      <c r="R1155" s="67"/>
      <c r="S1155" s="65" t="s">
        <v>6</v>
      </c>
      <c r="T1155" s="70" t="s">
        <v>4</v>
      </c>
      <c r="U1155" s="65" t="s">
        <v>29</v>
      </c>
      <c r="V1155" s="65" t="s">
        <v>1917</v>
      </c>
      <c r="W1155" s="65" t="s">
        <v>1922</v>
      </c>
      <c r="X1155" s="65" t="s">
        <v>306</v>
      </c>
      <c r="Y1155" s="65" t="s">
        <v>4</v>
      </c>
      <c r="Z1155" s="65" t="s">
        <v>30</v>
      </c>
      <c r="AA1155" s="65" t="s">
        <v>4</v>
      </c>
    </row>
    <row r="1156" spans="1:27" ht="17.45" hidden="1" customHeight="1">
      <c r="A1156" s="100" t="str">
        <f>IF(priority(Main[[#This Row],[Comments]])&lt;&gt;0, priority(Main[[#This Row],[Comments]]),"")</f>
        <v/>
      </c>
      <c r="B1156" s="77" t="s">
        <v>3706</v>
      </c>
      <c r="C1156" s="65" t="s">
        <v>3607</v>
      </c>
      <c r="D1156" s="66" t="s">
        <v>3707</v>
      </c>
      <c r="E1156" s="67">
        <v>40960.202187499999</v>
      </c>
      <c r="F1156" s="67">
        <v>41146</v>
      </c>
      <c r="G1156" s="64">
        <f>IF(stdProdLT(Main[[#This Row],[Comments]])=0.1,"N/A",IF(stdProdLT(Main[[#This Row],[Comments]])=0,"",stdProdLT(Main[[#This Row],[Comments]])))</f>
        <v>126</v>
      </c>
      <c r="H1156" s="68" t="str">
        <f>IF(AND(Main[[#This Row],[In Stock Date]]&lt;&gt;"",Main[[#This Row],[Revised Due Date]]&lt;&gt;""),Main[[#This Row],[In Stock Date]]-Main[[#This Row],[Revised Due Date]],"")</f>
        <v/>
      </c>
      <c r="I1156" s="65" t="s">
        <v>4</v>
      </c>
      <c r="J1156" s="65" t="s">
        <v>4</v>
      </c>
      <c r="K1156" s="65" t="s">
        <v>4</v>
      </c>
      <c r="L1156" s="67"/>
      <c r="M1156" s="69" t="str">
        <f>IF(Main[[#This Row],[Tech Start Date]]&lt;1/1/1990,"",IF(Main[[#This Row],[Class]]="C",WORKDAY(Main[[#This Row],[Tech Start Date]],9),IF(Main[[#This Row],[Class]]="B", WORKDAY(Main[[#This Row],[Tech Start Date]],6),IF(Main[[#This Row],[Class]]="A",WORKDAY(Main[[#This Row],[Tech Start Date]],2),""))))</f>
        <v/>
      </c>
      <c r="N1156" s="69" t="str">
        <f>IF(Main[[#This Row],[Tech Start Date]]&lt;1/1/1990,"",IF(Main[[#This Row],[Class]]="C",WORKDAY(Main[[#This Row],[Tech Start Date]],19),IF(Main[[#This Row],[Class]]="B", WORKDAY(Main[[#This Row],[Tech Start Date]],12),IF(Main[[#This Row],[Class]]="A",WORKDAY(Main[[#This Row],[Tech Start Date]],4),""))))</f>
        <v/>
      </c>
      <c r="O1156" s="69" t="str">
        <f>IF(Main[[#This Row],[Tech Start Date]]&lt;1/1/1990,"",IF(Main[[#This Row],[Class]]="C",WORKDAY(Main[[#This Row],[Tech Start Date]],23),IF(Main[[#This Row],[Class]]="B", WORKDAY(Main[[#This Row],[Tech Start Date]],15),IF(Main[[#This Row],[Class]]="A",WORKDAY(Main[[#This Row],[Tech Start Date]],5),""))))</f>
        <v/>
      </c>
      <c r="P1156" s="69" t="str">
        <f>IF(Main[[#This Row],[Tech Start Date]]&lt;1/1/1990,"",IF(Main[[#This Row],[Class]]="C",WORKDAY(Main[[#This Row],[Tech Start Date]],28),IF(Main[[#This Row],[Class]]="B", WORKDAY(Main[[#This Row],[Tech Start Date]],19),IF(Main[[#This Row],[Class]]="A",WORKDAY(Main[[#This Row],[Tech Start Date]],9),""))))</f>
        <v/>
      </c>
      <c r="Q1156" s="67"/>
      <c r="R1156" s="67"/>
      <c r="S1156" s="65" t="s">
        <v>11</v>
      </c>
      <c r="T1156" s="70" t="s">
        <v>3708</v>
      </c>
      <c r="U1156" s="65" t="s">
        <v>694</v>
      </c>
      <c r="V1156" s="65" t="s">
        <v>1917</v>
      </c>
      <c r="W1156" s="65" t="s">
        <v>1919</v>
      </c>
      <c r="X1156" s="65" t="s">
        <v>2893</v>
      </c>
      <c r="Y1156" s="65" t="s">
        <v>3055</v>
      </c>
      <c r="Z1156" s="65" t="s">
        <v>4</v>
      </c>
      <c r="AA1156" s="65" t="s">
        <v>2893</v>
      </c>
    </row>
    <row r="1157" spans="1:27" ht="17.45" hidden="1" customHeight="1">
      <c r="A1157" s="100">
        <f>IF(priority(Main[[#This Row],[Comments]])&lt;&gt;0, priority(Main[[#This Row],[Comments]]),"")</f>
        <v>31</v>
      </c>
      <c r="B1157" s="77" t="s">
        <v>3961</v>
      </c>
      <c r="C1157" s="65" t="s">
        <v>3901</v>
      </c>
      <c r="D1157" s="66" t="s">
        <v>3962</v>
      </c>
      <c r="E1157" s="67">
        <v>40968.348692129628</v>
      </c>
      <c r="F1157" s="67">
        <v>41153</v>
      </c>
      <c r="G1157" s="64">
        <f>IF(stdProdLT(Main[[#This Row],[Comments]])=0.1,"N/A",IF(stdProdLT(Main[[#This Row],[Comments]])=0,"",stdProdLT(Main[[#This Row],[Comments]])))</f>
        <v>168</v>
      </c>
      <c r="H1157" s="68" t="str">
        <f>IF(AND(Main[[#This Row],[In Stock Date]]&lt;&gt;"",Main[[#This Row],[Revised Due Date]]&lt;&gt;""),Main[[#This Row],[In Stock Date]]-Main[[#This Row],[Revised Due Date]],"")</f>
        <v/>
      </c>
      <c r="I1157" s="65" t="s">
        <v>4</v>
      </c>
      <c r="J1157" s="65" t="s">
        <v>52</v>
      </c>
      <c r="K1157" s="65" t="s">
        <v>4</v>
      </c>
      <c r="L1157" s="67"/>
      <c r="M1157" s="69" t="str">
        <f>IF(Main[[#This Row],[Tech Start Date]]&lt;1/1/1990,"",IF(Main[[#This Row],[Class]]="C",WORKDAY(Main[[#This Row],[Tech Start Date]],9),IF(Main[[#This Row],[Class]]="B", WORKDAY(Main[[#This Row],[Tech Start Date]],6),IF(Main[[#This Row],[Class]]="A",WORKDAY(Main[[#This Row],[Tech Start Date]],2),""))))</f>
        <v/>
      </c>
      <c r="N1157" s="69" t="str">
        <f>IF(Main[[#This Row],[Tech Start Date]]&lt;1/1/1990,"",IF(Main[[#This Row],[Class]]="C",WORKDAY(Main[[#This Row],[Tech Start Date]],19),IF(Main[[#This Row],[Class]]="B", WORKDAY(Main[[#This Row],[Tech Start Date]],12),IF(Main[[#This Row],[Class]]="A",WORKDAY(Main[[#This Row],[Tech Start Date]],4),""))))</f>
        <v/>
      </c>
      <c r="O1157" s="69" t="str">
        <f>IF(Main[[#This Row],[Tech Start Date]]&lt;1/1/1990,"",IF(Main[[#This Row],[Class]]="C",WORKDAY(Main[[#This Row],[Tech Start Date]],23),IF(Main[[#This Row],[Class]]="B", WORKDAY(Main[[#This Row],[Tech Start Date]],15),IF(Main[[#This Row],[Class]]="A",WORKDAY(Main[[#This Row],[Tech Start Date]],5),""))))</f>
        <v/>
      </c>
      <c r="P1157" s="69" t="str">
        <f>IF(Main[[#This Row],[Tech Start Date]]&lt;1/1/1990,"",IF(Main[[#This Row],[Class]]="C",WORKDAY(Main[[#This Row],[Tech Start Date]],28),IF(Main[[#This Row],[Class]]="B", WORKDAY(Main[[#This Row],[Tech Start Date]],19),IF(Main[[#This Row],[Class]]="A",WORKDAY(Main[[#This Row],[Tech Start Date]],9),""))))</f>
        <v/>
      </c>
      <c r="Q1157" s="67">
        <v>41014</v>
      </c>
      <c r="R1157" s="67"/>
      <c r="S1157" s="65" t="s">
        <v>11</v>
      </c>
      <c r="T1157" s="70" t="s">
        <v>3963</v>
      </c>
      <c r="U1157" s="65" t="s">
        <v>7</v>
      </c>
      <c r="V1157" s="65" t="s">
        <v>1917</v>
      </c>
      <c r="W1157" s="65" t="s">
        <v>1922</v>
      </c>
      <c r="X1157" s="65" t="s">
        <v>2848</v>
      </c>
      <c r="Y1157" s="65" t="s">
        <v>4</v>
      </c>
      <c r="Z1157" s="65" t="s">
        <v>530</v>
      </c>
      <c r="AA1157" s="65" t="s">
        <v>2848</v>
      </c>
    </row>
    <row r="1158" spans="1:27" ht="17.45" customHeight="1">
      <c r="A1158" s="100">
        <f>IF(priority(Main[[#This Row],[Comments]])&lt;&gt;0, priority(Main[[#This Row],[Comments]]),"")</f>
        <v>14</v>
      </c>
      <c r="B1158" s="77" t="s">
        <v>3886</v>
      </c>
      <c r="C1158" s="65" t="s">
        <v>506</v>
      </c>
      <c r="D1158" s="66" t="s">
        <v>3978</v>
      </c>
      <c r="E1158" s="67">
        <v>40959.590081018519</v>
      </c>
      <c r="F1158" s="67">
        <v>40968</v>
      </c>
      <c r="G1158" s="64" t="str">
        <f>IF(stdProdLT(Main[[#This Row],[Comments]])=0.1,"N/A",IF(stdProdLT(Main[[#This Row],[Comments]])=0,"",stdProdLT(Main[[#This Row],[Comments]])))</f>
        <v>N/A</v>
      </c>
      <c r="H1158" s="68">
        <f>IF(AND(Main[[#This Row],[In Stock Date]]&lt;&gt;"",Main[[#This Row],[Revised Due Date]]&lt;&gt;""),Main[[#This Row],[In Stock Date]]-Main[[#This Row],[Revised Due Date]],"")</f>
        <v>-7</v>
      </c>
      <c r="I1158" s="65" t="s">
        <v>561</v>
      </c>
      <c r="J1158" s="65" t="s">
        <v>21</v>
      </c>
      <c r="K1158" s="65" t="s">
        <v>1921</v>
      </c>
      <c r="L1158" s="67">
        <v>40959</v>
      </c>
      <c r="M1158" s="69">
        <f>IF(Main[[#This Row],[Tech Start Date]]&lt;1/1/1990,"",IF(Main[[#This Row],[Class]]="C",WORKDAY(Main[[#This Row],[Tech Start Date]],9),IF(Main[[#This Row],[Class]]="B", WORKDAY(Main[[#This Row],[Tech Start Date]],6),IF(Main[[#This Row],[Class]]="A",WORKDAY(Main[[#This Row],[Tech Start Date]],2),""))))</f>
        <v>40967</v>
      </c>
      <c r="N1158" s="69">
        <f>IF(Main[[#This Row],[Tech Start Date]]&lt;1/1/1990,"",IF(Main[[#This Row],[Class]]="C",WORKDAY(Main[[#This Row],[Tech Start Date]],19),IF(Main[[#This Row],[Class]]="B", WORKDAY(Main[[#This Row],[Tech Start Date]],12),IF(Main[[#This Row],[Class]]="A",WORKDAY(Main[[#This Row],[Tech Start Date]],4),""))))</f>
        <v>40975</v>
      </c>
      <c r="O1158" s="69">
        <f>IF(Main[[#This Row],[Tech Start Date]]&lt;1/1/1990,"",IF(Main[[#This Row],[Class]]="C",WORKDAY(Main[[#This Row],[Tech Start Date]],23),IF(Main[[#This Row],[Class]]="B", WORKDAY(Main[[#This Row],[Tech Start Date]],15),IF(Main[[#This Row],[Class]]="A",WORKDAY(Main[[#This Row],[Tech Start Date]],5),""))))</f>
        <v>40980</v>
      </c>
      <c r="P1158" s="69">
        <f>IF(Main[[#This Row],[Tech Start Date]]&lt;1/1/1990,"",IF(Main[[#This Row],[Class]]="C",WORKDAY(Main[[#This Row],[Tech Start Date]],28),IF(Main[[#This Row],[Class]]="B", WORKDAY(Main[[#This Row],[Tech Start Date]],19),IF(Main[[#This Row],[Class]]="A",WORKDAY(Main[[#This Row],[Tech Start Date]],9),""))))</f>
        <v>40984</v>
      </c>
      <c r="Q1158" s="67"/>
      <c r="R1158" s="67">
        <v>40975</v>
      </c>
      <c r="S1158" s="65" t="s">
        <v>11</v>
      </c>
      <c r="T1158" s="70" t="s">
        <v>3887</v>
      </c>
      <c r="U1158" s="65" t="s">
        <v>29</v>
      </c>
      <c r="V1158" s="65" t="s">
        <v>1914</v>
      </c>
      <c r="W1158" s="65" t="s">
        <v>1922</v>
      </c>
      <c r="X1158" s="65" t="s">
        <v>50</v>
      </c>
      <c r="Y1158" s="65" t="s">
        <v>3042</v>
      </c>
      <c r="Z1158" s="65" t="s">
        <v>129</v>
      </c>
      <c r="AA1158" s="65" t="s">
        <v>3414</v>
      </c>
    </row>
    <row r="1159" spans="1:27" ht="17.45" hidden="1" customHeight="1">
      <c r="A1159" s="100" t="str">
        <f>IF(priority(Main[[#This Row],[Comments]])&lt;&gt;0, priority(Main[[#This Row],[Comments]]),"")</f>
        <v/>
      </c>
      <c r="B1159" s="77" t="s">
        <v>3967</v>
      </c>
      <c r="C1159" s="65" t="s">
        <v>4</v>
      </c>
      <c r="D1159" s="66" t="s">
        <v>3968</v>
      </c>
      <c r="E1159" s="67">
        <v>40968.322743055556</v>
      </c>
      <c r="F1159" s="67"/>
      <c r="G1159" s="64" t="str">
        <f>IF(stdProdLT(Main[[#This Row],[Comments]])=0.1,"N/A",IF(stdProdLT(Main[[#This Row],[Comments]])=0,"",stdProdLT(Main[[#This Row],[Comments]])))</f>
        <v/>
      </c>
      <c r="H1159" s="68" t="str">
        <f>IF(AND(Main[[#This Row],[In Stock Date]]&lt;&gt;"",Main[[#This Row],[Revised Due Date]]&lt;&gt;""),Main[[#This Row],[In Stock Date]]-Main[[#This Row],[Revised Due Date]],"")</f>
        <v/>
      </c>
      <c r="I1159" s="65" t="s">
        <v>912</v>
      </c>
      <c r="J1159" s="65" t="s">
        <v>52</v>
      </c>
      <c r="K1159" s="65" t="s">
        <v>4</v>
      </c>
      <c r="L1159" s="67"/>
      <c r="M1159" s="69" t="str">
        <f>IF(Main[[#This Row],[Tech Start Date]]&lt;1/1/1990,"",IF(Main[[#This Row],[Class]]="C",WORKDAY(Main[[#This Row],[Tech Start Date]],9),IF(Main[[#This Row],[Class]]="B", WORKDAY(Main[[#This Row],[Tech Start Date]],6),IF(Main[[#This Row],[Class]]="A",WORKDAY(Main[[#This Row],[Tech Start Date]],2),""))))</f>
        <v/>
      </c>
      <c r="N1159" s="69" t="str">
        <f>IF(Main[[#This Row],[Tech Start Date]]&lt;1/1/1990,"",IF(Main[[#This Row],[Class]]="C",WORKDAY(Main[[#This Row],[Tech Start Date]],19),IF(Main[[#This Row],[Class]]="B", WORKDAY(Main[[#This Row],[Tech Start Date]],12),IF(Main[[#This Row],[Class]]="A",WORKDAY(Main[[#This Row],[Tech Start Date]],4),""))))</f>
        <v/>
      </c>
      <c r="O1159" s="69" t="str">
        <f>IF(Main[[#This Row],[Tech Start Date]]&lt;1/1/1990,"",IF(Main[[#This Row],[Class]]="C",WORKDAY(Main[[#This Row],[Tech Start Date]],23),IF(Main[[#This Row],[Class]]="B", WORKDAY(Main[[#This Row],[Tech Start Date]],15),IF(Main[[#This Row],[Class]]="A",WORKDAY(Main[[#This Row],[Tech Start Date]],5),""))))</f>
        <v/>
      </c>
      <c r="P1159" s="69" t="str">
        <f>IF(Main[[#This Row],[Tech Start Date]]&lt;1/1/1990,"",IF(Main[[#This Row],[Class]]="C",WORKDAY(Main[[#This Row],[Tech Start Date]],28),IF(Main[[#This Row],[Class]]="B", WORKDAY(Main[[#This Row],[Tech Start Date]],19),IF(Main[[#This Row],[Class]]="A",WORKDAY(Main[[#This Row],[Tech Start Date]],9),""))))</f>
        <v/>
      </c>
      <c r="Q1159" s="67">
        <v>40997</v>
      </c>
      <c r="R1159" s="67"/>
      <c r="S1159" s="65" t="s">
        <v>6</v>
      </c>
      <c r="T1159" s="70" t="s">
        <v>4</v>
      </c>
      <c r="U1159" s="65" t="s">
        <v>29</v>
      </c>
      <c r="V1159" s="65" t="s">
        <v>1914</v>
      </c>
      <c r="W1159" s="65" t="s">
        <v>4</v>
      </c>
      <c r="X1159" s="65" t="s">
        <v>2822</v>
      </c>
      <c r="Y1159" s="65" t="s">
        <v>2938</v>
      </c>
      <c r="Z1159" s="65" t="s">
        <v>129</v>
      </c>
      <c r="AA1159" s="65" t="s">
        <v>2822</v>
      </c>
    </row>
    <row r="1160" spans="1:27" ht="17.45" hidden="1" customHeight="1">
      <c r="A1160" s="100" t="str">
        <f>IF(priority(Main[[#This Row],[Comments]])&lt;&gt;0, priority(Main[[#This Row],[Comments]]),"")</f>
        <v/>
      </c>
      <c r="B1160" s="77" t="s">
        <v>3668</v>
      </c>
      <c r="C1160" s="65" t="s">
        <v>4</v>
      </c>
      <c r="D1160" s="66" t="s">
        <v>3969</v>
      </c>
      <c r="E1160" s="67">
        <v>40967.673217592594</v>
      </c>
      <c r="F1160" s="67"/>
      <c r="G1160" s="64" t="str">
        <f>IF(stdProdLT(Main[[#This Row],[Comments]])=0.1,"N/A",IF(stdProdLT(Main[[#This Row],[Comments]])=0,"",stdProdLT(Main[[#This Row],[Comments]])))</f>
        <v/>
      </c>
      <c r="H1160" s="68" t="str">
        <f>IF(AND(Main[[#This Row],[In Stock Date]]&lt;&gt;"",Main[[#This Row],[Revised Due Date]]&lt;&gt;""),Main[[#This Row],[In Stock Date]]-Main[[#This Row],[Revised Due Date]],"")</f>
        <v/>
      </c>
      <c r="I1160" s="65" t="s">
        <v>4</v>
      </c>
      <c r="J1160" s="65" t="s">
        <v>21</v>
      </c>
      <c r="K1160" s="65" t="s">
        <v>4</v>
      </c>
      <c r="L1160" s="67"/>
      <c r="M1160" s="69" t="str">
        <f>IF(Main[[#This Row],[Tech Start Date]]&lt;1/1/1990,"",IF(Main[[#This Row],[Class]]="C",WORKDAY(Main[[#This Row],[Tech Start Date]],9),IF(Main[[#This Row],[Class]]="B", WORKDAY(Main[[#This Row],[Tech Start Date]],6),IF(Main[[#This Row],[Class]]="A",WORKDAY(Main[[#This Row],[Tech Start Date]],2),""))))</f>
        <v/>
      </c>
      <c r="N1160" s="69" t="str">
        <f>IF(Main[[#This Row],[Tech Start Date]]&lt;1/1/1990,"",IF(Main[[#This Row],[Class]]="C",WORKDAY(Main[[#This Row],[Tech Start Date]],19),IF(Main[[#This Row],[Class]]="B", WORKDAY(Main[[#This Row],[Tech Start Date]],12),IF(Main[[#This Row],[Class]]="A",WORKDAY(Main[[#This Row],[Tech Start Date]],4),""))))</f>
        <v/>
      </c>
      <c r="O1160" s="69" t="str">
        <f>IF(Main[[#This Row],[Tech Start Date]]&lt;1/1/1990,"",IF(Main[[#This Row],[Class]]="C",WORKDAY(Main[[#This Row],[Tech Start Date]],23),IF(Main[[#This Row],[Class]]="B", WORKDAY(Main[[#This Row],[Tech Start Date]],15),IF(Main[[#This Row],[Class]]="A",WORKDAY(Main[[#This Row],[Tech Start Date]],5),""))))</f>
        <v/>
      </c>
      <c r="P1160" s="69" t="str">
        <f>IF(Main[[#This Row],[Tech Start Date]]&lt;1/1/1990,"",IF(Main[[#This Row],[Class]]="C",WORKDAY(Main[[#This Row],[Tech Start Date]],28),IF(Main[[#This Row],[Class]]="B", WORKDAY(Main[[#This Row],[Tech Start Date]],19),IF(Main[[#This Row],[Class]]="A",WORKDAY(Main[[#This Row],[Tech Start Date]],9),""))))</f>
        <v/>
      </c>
      <c r="Q1160" s="67">
        <v>40732</v>
      </c>
      <c r="R1160" s="67"/>
      <c r="S1160" s="65" t="s">
        <v>6</v>
      </c>
      <c r="T1160" s="70" t="s">
        <v>4</v>
      </c>
      <c r="U1160" s="65" t="s">
        <v>7</v>
      </c>
      <c r="V1160" s="65" t="s">
        <v>1914</v>
      </c>
      <c r="W1160" s="65" t="s">
        <v>1918</v>
      </c>
      <c r="X1160" s="65" t="s">
        <v>399</v>
      </c>
      <c r="Y1160" s="65" t="s">
        <v>3116</v>
      </c>
      <c r="Z1160" s="65" t="s">
        <v>877</v>
      </c>
      <c r="AA1160" s="65" t="s">
        <v>3391</v>
      </c>
    </row>
    <row r="1161" spans="1:27" ht="17.45" hidden="1" customHeight="1">
      <c r="A1161" s="100" t="str">
        <f>IF(priority(Main[[#This Row],[Comments]])&lt;&gt;0, priority(Main[[#This Row],[Comments]]),"")</f>
        <v/>
      </c>
      <c r="B1161" s="77" t="s">
        <v>2286</v>
      </c>
      <c r="C1161" s="65" t="s">
        <v>4</v>
      </c>
      <c r="D1161" s="66" t="s">
        <v>2733</v>
      </c>
      <c r="E1161" s="67">
        <v>40814.080497685187</v>
      </c>
      <c r="F1161" s="67"/>
      <c r="G1161" s="64" t="str">
        <f>IF(stdProdLT(Main[[#This Row],[Comments]])=0.1,"N/A",IF(stdProdLT(Main[[#This Row],[Comments]])=0,"",stdProdLT(Main[[#This Row],[Comments]])))</f>
        <v/>
      </c>
      <c r="H1161" s="68" t="str">
        <f>IF(AND(Main[[#This Row],[In Stock Date]]&lt;&gt;"",Main[[#This Row],[Revised Due Date]]&lt;&gt;""),Main[[#This Row],[In Stock Date]]-Main[[#This Row],[Revised Due Date]],"")</f>
        <v/>
      </c>
      <c r="I1161" s="65" t="s">
        <v>370</v>
      </c>
      <c r="J1161" s="65" t="s">
        <v>28</v>
      </c>
      <c r="K1161" s="65" t="s">
        <v>1923</v>
      </c>
      <c r="L1161" s="67"/>
      <c r="M1161" s="69" t="str">
        <f>IF(Main[[#This Row],[Tech Start Date]]&lt;1/1/1990,"",IF(Main[[#This Row],[Class]]="C",WORKDAY(Main[[#This Row],[Tech Start Date]],9),IF(Main[[#This Row],[Class]]="B", WORKDAY(Main[[#This Row],[Tech Start Date]],6),IF(Main[[#This Row],[Class]]="A",WORKDAY(Main[[#This Row],[Tech Start Date]],2),""))))</f>
        <v/>
      </c>
      <c r="N1161" s="69" t="str">
        <f>IF(Main[[#This Row],[Tech Start Date]]&lt;1/1/1990,"",IF(Main[[#This Row],[Class]]="C",WORKDAY(Main[[#This Row],[Tech Start Date]],19),IF(Main[[#This Row],[Class]]="B", WORKDAY(Main[[#This Row],[Tech Start Date]],12),IF(Main[[#This Row],[Class]]="A",WORKDAY(Main[[#This Row],[Tech Start Date]],4),""))))</f>
        <v/>
      </c>
      <c r="O1161" s="69" t="str">
        <f>IF(Main[[#This Row],[Tech Start Date]]&lt;1/1/1990,"",IF(Main[[#This Row],[Class]]="C",WORKDAY(Main[[#This Row],[Tech Start Date]],23),IF(Main[[#This Row],[Class]]="B", WORKDAY(Main[[#This Row],[Tech Start Date]],15),IF(Main[[#This Row],[Class]]="A",WORKDAY(Main[[#This Row],[Tech Start Date]],5),""))))</f>
        <v/>
      </c>
      <c r="P1161" s="69" t="str">
        <f>IF(Main[[#This Row],[Tech Start Date]]&lt;1/1/1990,"",IF(Main[[#This Row],[Class]]="C",WORKDAY(Main[[#This Row],[Tech Start Date]],28),IF(Main[[#This Row],[Class]]="B", WORKDAY(Main[[#This Row],[Tech Start Date]],19),IF(Main[[#This Row],[Class]]="A",WORKDAY(Main[[#This Row],[Tech Start Date]],9),""))))</f>
        <v/>
      </c>
      <c r="Q1161" s="67">
        <v>40905</v>
      </c>
      <c r="R1161" s="67"/>
      <c r="S1161" s="65" t="s">
        <v>6</v>
      </c>
      <c r="T1161" s="70" t="s">
        <v>4</v>
      </c>
      <c r="U1161" s="65" t="s">
        <v>29</v>
      </c>
      <c r="V1161" s="65" t="s">
        <v>1917</v>
      </c>
      <c r="W1161" s="65" t="s">
        <v>1918</v>
      </c>
      <c r="X1161" s="65" t="s">
        <v>2895</v>
      </c>
      <c r="Y1161" s="65" t="s">
        <v>3060</v>
      </c>
      <c r="Z1161" s="65" t="s">
        <v>30</v>
      </c>
      <c r="AA1161" s="65" t="s">
        <v>2895</v>
      </c>
    </row>
    <row r="1162" spans="1:27" ht="17.45" hidden="1" customHeight="1">
      <c r="A1162" s="100" t="str">
        <f>IF(priority(Main[[#This Row],[Comments]])&lt;&gt;0, priority(Main[[#This Row],[Comments]]),"")</f>
        <v/>
      </c>
      <c r="B1162" s="77" t="s">
        <v>1856</v>
      </c>
      <c r="C1162" s="65" t="s">
        <v>95</v>
      </c>
      <c r="D1162" s="66" t="s">
        <v>913</v>
      </c>
      <c r="E1162" s="67">
        <v>40428.412002314813</v>
      </c>
      <c r="F1162" s="67"/>
      <c r="G1162" s="64" t="str">
        <f>IF(stdProdLT(Main[[#This Row],[Comments]])=0.1,"N/A",IF(stdProdLT(Main[[#This Row],[Comments]])=0,"",stdProdLT(Main[[#This Row],[Comments]])))</f>
        <v/>
      </c>
      <c r="H1162" s="68" t="str">
        <f>IF(AND(Main[[#This Row],[In Stock Date]]&lt;&gt;"",Main[[#This Row],[Revised Due Date]]&lt;&gt;""),Main[[#This Row],[In Stock Date]]-Main[[#This Row],[Revised Due Date]],"")</f>
        <v/>
      </c>
      <c r="I1162" s="65" t="s">
        <v>415</v>
      </c>
      <c r="J1162" s="65" t="s">
        <v>28</v>
      </c>
      <c r="K1162" s="65" t="s">
        <v>1926</v>
      </c>
      <c r="L1162" s="67"/>
      <c r="M1162" s="69" t="str">
        <f>IF(Main[[#This Row],[Tech Start Date]]&lt;1/1/1990,"",IF(Main[[#This Row],[Class]]="C",WORKDAY(Main[[#This Row],[Tech Start Date]],9),IF(Main[[#This Row],[Class]]="B", WORKDAY(Main[[#This Row],[Tech Start Date]],6),IF(Main[[#This Row],[Class]]="A",WORKDAY(Main[[#This Row],[Tech Start Date]],2),""))))</f>
        <v/>
      </c>
      <c r="N1162" s="69" t="str">
        <f>IF(Main[[#This Row],[Tech Start Date]]&lt;1/1/1990,"",IF(Main[[#This Row],[Class]]="C",WORKDAY(Main[[#This Row],[Tech Start Date]],19),IF(Main[[#This Row],[Class]]="B", WORKDAY(Main[[#This Row],[Tech Start Date]],12),IF(Main[[#This Row],[Class]]="A",WORKDAY(Main[[#This Row],[Tech Start Date]],4),""))))</f>
        <v/>
      </c>
      <c r="O1162" s="69" t="str">
        <f>IF(Main[[#This Row],[Tech Start Date]]&lt;1/1/1990,"",IF(Main[[#This Row],[Class]]="C",WORKDAY(Main[[#This Row],[Tech Start Date]],23),IF(Main[[#This Row],[Class]]="B", WORKDAY(Main[[#This Row],[Tech Start Date]],15),IF(Main[[#This Row],[Class]]="A",WORKDAY(Main[[#This Row],[Tech Start Date]],5),""))))</f>
        <v/>
      </c>
      <c r="P1162" s="69" t="str">
        <f>IF(Main[[#This Row],[Tech Start Date]]&lt;1/1/1990,"",IF(Main[[#This Row],[Class]]="C",WORKDAY(Main[[#This Row],[Tech Start Date]],28),IF(Main[[#This Row],[Class]]="B", WORKDAY(Main[[#This Row],[Tech Start Date]],19),IF(Main[[#This Row],[Class]]="A",WORKDAY(Main[[#This Row],[Tech Start Date]],9),""))))</f>
        <v/>
      </c>
      <c r="Q1162" s="67">
        <v>40574</v>
      </c>
      <c r="R1162" s="67">
        <v>41046</v>
      </c>
      <c r="S1162" s="65" t="s">
        <v>17</v>
      </c>
      <c r="T1162" s="70" t="s">
        <v>4</v>
      </c>
      <c r="U1162" s="65" t="s">
        <v>29</v>
      </c>
      <c r="V1162" s="65" t="s">
        <v>1917</v>
      </c>
      <c r="W1162" s="65" t="s">
        <v>1920</v>
      </c>
      <c r="X1162" s="65" t="s">
        <v>415</v>
      </c>
      <c r="Y1162" s="65" t="s">
        <v>2975</v>
      </c>
      <c r="Z1162" s="65" t="s">
        <v>968</v>
      </c>
      <c r="AA1162" s="65" t="s">
        <v>415</v>
      </c>
    </row>
    <row r="1163" spans="1:27" ht="17.45" hidden="1" customHeight="1">
      <c r="A1163" s="100" t="str">
        <f>IF(priority(Main[[#This Row],[Comments]])&lt;&gt;0, priority(Main[[#This Row],[Comments]]),"")</f>
        <v/>
      </c>
      <c r="B1163" s="77" t="s">
        <v>3287</v>
      </c>
      <c r="C1163" s="65" t="s">
        <v>4</v>
      </c>
      <c r="D1163" s="66" t="s">
        <v>3288</v>
      </c>
      <c r="E1163" s="67">
        <v>40931.434317129628</v>
      </c>
      <c r="F1163" s="67"/>
      <c r="G1163" s="64" t="str">
        <f>IF(stdProdLT(Main[[#This Row],[Comments]])=0.1,"N/A",IF(stdProdLT(Main[[#This Row],[Comments]])=0,"",stdProdLT(Main[[#This Row],[Comments]])))</f>
        <v/>
      </c>
      <c r="H1163" s="68" t="str">
        <f>IF(AND(Main[[#This Row],[In Stock Date]]&lt;&gt;"",Main[[#This Row],[Revised Due Date]]&lt;&gt;""),Main[[#This Row],[In Stock Date]]-Main[[#This Row],[Revised Due Date]],"")</f>
        <v/>
      </c>
      <c r="I1163" s="65" t="s">
        <v>4</v>
      </c>
      <c r="J1163" s="65" t="s">
        <v>4</v>
      </c>
      <c r="K1163" s="65" t="s">
        <v>4</v>
      </c>
      <c r="L1163" s="67"/>
      <c r="M1163" s="69" t="str">
        <f>IF(Main[[#This Row],[Tech Start Date]]&lt;1/1/1990,"",IF(Main[[#This Row],[Class]]="C",WORKDAY(Main[[#This Row],[Tech Start Date]],9),IF(Main[[#This Row],[Class]]="B", WORKDAY(Main[[#This Row],[Tech Start Date]],6),IF(Main[[#This Row],[Class]]="A",WORKDAY(Main[[#This Row],[Tech Start Date]],2),""))))</f>
        <v/>
      </c>
      <c r="N1163" s="69" t="str">
        <f>IF(Main[[#This Row],[Tech Start Date]]&lt;1/1/1990,"",IF(Main[[#This Row],[Class]]="C",WORKDAY(Main[[#This Row],[Tech Start Date]],19),IF(Main[[#This Row],[Class]]="B", WORKDAY(Main[[#This Row],[Tech Start Date]],12),IF(Main[[#This Row],[Class]]="A",WORKDAY(Main[[#This Row],[Tech Start Date]],4),""))))</f>
        <v/>
      </c>
      <c r="O1163" s="69" t="str">
        <f>IF(Main[[#This Row],[Tech Start Date]]&lt;1/1/1990,"",IF(Main[[#This Row],[Class]]="C",WORKDAY(Main[[#This Row],[Tech Start Date]],23),IF(Main[[#This Row],[Class]]="B", WORKDAY(Main[[#This Row],[Tech Start Date]],15),IF(Main[[#This Row],[Class]]="A",WORKDAY(Main[[#This Row],[Tech Start Date]],5),""))))</f>
        <v/>
      </c>
      <c r="P1163" s="69" t="str">
        <f>IF(Main[[#This Row],[Tech Start Date]]&lt;1/1/1990,"",IF(Main[[#This Row],[Class]]="C",WORKDAY(Main[[#This Row],[Tech Start Date]],28),IF(Main[[#This Row],[Class]]="B", WORKDAY(Main[[#This Row],[Tech Start Date]],19),IF(Main[[#This Row],[Class]]="A",WORKDAY(Main[[#This Row],[Tech Start Date]],9),""))))</f>
        <v/>
      </c>
      <c r="Q1163" s="67"/>
      <c r="R1163" s="67"/>
      <c r="S1163" s="65" t="s">
        <v>6</v>
      </c>
      <c r="T1163" s="70" t="s">
        <v>4</v>
      </c>
      <c r="U1163" s="65" t="s">
        <v>7</v>
      </c>
      <c r="V1163" s="65" t="s">
        <v>1914</v>
      </c>
      <c r="W1163" s="65" t="s">
        <v>1918</v>
      </c>
      <c r="X1163" s="65" t="s">
        <v>2902</v>
      </c>
      <c r="Y1163" s="65" t="s">
        <v>3081</v>
      </c>
      <c r="Z1163" s="65" t="s">
        <v>4</v>
      </c>
      <c r="AA1163" s="65" t="s">
        <v>2902</v>
      </c>
    </row>
    <row r="1164" spans="1:27" ht="17.45" hidden="1" customHeight="1">
      <c r="A1164" s="100" t="str">
        <f>IF(priority(Main[[#This Row],[Comments]])&lt;&gt;0, priority(Main[[#This Row],[Comments]]),"")</f>
        <v/>
      </c>
      <c r="B1164" s="77" t="s">
        <v>1108</v>
      </c>
      <c r="C1164" s="65" t="s">
        <v>4</v>
      </c>
      <c r="D1164" s="66" t="s">
        <v>154</v>
      </c>
      <c r="E1164" s="67"/>
      <c r="F1164" s="67"/>
      <c r="G1164" s="64" t="str">
        <f>IF(stdProdLT(Main[[#This Row],[Comments]])=0.1,"N/A",IF(stdProdLT(Main[[#This Row],[Comments]])=0,"",stdProdLT(Main[[#This Row],[Comments]])))</f>
        <v/>
      </c>
      <c r="H1164" s="68" t="str">
        <f>IF(AND(Main[[#This Row],[In Stock Date]]&lt;&gt;"",Main[[#This Row],[Revised Due Date]]&lt;&gt;""),Main[[#This Row],[In Stock Date]]-Main[[#This Row],[Revised Due Date]],"")</f>
        <v/>
      </c>
      <c r="I1164" s="65" t="s">
        <v>4</v>
      </c>
      <c r="J1164" s="65" t="s">
        <v>4</v>
      </c>
      <c r="K1164" s="71" t="s">
        <v>4</v>
      </c>
      <c r="L1164" s="67"/>
      <c r="M1164" s="69" t="str">
        <f>IF(Main[[#This Row],[Tech Start Date]]&lt;1/1/1990,"",IF(Main[[#This Row],[Class]]="C",WORKDAY(Main[[#This Row],[Tech Start Date]],9),IF(Main[[#This Row],[Class]]="B", WORKDAY(Main[[#This Row],[Tech Start Date]],6),IF(Main[[#This Row],[Class]]="A",WORKDAY(Main[[#This Row],[Tech Start Date]],2),""))))</f>
        <v/>
      </c>
      <c r="N1164" s="69" t="str">
        <f>IF(Main[[#This Row],[Tech Start Date]]&lt;1/1/1990,"",IF(Main[[#This Row],[Class]]="C",WORKDAY(Main[[#This Row],[Tech Start Date]],19),IF(Main[[#This Row],[Class]]="B", WORKDAY(Main[[#This Row],[Tech Start Date]],12),IF(Main[[#This Row],[Class]]="A",WORKDAY(Main[[#This Row],[Tech Start Date]],4),""))))</f>
        <v/>
      </c>
      <c r="O1164" s="69" t="str">
        <f>IF(Main[[#This Row],[Tech Start Date]]&lt;1/1/1990,"",IF(Main[[#This Row],[Class]]="C",WORKDAY(Main[[#This Row],[Tech Start Date]],23),IF(Main[[#This Row],[Class]]="B", WORKDAY(Main[[#This Row],[Tech Start Date]],15),IF(Main[[#This Row],[Class]]="A",WORKDAY(Main[[#This Row],[Tech Start Date]],5),""))))</f>
        <v/>
      </c>
      <c r="P1164" s="69" t="str">
        <f>IF(Main[[#This Row],[Tech Start Date]]&lt;1/1/1990,"",IF(Main[[#This Row],[Class]]="C",WORKDAY(Main[[#This Row],[Tech Start Date]],28),IF(Main[[#This Row],[Class]]="B", WORKDAY(Main[[#This Row],[Tech Start Date]],19),IF(Main[[#This Row],[Class]]="A",WORKDAY(Main[[#This Row],[Tech Start Date]],9),""))))</f>
        <v/>
      </c>
      <c r="Q1164" s="67">
        <v>40619</v>
      </c>
      <c r="R1164" s="67"/>
      <c r="S1164" s="65" t="s">
        <v>49</v>
      </c>
      <c r="T1164" s="70" t="s">
        <v>4</v>
      </c>
      <c r="U1164" s="65" t="s">
        <v>14</v>
      </c>
      <c r="V1164" s="65" t="s">
        <v>1917</v>
      </c>
      <c r="W1164" s="65" t="s">
        <v>1922</v>
      </c>
      <c r="X1164" s="65" t="s">
        <v>50</v>
      </c>
      <c r="Y1164" s="65" t="s">
        <v>2996</v>
      </c>
      <c r="Z1164" s="65" t="s">
        <v>4</v>
      </c>
      <c r="AA1164" s="65" t="s">
        <v>2872</v>
      </c>
    </row>
    <row r="1165" spans="1:27" ht="17.45" hidden="1" customHeight="1">
      <c r="A1165" s="100">
        <f>IF(priority(Main[[#This Row],[Comments]])&lt;&gt;0, priority(Main[[#This Row],[Comments]]),"")</f>
        <v>42</v>
      </c>
      <c r="B1165" s="77" t="s">
        <v>3227</v>
      </c>
      <c r="C1165" s="65" t="s">
        <v>3208</v>
      </c>
      <c r="D1165" s="66" t="s">
        <v>3197</v>
      </c>
      <c r="E1165" s="67"/>
      <c r="F1165" s="67">
        <v>41153</v>
      </c>
      <c r="G1165" s="64">
        <f>IF(stdProdLT(Main[[#This Row],[Comments]])=0.1,"N/A",IF(stdProdLT(Main[[#This Row],[Comments]])=0,"",stdProdLT(Main[[#This Row],[Comments]])))</f>
        <v>140</v>
      </c>
      <c r="H1165" s="68" t="str">
        <f>IF(AND(Main[[#This Row],[In Stock Date]]&lt;&gt;"",Main[[#This Row],[Revised Due Date]]&lt;&gt;""),Main[[#This Row],[In Stock Date]]-Main[[#This Row],[Revised Due Date]],"")</f>
        <v/>
      </c>
      <c r="I1165" s="65" t="s">
        <v>4</v>
      </c>
      <c r="J1165" s="65" t="s">
        <v>4</v>
      </c>
      <c r="K1165" s="71" t="s">
        <v>4</v>
      </c>
      <c r="L1165" s="67"/>
      <c r="M1165" s="69" t="str">
        <f>IF(Main[[#This Row],[Tech Start Date]]&lt;1/1/1990,"",IF(Main[[#This Row],[Class]]="C",WORKDAY(Main[[#This Row],[Tech Start Date]],9),IF(Main[[#This Row],[Class]]="B", WORKDAY(Main[[#This Row],[Tech Start Date]],6),IF(Main[[#This Row],[Class]]="A",WORKDAY(Main[[#This Row],[Tech Start Date]],2),""))))</f>
        <v/>
      </c>
      <c r="N1165" s="69" t="str">
        <f>IF(Main[[#This Row],[Tech Start Date]]&lt;1/1/1990,"",IF(Main[[#This Row],[Class]]="C",WORKDAY(Main[[#This Row],[Tech Start Date]],19),IF(Main[[#This Row],[Class]]="B", WORKDAY(Main[[#This Row],[Tech Start Date]],12),IF(Main[[#This Row],[Class]]="A",WORKDAY(Main[[#This Row],[Tech Start Date]],4),""))))</f>
        <v/>
      </c>
      <c r="O1165" s="69" t="str">
        <f>IF(Main[[#This Row],[Tech Start Date]]&lt;1/1/1990,"",IF(Main[[#This Row],[Class]]="C",WORKDAY(Main[[#This Row],[Tech Start Date]],23),IF(Main[[#This Row],[Class]]="B", WORKDAY(Main[[#This Row],[Tech Start Date]],15),IF(Main[[#This Row],[Class]]="A",WORKDAY(Main[[#This Row],[Tech Start Date]],5),""))))</f>
        <v/>
      </c>
      <c r="P1165" s="69" t="str">
        <f>IF(Main[[#This Row],[Tech Start Date]]&lt;1/1/1990,"",IF(Main[[#This Row],[Class]]="C",WORKDAY(Main[[#This Row],[Tech Start Date]],28),IF(Main[[#This Row],[Class]]="B", WORKDAY(Main[[#This Row],[Tech Start Date]],19),IF(Main[[#This Row],[Class]]="A",WORKDAY(Main[[#This Row],[Tech Start Date]],9),""))))</f>
        <v/>
      </c>
      <c r="Q1165" s="67">
        <v>40982</v>
      </c>
      <c r="R1165" s="67"/>
      <c r="S1165" s="65" t="s">
        <v>11</v>
      </c>
      <c r="T1165" s="70" t="s">
        <v>3209</v>
      </c>
      <c r="U1165" s="65" t="s">
        <v>12</v>
      </c>
      <c r="V1165" s="65" t="s">
        <v>1924</v>
      </c>
      <c r="W1165" s="65" t="s">
        <v>1920</v>
      </c>
      <c r="X1165" s="65" t="s">
        <v>2848</v>
      </c>
      <c r="Y1165" s="65" t="s">
        <v>4</v>
      </c>
      <c r="Z1165" s="65" t="s">
        <v>4</v>
      </c>
      <c r="AA1165" s="65" t="s">
        <v>2846</v>
      </c>
    </row>
    <row r="1166" spans="1:27" ht="17.45" hidden="1" customHeight="1">
      <c r="A1166" s="100" t="str">
        <f>IF(priority(Main[[#This Row],[Comments]])&lt;&gt;0, priority(Main[[#This Row],[Comments]]),"")</f>
        <v/>
      </c>
      <c r="B1166" s="77" t="s">
        <v>3348</v>
      </c>
      <c r="C1166" s="65" t="s">
        <v>4</v>
      </c>
      <c r="D1166" s="66" t="s">
        <v>3714</v>
      </c>
      <c r="E1166" s="67">
        <v>40939.297210648147</v>
      </c>
      <c r="F1166" s="67"/>
      <c r="G1166" s="64" t="str">
        <f>IF(stdProdLT(Main[[#This Row],[Comments]])=0.1,"N/A",IF(stdProdLT(Main[[#This Row],[Comments]])=0,"",stdProdLT(Main[[#This Row],[Comments]])))</f>
        <v/>
      </c>
      <c r="H1166" s="68" t="str">
        <f>IF(AND(Main[[#This Row],[In Stock Date]]&lt;&gt;"",Main[[#This Row],[Revised Due Date]]&lt;&gt;""),Main[[#This Row],[In Stock Date]]-Main[[#This Row],[Revised Due Date]],"")</f>
        <v/>
      </c>
      <c r="I1166" s="65" t="s">
        <v>69</v>
      </c>
      <c r="J1166" s="65" t="s">
        <v>70</v>
      </c>
      <c r="K1166" s="65" t="s">
        <v>1923</v>
      </c>
      <c r="L1166" s="67"/>
      <c r="M1166" s="69" t="str">
        <f>IF(Main[[#This Row],[Tech Start Date]]&lt;1/1/1990,"",IF(Main[[#This Row],[Class]]="C",WORKDAY(Main[[#This Row],[Tech Start Date]],9),IF(Main[[#This Row],[Class]]="B", WORKDAY(Main[[#This Row],[Tech Start Date]],6),IF(Main[[#This Row],[Class]]="A",WORKDAY(Main[[#This Row],[Tech Start Date]],2),""))))</f>
        <v/>
      </c>
      <c r="N1166" s="69" t="str">
        <f>IF(Main[[#This Row],[Tech Start Date]]&lt;1/1/1990,"",IF(Main[[#This Row],[Class]]="C",WORKDAY(Main[[#This Row],[Tech Start Date]],19),IF(Main[[#This Row],[Class]]="B", WORKDAY(Main[[#This Row],[Tech Start Date]],12),IF(Main[[#This Row],[Class]]="A",WORKDAY(Main[[#This Row],[Tech Start Date]],4),""))))</f>
        <v/>
      </c>
      <c r="O1166" s="69" t="str">
        <f>IF(Main[[#This Row],[Tech Start Date]]&lt;1/1/1990,"",IF(Main[[#This Row],[Class]]="C",WORKDAY(Main[[#This Row],[Tech Start Date]],23),IF(Main[[#This Row],[Class]]="B", WORKDAY(Main[[#This Row],[Tech Start Date]],15),IF(Main[[#This Row],[Class]]="A",WORKDAY(Main[[#This Row],[Tech Start Date]],5),""))))</f>
        <v/>
      </c>
      <c r="P1166" s="69" t="str">
        <f>IF(Main[[#This Row],[Tech Start Date]]&lt;1/1/1990,"",IF(Main[[#This Row],[Class]]="C",WORKDAY(Main[[#This Row],[Tech Start Date]],28),IF(Main[[#This Row],[Class]]="B", WORKDAY(Main[[#This Row],[Tech Start Date]],19),IF(Main[[#This Row],[Class]]="A",WORKDAY(Main[[#This Row],[Tech Start Date]],9),""))))</f>
        <v/>
      </c>
      <c r="Q1166" s="67">
        <v>40968</v>
      </c>
      <c r="R1166" s="67"/>
      <c r="S1166" s="65" t="s">
        <v>6</v>
      </c>
      <c r="T1166" s="70" t="s">
        <v>4</v>
      </c>
      <c r="U1166" s="65" t="s">
        <v>29</v>
      </c>
      <c r="V1166" s="65" t="s">
        <v>1917</v>
      </c>
      <c r="W1166" s="65" t="s">
        <v>1918</v>
      </c>
      <c r="X1166" s="65" t="s">
        <v>2822</v>
      </c>
      <c r="Y1166" s="65" t="s">
        <v>2938</v>
      </c>
      <c r="Z1166" s="65" t="s">
        <v>30</v>
      </c>
      <c r="AA1166" s="65" t="s">
        <v>2822</v>
      </c>
    </row>
    <row r="1167" spans="1:27" ht="17.45" hidden="1" customHeight="1">
      <c r="A1167" s="100" t="str">
        <f>IF(priority(Main[[#This Row],[Comments]])&lt;&gt;0, priority(Main[[#This Row],[Comments]]),"")</f>
        <v/>
      </c>
      <c r="B1167" s="77" t="s">
        <v>2660</v>
      </c>
      <c r="C1167" s="65" t="s">
        <v>4</v>
      </c>
      <c r="D1167" s="66" t="s">
        <v>2661</v>
      </c>
      <c r="E1167" s="67"/>
      <c r="F1167" s="67"/>
      <c r="G1167" s="64" t="str">
        <f>IF(stdProdLT(Main[[#This Row],[Comments]])=0.1,"N/A",IF(stdProdLT(Main[[#This Row],[Comments]])=0,"",stdProdLT(Main[[#This Row],[Comments]])))</f>
        <v/>
      </c>
      <c r="H1167" s="68" t="str">
        <f>IF(AND(Main[[#This Row],[In Stock Date]]&lt;&gt;"",Main[[#This Row],[Revised Due Date]]&lt;&gt;""),Main[[#This Row],[In Stock Date]]-Main[[#This Row],[Revised Due Date]],"")</f>
        <v/>
      </c>
      <c r="I1167" s="65" t="s">
        <v>4</v>
      </c>
      <c r="J1167" s="65" t="s">
        <v>4</v>
      </c>
      <c r="K1167" s="65" t="s">
        <v>4</v>
      </c>
      <c r="L1167" s="67"/>
      <c r="M1167" s="69" t="str">
        <f>IF(Main[[#This Row],[Tech Start Date]]&lt;1/1/1990,"",IF(Main[[#This Row],[Class]]="C",WORKDAY(Main[[#This Row],[Tech Start Date]],9),IF(Main[[#This Row],[Class]]="B", WORKDAY(Main[[#This Row],[Tech Start Date]],6),IF(Main[[#This Row],[Class]]="A",WORKDAY(Main[[#This Row],[Tech Start Date]],2),""))))</f>
        <v/>
      </c>
      <c r="N1167" s="69" t="str">
        <f>IF(Main[[#This Row],[Tech Start Date]]&lt;1/1/1990,"",IF(Main[[#This Row],[Class]]="C",WORKDAY(Main[[#This Row],[Tech Start Date]],19),IF(Main[[#This Row],[Class]]="B", WORKDAY(Main[[#This Row],[Tech Start Date]],12),IF(Main[[#This Row],[Class]]="A",WORKDAY(Main[[#This Row],[Tech Start Date]],4),""))))</f>
        <v/>
      </c>
      <c r="O1167" s="69" t="str">
        <f>IF(Main[[#This Row],[Tech Start Date]]&lt;1/1/1990,"",IF(Main[[#This Row],[Class]]="C",WORKDAY(Main[[#This Row],[Tech Start Date]],23),IF(Main[[#This Row],[Class]]="B", WORKDAY(Main[[#This Row],[Tech Start Date]],15),IF(Main[[#This Row],[Class]]="A",WORKDAY(Main[[#This Row],[Tech Start Date]],5),""))))</f>
        <v/>
      </c>
      <c r="P1167" s="69" t="str">
        <f>IF(Main[[#This Row],[Tech Start Date]]&lt;1/1/1990,"",IF(Main[[#This Row],[Class]]="C",WORKDAY(Main[[#This Row],[Tech Start Date]],28),IF(Main[[#This Row],[Class]]="B", WORKDAY(Main[[#This Row],[Tech Start Date]],19),IF(Main[[#This Row],[Class]]="A",WORKDAY(Main[[#This Row],[Tech Start Date]],9),""))))</f>
        <v/>
      </c>
      <c r="Q1167" s="67">
        <v>40884</v>
      </c>
      <c r="R1167" s="67"/>
      <c r="S1167" s="65" t="s">
        <v>4</v>
      </c>
      <c r="T1167" s="70" t="s">
        <v>4</v>
      </c>
      <c r="U1167" s="65" t="s">
        <v>14</v>
      </c>
      <c r="V1167" s="65" t="s">
        <v>1924</v>
      </c>
      <c r="W1167" s="65" t="s">
        <v>1922</v>
      </c>
      <c r="X1167" s="65" t="s">
        <v>2857</v>
      </c>
      <c r="Y1167" s="65" t="s">
        <v>2998</v>
      </c>
      <c r="Z1167" s="65" t="s">
        <v>4</v>
      </c>
      <c r="AA1167" s="65" t="s">
        <v>2857</v>
      </c>
    </row>
    <row r="1168" spans="1:27" ht="17.45" hidden="1" customHeight="1">
      <c r="A1168" s="100" t="str">
        <f>IF(priority(Main[[#This Row],[Comments]])&lt;&gt;0, priority(Main[[#This Row],[Comments]]),"")</f>
        <v/>
      </c>
      <c r="B1168" s="77" t="s">
        <v>2777</v>
      </c>
      <c r="C1168" s="65" t="s">
        <v>47</v>
      </c>
      <c r="D1168" s="66" t="s">
        <v>2778</v>
      </c>
      <c r="E1168" s="67"/>
      <c r="F1168" s="67"/>
      <c r="G1168" s="64" t="str">
        <f>IF(stdProdLT(Main[[#This Row],[Comments]])=0.1,"N/A",IF(stdProdLT(Main[[#This Row],[Comments]])=0,"",stdProdLT(Main[[#This Row],[Comments]])))</f>
        <v/>
      </c>
      <c r="H1168" s="68" t="str">
        <f>IF(AND(Main[[#This Row],[In Stock Date]]&lt;&gt;"",Main[[#This Row],[Revised Due Date]]&lt;&gt;""),Main[[#This Row],[In Stock Date]]-Main[[#This Row],[Revised Due Date]],"")</f>
        <v/>
      </c>
      <c r="I1168" s="65" t="s">
        <v>4</v>
      </c>
      <c r="J1168" s="65" t="s">
        <v>4</v>
      </c>
      <c r="K1168" s="65" t="s">
        <v>4</v>
      </c>
      <c r="L1168" s="67"/>
      <c r="M1168" s="69" t="str">
        <f>IF(Main[[#This Row],[Tech Start Date]]&lt;1/1/1990,"",IF(Main[[#This Row],[Class]]="C",WORKDAY(Main[[#This Row],[Tech Start Date]],9),IF(Main[[#This Row],[Class]]="B", WORKDAY(Main[[#This Row],[Tech Start Date]],6),IF(Main[[#This Row],[Class]]="A",WORKDAY(Main[[#This Row],[Tech Start Date]],2),""))))</f>
        <v/>
      </c>
      <c r="N1168" s="69" t="str">
        <f>IF(Main[[#This Row],[Tech Start Date]]&lt;1/1/1990,"",IF(Main[[#This Row],[Class]]="C",WORKDAY(Main[[#This Row],[Tech Start Date]],19),IF(Main[[#This Row],[Class]]="B", WORKDAY(Main[[#This Row],[Tech Start Date]],12),IF(Main[[#This Row],[Class]]="A",WORKDAY(Main[[#This Row],[Tech Start Date]],4),""))))</f>
        <v/>
      </c>
      <c r="O1168" s="69" t="str">
        <f>IF(Main[[#This Row],[Tech Start Date]]&lt;1/1/1990,"",IF(Main[[#This Row],[Class]]="C",WORKDAY(Main[[#This Row],[Tech Start Date]],23),IF(Main[[#This Row],[Class]]="B", WORKDAY(Main[[#This Row],[Tech Start Date]],15),IF(Main[[#This Row],[Class]]="A",WORKDAY(Main[[#This Row],[Tech Start Date]],5),""))))</f>
        <v/>
      </c>
      <c r="P1168" s="69" t="str">
        <f>IF(Main[[#This Row],[Tech Start Date]]&lt;1/1/1990,"",IF(Main[[#This Row],[Class]]="C",WORKDAY(Main[[#This Row],[Tech Start Date]],28),IF(Main[[#This Row],[Class]]="B", WORKDAY(Main[[#This Row],[Tech Start Date]],19),IF(Main[[#This Row],[Class]]="A",WORKDAY(Main[[#This Row],[Tech Start Date]],9),""))))</f>
        <v/>
      </c>
      <c r="Q1168" s="67">
        <v>40907</v>
      </c>
      <c r="R1168" s="67"/>
      <c r="S1168" s="65" t="s">
        <v>6</v>
      </c>
      <c r="T1168" s="70" t="s">
        <v>4</v>
      </c>
      <c r="U1168" s="65" t="s">
        <v>12</v>
      </c>
      <c r="V1168" s="65" t="s">
        <v>1917</v>
      </c>
      <c r="W1168" s="65" t="s">
        <v>4</v>
      </c>
      <c r="X1168" s="65" t="s">
        <v>2865</v>
      </c>
      <c r="Y1168" s="65" t="s">
        <v>3010</v>
      </c>
      <c r="Z1168" s="65" t="s">
        <v>4</v>
      </c>
      <c r="AA1168" s="65" t="s">
        <v>2865</v>
      </c>
    </row>
    <row r="1169" spans="1:27" ht="17.45" hidden="1" customHeight="1">
      <c r="A1169" s="100" t="str">
        <f>IF(priority(Main[[#This Row],[Comments]])&lt;&gt;0, priority(Main[[#This Row],[Comments]]),"")</f>
        <v/>
      </c>
      <c r="B1169" s="77" t="s">
        <v>2700</v>
      </c>
      <c r="C1169" s="65" t="s">
        <v>4</v>
      </c>
      <c r="D1169" s="66" t="s">
        <v>3284</v>
      </c>
      <c r="E1169" s="67">
        <v>40917.540925925925</v>
      </c>
      <c r="F1169" s="67"/>
      <c r="G1169" s="64" t="str">
        <f>IF(stdProdLT(Main[[#This Row],[Comments]])=0.1,"N/A",IF(stdProdLT(Main[[#This Row],[Comments]])=0,"",stdProdLT(Main[[#This Row],[Comments]])))</f>
        <v/>
      </c>
      <c r="H1169" s="68" t="str">
        <f>IF(AND(Main[[#This Row],[In Stock Date]]&lt;&gt;"",Main[[#This Row],[Revised Due Date]]&lt;&gt;""),Main[[#This Row],[In Stock Date]]-Main[[#This Row],[Revised Due Date]],"")</f>
        <v/>
      </c>
      <c r="I1169" s="65" t="s">
        <v>2051</v>
      </c>
      <c r="J1169" s="65" t="s">
        <v>21</v>
      </c>
      <c r="K1169" s="65" t="s">
        <v>1923</v>
      </c>
      <c r="L1169" s="67"/>
      <c r="M1169" s="69" t="str">
        <f>IF(Main[[#This Row],[Tech Start Date]]&lt;1/1/1990,"",IF(Main[[#This Row],[Class]]="C",WORKDAY(Main[[#This Row],[Tech Start Date]],9),IF(Main[[#This Row],[Class]]="B", WORKDAY(Main[[#This Row],[Tech Start Date]],6),IF(Main[[#This Row],[Class]]="A",WORKDAY(Main[[#This Row],[Tech Start Date]],2),""))))</f>
        <v/>
      </c>
      <c r="N1169" s="69" t="str">
        <f>IF(Main[[#This Row],[Tech Start Date]]&lt;1/1/1990,"",IF(Main[[#This Row],[Class]]="C",WORKDAY(Main[[#This Row],[Tech Start Date]],19),IF(Main[[#This Row],[Class]]="B", WORKDAY(Main[[#This Row],[Tech Start Date]],12),IF(Main[[#This Row],[Class]]="A",WORKDAY(Main[[#This Row],[Tech Start Date]],4),""))))</f>
        <v/>
      </c>
      <c r="O1169" s="69" t="str">
        <f>IF(Main[[#This Row],[Tech Start Date]]&lt;1/1/1990,"",IF(Main[[#This Row],[Class]]="C",WORKDAY(Main[[#This Row],[Tech Start Date]],23),IF(Main[[#This Row],[Class]]="B", WORKDAY(Main[[#This Row],[Tech Start Date]],15),IF(Main[[#This Row],[Class]]="A",WORKDAY(Main[[#This Row],[Tech Start Date]],5),""))))</f>
        <v/>
      </c>
      <c r="P1169" s="69" t="str">
        <f>IF(Main[[#This Row],[Tech Start Date]]&lt;1/1/1990,"",IF(Main[[#This Row],[Class]]="C",WORKDAY(Main[[#This Row],[Tech Start Date]],28),IF(Main[[#This Row],[Class]]="B", WORKDAY(Main[[#This Row],[Tech Start Date]],19),IF(Main[[#This Row],[Class]]="A",WORKDAY(Main[[#This Row],[Tech Start Date]],9),""))))</f>
        <v/>
      </c>
      <c r="Q1169" s="67">
        <v>40949</v>
      </c>
      <c r="R1169" s="67"/>
      <c r="S1169" s="65" t="s">
        <v>6</v>
      </c>
      <c r="T1169" s="70" t="s">
        <v>4</v>
      </c>
      <c r="U1169" s="65" t="s">
        <v>29</v>
      </c>
      <c r="V1169" s="65" t="s">
        <v>1917</v>
      </c>
      <c r="W1169" s="65" t="s">
        <v>1918</v>
      </c>
      <c r="X1169" s="65" t="s">
        <v>2819</v>
      </c>
      <c r="Y1169" s="65" t="s">
        <v>2932</v>
      </c>
      <c r="Z1169" s="65" t="s">
        <v>30</v>
      </c>
      <c r="AA1169" s="65" t="s">
        <v>2819</v>
      </c>
    </row>
    <row r="1170" spans="1:27" ht="17.45" hidden="1" customHeight="1">
      <c r="A1170" s="100" t="str">
        <f>IF(priority(Main[[#This Row],[Comments]])&lt;&gt;0, priority(Main[[#This Row],[Comments]]),"")</f>
        <v/>
      </c>
      <c r="B1170" s="77" t="s">
        <v>2590</v>
      </c>
      <c r="C1170" s="65" t="s">
        <v>31</v>
      </c>
      <c r="D1170" s="66" t="s">
        <v>3702</v>
      </c>
      <c r="E1170" s="67">
        <v>40820.728263888886</v>
      </c>
      <c r="F1170" s="67"/>
      <c r="G1170" s="64" t="str">
        <f>IF(stdProdLT(Main[[#This Row],[Comments]])=0.1,"N/A",IF(stdProdLT(Main[[#This Row],[Comments]])=0,"",stdProdLT(Main[[#This Row],[Comments]])))</f>
        <v/>
      </c>
      <c r="H1170" s="68" t="str">
        <f>IF(AND(Main[[#This Row],[In Stock Date]]&lt;&gt;"",Main[[#This Row],[Revised Due Date]]&lt;&gt;""),Main[[#This Row],[In Stock Date]]-Main[[#This Row],[Revised Due Date]],"")</f>
        <v/>
      </c>
      <c r="I1170" s="65" t="s">
        <v>922</v>
      </c>
      <c r="J1170" s="65" t="s">
        <v>4</v>
      </c>
      <c r="K1170" s="65" t="s">
        <v>4</v>
      </c>
      <c r="L1170" s="67"/>
      <c r="M1170" s="69" t="str">
        <f>IF(Main[[#This Row],[Tech Start Date]]&lt;1/1/1990,"",IF(Main[[#This Row],[Class]]="C",WORKDAY(Main[[#This Row],[Tech Start Date]],9),IF(Main[[#This Row],[Class]]="B", WORKDAY(Main[[#This Row],[Tech Start Date]],6),IF(Main[[#This Row],[Class]]="A",WORKDAY(Main[[#This Row],[Tech Start Date]],2),""))))</f>
        <v/>
      </c>
      <c r="N1170" s="69" t="str">
        <f>IF(Main[[#This Row],[Tech Start Date]]&lt;1/1/1990,"",IF(Main[[#This Row],[Class]]="C",WORKDAY(Main[[#This Row],[Tech Start Date]],19),IF(Main[[#This Row],[Class]]="B", WORKDAY(Main[[#This Row],[Tech Start Date]],12),IF(Main[[#This Row],[Class]]="A",WORKDAY(Main[[#This Row],[Tech Start Date]],4),""))))</f>
        <v/>
      </c>
      <c r="O1170" s="69" t="str">
        <f>IF(Main[[#This Row],[Tech Start Date]]&lt;1/1/1990,"",IF(Main[[#This Row],[Class]]="C",WORKDAY(Main[[#This Row],[Tech Start Date]],23),IF(Main[[#This Row],[Class]]="B", WORKDAY(Main[[#This Row],[Tech Start Date]],15),IF(Main[[#This Row],[Class]]="A",WORKDAY(Main[[#This Row],[Tech Start Date]],5),""))))</f>
        <v/>
      </c>
      <c r="P1170" s="69" t="str">
        <f>IF(Main[[#This Row],[Tech Start Date]]&lt;1/1/1990,"",IF(Main[[#This Row],[Class]]="C",WORKDAY(Main[[#This Row],[Tech Start Date]],28),IF(Main[[#This Row],[Class]]="B", WORKDAY(Main[[#This Row],[Tech Start Date]],19),IF(Main[[#This Row],[Class]]="A",WORKDAY(Main[[#This Row],[Tech Start Date]],9),""))))</f>
        <v/>
      </c>
      <c r="Q1170" s="67">
        <v>40841</v>
      </c>
      <c r="R1170" s="67"/>
      <c r="S1170" s="65" t="s">
        <v>11</v>
      </c>
      <c r="T1170" s="70" t="s">
        <v>2591</v>
      </c>
      <c r="U1170" s="65" t="s">
        <v>7</v>
      </c>
      <c r="V1170" s="65" t="s">
        <v>1929</v>
      </c>
      <c r="W1170" s="65" t="s">
        <v>1922</v>
      </c>
      <c r="X1170" s="65" t="s">
        <v>2821</v>
      </c>
      <c r="Y1170" s="65" t="s">
        <v>2936</v>
      </c>
      <c r="Z1170" s="65" t="s">
        <v>4</v>
      </c>
      <c r="AA1170" s="65" t="s">
        <v>2821</v>
      </c>
    </row>
    <row r="1171" spans="1:27" ht="17.45" hidden="1" customHeight="1">
      <c r="A1171" s="100" t="str">
        <f>IF(priority(Main[[#This Row],[Comments]])&lt;&gt;0, priority(Main[[#This Row],[Comments]]),"")</f>
        <v/>
      </c>
      <c r="B1171" s="77" t="s">
        <v>1637</v>
      </c>
      <c r="C1171" s="65" t="s">
        <v>4</v>
      </c>
      <c r="D1171" s="66" t="s">
        <v>2570</v>
      </c>
      <c r="E1171" s="67"/>
      <c r="F1171" s="67"/>
      <c r="G1171" s="64" t="str">
        <f>IF(stdProdLT(Main[[#This Row],[Comments]])=0.1,"N/A",IF(stdProdLT(Main[[#This Row],[Comments]])=0,"",stdProdLT(Main[[#This Row],[Comments]])))</f>
        <v/>
      </c>
      <c r="H1171" s="68" t="str">
        <f>IF(AND(Main[[#This Row],[In Stock Date]]&lt;&gt;"",Main[[#This Row],[Revised Due Date]]&lt;&gt;""),Main[[#This Row],[In Stock Date]]-Main[[#This Row],[Revised Due Date]],"")</f>
        <v/>
      </c>
      <c r="I1171" s="65" t="s">
        <v>4</v>
      </c>
      <c r="J1171" s="65" t="s">
        <v>28</v>
      </c>
      <c r="K1171" s="65" t="s">
        <v>1921</v>
      </c>
      <c r="L1171" s="67"/>
      <c r="M1171" s="69" t="str">
        <f>IF(Main[[#This Row],[Tech Start Date]]&lt;1/1/1990,"",IF(Main[[#This Row],[Class]]="C",WORKDAY(Main[[#This Row],[Tech Start Date]],9),IF(Main[[#This Row],[Class]]="B", WORKDAY(Main[[#This Row],[Tech Start Date]],6),IF(Main[[#This Row],[Class]]="A",WORKDAY(Main[[#This Row],[Tech Start Date]],2),""))))</f>
        <v/>
      </c>
      <c r="N1171" s="69" t="str">
        <f>IF(Main[[#This Row],[Tech Start Date]]&lt;1/1/1990,"",IF(Main[[#This Row],[Class]]="C",WORKDAY(Main[[#This Row],[Tech Start Date]],19),IF(Main[[#This Row],[Class]]="B", WORKDAY(Main[[#This Row],[Tech Start Date]],12),IF(Main[[#This Row],[Class]]="A",WORKDAY(Main[[#This Row],[Tech Start Date]],4),""))))</f>
        <v/>
      </c>
      <c r="O1171" s="69" t="str">
        <f>IF(Main[[#This Row],[Tech Start Date]]&lt;1/1/1990,"",IF(Main[[#This Row],[Class]]="C",WORKDAY(Main[[#This Row],[Tech Start Date]],23),IF(Main[[#This Row],[Class]]="B", WORKDAY(Main[[#This Row],[Tech Start Date]],15),IF(Main[[#This Row],[Class]]="A",WORKDAY(Main[[#This Row],[Tech Start Date]],5),""))))</f>
        <v/>
      </c>
      <c r="P1171" s="69" t="str">
        <f>IF(Main[[#This Row],[Tech Start Date]]&lt;1/1/1990,"",IF(Main[[#This Row],[Class]]="C",WORKDAY(Main[[#This Row],[Tech Start Date]],28),IF(Main[[#This Row],[Class]]="B", WORKDAY(Main[[#This Row],[Tech Start Date]],19),IF(Main[[#This Row],[Class]]="A",WORKDAY(Main[[#This Row],[Tech Start Date]],9),""))))</f>
        <v/>
      </c>
      <c r="Q1171" s="67">
        <v>40611</v>
      </c>
      <c r="R1171" s="67"/>
      <c r="S1171" s="65" t="s">
        <v>6</v>
      </c>
      <c r="T1171" s="70" t="s">
        <v>4</v>
      </c>
      <c r="U1171" s="65" t="s">
        <v>14</v>
      </c>
      <c r="V1171" s="65" t="s">
        <v>1914</v>
      </c>
      <c r="W1171" s="65" t="s">
        <v>1918</v>
      </c>
      <c r="X1171" s="65" t="s">
        <v>2821</v>
      </c>
      <c r="Y1171" s="65" t="s">
        <v>2936</v>
      </c>
      <c r="Z1171" s="65" t="s">
        <v>129</v>
      </c>
      <c r="AA1171" s="65" t="s">
        <v>2821</v>
      </c>
    </row>
    <row r="1172" spans="1:27" ht="17.45" hidden="1" customHeight="1">
      <c r="A1172" s="100" t="str">
        <f>IF(priority(Main[[#This Row],[Comments]])&lt;&gt;0, priority(Main[[#This Row],[Comments]]),"")</f>
        <v/>
      </c>
      <c r="B1172" s="77" t="s">
        <v>3715</v>
      </c>
      <c r="C1172" s="65" t="s">
        <v>4</v>
      </c>
      <c r="D1172" s="66" t="s">
        <v>3716</v>
      </c>
      <c r="E1172" s="67">
        <v>40954.564212962963</v>
      </c>
      <c r="F1172" s="67"/>
      <c r="G1172" s="64" t="str">
        <f>IF(stdProdLT(Main[[#This Row],[Comments]])=0.1,"N/A",IF(stdProdLT(Main[[#This Row],[Comments]])=0,"",stdProdLT(Main[[#This Row],[Comments]])))</f>
        <v/>
      </c>
      <c r="H1172" s="68" t="str">
        <f>IF(AND(Main[[#This Row],[In Stock Date]]&lt;&gt;"",Main[[#This Row],[Revised Due Date]]&lt;&gt;""),Main[[#This Row],[In Stock Date]]-Main[[#This Row],[Revised Due Date]],"")</f>
        <v/>
      </c>
      <c r="I1172" s="65" t="s">
        <v>4</v>
      </c>
      <c r="J1172" s="65" t="s">
        <v>4</v>
      </c>
      <c r="K1172" s="65" t="s">
        <v>4</v>
      </c>
      <c r="L1172" s="67"/>
      <c r="M1172" s="69" t="str">
        <f>IF(Main[[#This Row],[Tech Start Date]]&lt;1/1/1990,"",IF(Main[[#This Row],[Class]]="C",WORKDAY(Main[[#This Row],[Tech Start Date]],9),IF(Main[[#This Row],[Class]]="B", WORKDAY(Main[[#This Row],[Tech Start Date]],6),IF(Main[[#This Row],[Class]]="A",WORKDAY(Main[[#This Row],[Tech Start Date]],2),""))))</f>
        <v/>
      </c>
      <c r="N1172" s="69" t="str">
        <f>IF(Main[[#This Row],[Tech Start Date]]&lt;1/1/1990,"",IF(Main[[#This Row],[Class]]="C",WORKDAY(Main[[#This Row],[Tech Start Date]],19),IF(Main[[#This Row],[Class]]="B", WORKDAY(Main[[#This Row],[Tech Start Date]],12),IF(Main[[#This Row],[Class]]="A",WORKDAY(Main[[#This Row],[Tech Start Date]],4),""))))</f>
        <v/>
      </c>
      <c r="O1172" s="69" t="str">
        <f>IF(Main[[#This Row],[Tech Start Date]]&lt;1/1/1990,"",IF(Main[[#This Row],[Class]]="C",WORKDAY(Main[[#This Row],[Tech Start Date]],23),IF(Main[[#This Row],[Class]]="B", WORKDAY(Main[[#This Row],[Tech Start Date]],15),IF(Main[[#This Row],[Class]]="A",WORKDAY(Main[[#This Row],[Tech Start Date]],5),""))))</f>
        <v/>
      </c>
      <c r="P1172" s="69" t="str">
        <f>IF(Main[[#This Row],[Tech Start Date]]&lt;1/1/1990,"",IF(Main[[#This Row],[Class]]="C",WORKDAY(Main[[#This Row],[Tech Start Date]],28),IF(Main[[#This Row],[Class]]="B", WORKDAY(Main[[#This Row],[Tech Start Date]],19),IF(Main[[#This Row],[Class]]="A",WORKDAY(Main[[#This Row],[Tech Start Date]],9),""))))</f>
        <v/>
      </c>
      <c r="Q1172" s="67"/>
      <c r="R1172" s="67"/>
      <c r="S1172" s="65" t="s">
        <v>17</v>
      </c>
      <c r="T1172" s="70" t="s">
        <v>4</v>
      </c>
      <c r="U1172" s="65" t="s">
        <v>7</v>
      </c>
      <c r="V1172" s="65" t="s">
        <v>1929</v>
      </c>
      <c r="W1172" s="65" t="s">
        <v>1922</v>
      </c>
      <c r="X1172" s="65" t="s">
        <v>2862</v>
      </c>
      <c r="Y1172" s="65" t="s">
        <v>3006</v>
      </c>
      <c r="Z1172" s="65" t="s">
        <v>4</v>
      </c>
      <c r="AA1172" s="65" t="s">
        <v>2862</v>
      </c>
    </row>
    <row r="1173" spans="1:27" ht="17.45" hidden="1" customHeight="1">
      <c r="A1173" s="100" t="str">
        <f>IF(priority(Main[[#This Row],[Comments]])&lt;&gt;0, priority(Main[[#This Row],[Comments]]),"")</f>
        <v/>
      </c>
      <c r="B1173" s="77" t="s">
        <v>3480</v>
      </c>
      <c r="C1173" s="65" t="s">
        <v>4</v>
      </c>
      <c r="D1173" s="66" t="s">
        <v>3481</v>
      </c>
      <c r="E1173" s="67"/>
      <c r="F1173" s="67"/>
      <c r="G1173" s="64" t="str">
        <f>IF(stdProdLT(Main[[#This Row],[Comments]])=0.1,"N/A",IF(stdProdLT(Main[[#This Row],[Comments]])=0,"",stdProdLT(Main[[#This Row],[Comments]])))</f>
        <v/>
      </c>
      <c r="H1173" s="68" t="str">
        <f>IF(AND(Main[[#This Row],[In Stock Date]]&lt;&gt;"",Main[[#This Row],[Revised Due Date]]&lt;&gt;""),Main[[#This Row],[In Stock Date]]-Main[[#This Row],[Revised Due Date]],"")</f>
        <v/>
      </c>
      <c r="I1173" s="65" t="s">
        <v>4</v>
      </c>
      <c r="J1173" s="65" t="s">
        <v>4</v>
      </c>
      <c r="K1173" s="65" t="s">
        <v>4</v>
      </c>
      <c r="L1173" s="67"/>
      <c r="M1173" s="69" t="str">
        <f>IF(Main[[#This Row],[Tech Start Date]]&lt;1/1/1990,"",IF(Main[[#This Row],[Class]]="C",WORKDAY(Main[[#This Row],[Tech Start Date]],9),IF(Main[[#This Row],[Class]]="B", WORKDAY(Main[[#This Row],[Tech Start Date]],6),IF(Main[[#This Row],[Class]]="A",WORKDAY(Main[[#This Row],[Tech Start Date]],2),""))))</f>
        <v/>
      </c>
      <c r="N1173" s="69" t="str">
        <f>IF(Main[[#This Row],[Tech Start Date]]&lt;1/1/1990,"",IF(Main[[#This Row],[Class]]="C",WORKDAY(Main[[#This Row],[Tech Start Date]],19),IF(Main[[#This Row],[Class]]="B", WORKDAY(Main[[#This Row],[Tech Start Date]],12),IF(Main[[#This Row],[Class]]="A",WORKDAY(Main[[#This Row],[Tech Start Date]],4),""))))</f>
        <v/>
      </c>
      <c r="O1173" s="69" t="str">
        <f>IF(Main[[#This Row],[Tech Start Date]]&lt;1/1/1990,"",IF(Main[[#This Row],[Class]]="C",WORKDAY(Main[[#This Row],[Tech Start Date]],23),IF(Main[[#This Row],[Class]]="B", WORKDAY(Main[[#This Row],[Tech Start Date]],15),IF(Main[[#This Row],[Class]]="A",WORKDAY(Main[[#This Row],[Tech Start Date]],5),""))))</f>
        <v/>
      </c>
      <c r="P1173" s="69" t="str">
        <f>IF(Main[[#This Row],[Tech Start Date]]&lt;1/1/1990,"",IF(Main[[#This Row],[Class]]="C",WORKDAY(Main[[#This Row],[Tech Start Date]],28),IF(Main[[#This Row],[Class]]="B", WORKDAY(Main[[#This Row],[Tech Start Date]],19),IF(Main[[#This Row],[Class]]="A",WORKDAY(Main[[#This Row],[Tech Start Date]],9),""))))</f>
        <v/>
      </c>
      <c r="Q1173" s="67">
        <v>41001</v>
      </c>
      <c r="R1173" s="67"/>
      <c r="S1173" s="65" t="s">
        <v>6</v>
      </c>
      <c r="T1173" s="70" t="s">
        <v>4</v>
      </c>
      <c r="U1173" s="65" t="s">
        <v>14</v>
      </c>
      <c r="V1173" s="65" t="s">
        <v>1917</v>
      </c>
      <c r="W1173" s="65" t="s">
        <v>4</v>
      </c>
      <c r="X1173" s="65" t="s">
        <v>2822</v>
      </c>
      <c r="Y1173" s="65" t="s">
        <v>2938</v>
      </c>
      <c r="Z1173" s="65" t="s">
        <v>4</v>
      </c>
      <c r="AA1173" s="65" t="s">
        <v>2822</v>
      </c>
    </row>
    <row r="1174" spans="1:27" ht="17.45" hidden="1" customHeight="1">
      <c r="A1174" s="100" t="str">
        <f>IF(priority(Main[[#This Row],[Comments]])&lt;&gt;0, priority(Main[[#This Row],[Comments]]),"")</f>
        <v/>
      </c>
      <c r="B1174" s="77" t="s">
        <v>1662</v>
      </c>
      <c r="C1174" s="65" t="s">
        <v>4</v>
      </c>
      <c r="D1174" s="66" t="s">
        <v>3717</v>
      </c>
      <c r="E1174" s="67">
        <v>40528.434965277775</v>
      </c>
      <c r="F1174" s="67"/>
      <c r="G1174" s="64" t="str">
        <f>IF(stdProdLT(Main[[#This Row],[Comments]])=0.1,"N/A",IF(stdProdLT(Main[[#This Row],[Comments]])=0,"",stdProdLT(Main[[#This Row],[Comments]])))</f>
        <v/>
      </c>
      <c r="H1174" s="68" t="str">
        <f>IF(AND(Main[[#This Row],[In Stock Date]]&lt;&gt;"",Main[[#This Row],[Revised Due Date]]&lt;&gt;""),Main[[#This Row],[In Stock Date]]-Main[[#This Row],[Revised Due Date]],"")</f>
        <v/>
      </c>
      <c r="I1174" s="65" t="s">
        <v>4</v>
      </c>
      <c r="J1174" s="65" t="s">
        <v>28</v>
      </c>
      <c r="K1174" s="65" t="s">
        <v>1926</v>
      </c>
      <c r="L1174" s="67"/>
      <c r="M1174" s="69" t="str">
        <f>IF(Main[[#This Row],[Tech Start Date]]&lt;1/1/1990,"",IF(Main[[#This Row],[Class]]="C",WORKDAY(Main[[#This Row],[Tech Start Date]],9),IF(Main[[#This Row],[Class]]="B", WORKDAY(Main[[#This Row],[Tech Start Date]],6),IF(Main[[#This Row],[Class]]="A",WORKDAY(Main[[#This Row],[Tech Start Date]],2),""))))</f>
        <v/>
      </c>
      <c r="N1174" s="69" t="str">
        <f>IF(Main[[#This Row],[Tech Start Date]]&lt;1/1/1990,"",IF(Main[[#This Row],[Class]]="C",WORKDAY(Main[[#This Row],[Tech Start Date]],19),IF(Main[[#This Row],[Class]]="B", WORKDAY(Main[[#This Row],[Tech Start Date]],12),IF(Main[[#This Row],[Class]]="A",WORKDAY(Main[[#This Row],[Tech Start Date]],4),""))))</f>
        <v/>
      </c>
      <c r="O1174" s="69" t="str">
        <f>IF(Main[[#This Row],[Tech Start Date]]&lt;1/1/1990,"",IF(Main[[#This Row],[Class]]="C",WORKDAY(Main[[#This Row],[Tech Start Date]],23),IF(Main[[#This Row],[Class]]="B", WORKDAY(Main[[#This Row],[Tech Start Date]],15),IF(Main[[#This Row],[Class]]="A",WORKDAY(Main[[#This Row],[Tech Start Date]],5),""))))</f>
        <v/>
      </c>
      <c r="P1174" s="69" t="str">
        <f>IF(Main[[#This Row],[Tech Start Date]]&lt;1/1/1990,"",IF(Main[[#This Row],[Class]]="C",WORKDAY(Main[[#This Row],[Tech Start Date]],28),IF(Main[[#This Row],[Class]]="B", WORKDAY(Main[[#This Row],[Tech Start Date]],19),IF(Main[[#This Row],[Class]]="A",WORKDAY(Main[[#This Row],[Tech Start Date]],9),""))))</f>
        <v/>
      </c>
      <c r="Q1174" s="67">
        <v>41152</v>
      </c>
      <c r="R1174" s="67"/>
      <c r="S1174" s="65" t="s">
        <v>17</v>
      </c>
      <c r="T1174" s="70" t="s">
        <v>4</v>
      </c>
      <c r="U1174" s="65" t="s">
        <v>7</v>
      </c>
      <c r="V1174" s="65" t="s">
        <v>1914</v>
      </c>
      <c r="W1174" s="65" t="s">
        <v>1919</v>
      </c>
      <c r="X1174" s="65" t="s">
        <v>129</v>
      </c>
      <c r="Y1174" s="65" t="s">
        <v>3077</v>
      </c>
      <c r="Z1174" s="65" t="s">
        <v>129</v>
      </c>
      <c r="AA1174" s="65" t="s">
        <v>129</v>
      </c>
    </row>
    <row r="1175" spans="1:27" ht="17.45" customHeight="1">
      <c r="A1175" s="100">
        <f>IF(priority(Main[[#This Row],[Comments]])&lt;&gt;0, priority(Main[[#This Row],[Comments]]),"")</f>
        <v>14.1</v>
      </c>
      <c r="B1175" s="77" t="s">
        <v>3916</v>
      </c>
      <c r="C1175" s="65" t="s">
        <v>3910</v>
      </c>
      <c r="D1175" s="66" t="s">
        <v>3917</v>
      </c>
      <c r="E1175" s="67">
        <v>40967.313819444447</v>
      </c>
      <c r="F1175" s="67"/>
      <c r="G1175" s="64">
        <f>IF(stdProdLT(Main[[#This Row],[Comments]])=0.1,"N/A",IF(stdProdLT(Main[[#This Row],[Comments]])=0,"",stdProdLT(Main[[#This Row],[Comments]])))</f>
        <v>112</v>
      </c>
      <c r="H1175" s="68" t="str">
        <f>IF(AND(Main[[#This Row],[In Stock Date]]&lt;&gt;"",Main[[#This Row],[Revised Due Date]]&lt;&gt;""),Main[[#This Row],[In Stock Date]]-Main[[#This Row],[Revised Due Date]],"")</f>
        <v/>
      </c>
      <c r="I1175" s="65" t="s">
        <v>937</v>
      </c>
      <c r="J1175" s="65" t="s">
        <v>28</v>
      </c>
      <c r="K1175" s="65" t="s">
        <v>1923</v>
      </c>
      <c r="L1175" s="67">
        <v>40967</v>
      </c>
      <c r="M1175" s="69">
        <f>IF(Main[[#This Row],[Tech Start Date]]&lt;1/1/1990,"",IF(Main[[#This Row],[Class]]="C",WORKDAY(Main[[#This Row],[Tech Start Date]],9),IF(Main[[#This Row],[Class]]="B", WORKDAY(Main[[#This Row],[Tech Start Date]],6),IF(Main[[#This Row],[Class]]="A",WORKDAY(Main[[#This Row],[Tech Start Date]],2),""))))</f>
        <v>40969</v>
      </c>
      <c r="N1175" s="69">
        <f>IF(Main[[#This Row],[Tech Start Date]]&lt;1/1/1990,"",IF(Main[[#This Row],[Class]]="C",WORKDAY(Main[[#This Row],[Tech Start Date]],19),IF(Main[[#This Row],[Class]]="B", WORKDAY(Main[[#This Row],[Tech Start Date]],12),IF(Main[[#This Row],[Class]]="A",WORKDAY(Main[[#This Row],[Tech Start Date]],4),""))))</f>
        <v>40973</v>
      </c>
      <c r="O1175" s="69">
        <f>IF(Main[[#This Row],[Tech Start Date]]&lt;1/1/1990,"",IF(Main[[#This Row],[Class]]="C",WORKDAY(Main[[#This Row],[Tech Start Date]],23),IF(Main[[#This Row],[Class]]="B", WORKDAY(Main[[#This Row],[Tech Start Date]],15),IF(Main[[#This Row],[Class]]="A",WORKDAY(Main[[#This Row],[Tech Start Date]],5),""))))</f>
        <v>40974</v>
      </c>
      <c r="P1175" s="69">
        <f>IF(Main[[#This Row],[Tech Start Date]]&lt;1/1/1990,"",IF(Main[[#This Row],[Class]]="C",WORKDAY(Main[[#This Row],[Tech Start Date]],28),IF(Main[[#This Row],[Class]]="B", WORKDAY(Main[[#This Row],[Tech Start Date]],19),IF(Main[[#This Row],[Class]]="A",WORKDAY(Main[[#This Row],[Tech Start Date]],9),""))))</f>
        <v>40980</v>
      </c>
      <c r="Q1175" s="67">
        <v>40973</v>
      </c>
      <c r="R1175" s="67">
        <v>40977</v>
      </c>
      <c r="S1175" s="65" t="s">
        <v>11</v>
      </c>
      <c r="T1175" s="70" t="s">
        <v>3918</v>
      </c>
      <c r="U1175" s="65" t="s">
        <v>29</v>
      </c>
      <c r="V1175" s="65" t="s">
        <v>1914</v>
      </c>
      <c r="W1175" s="65" t="s">
        <v>1922</v>
      </c>
      <c r="X1175" s="65" t="s">
        <v>2911</v>
      </c>
      <c r="Y1175" s="65" t="s">
        <v>4</v>
      </c>
      <c r="Z1175" s="65" t="s">
        <v>129</v>
      </c>
      <c r="AA1175" s="65" t="s">
        <v>3913</v>
      </c>
    </row>
    <row r="1176" spans="1:27" ht="17.45" hidden="1" customHeight="1">
      <c r="A1176" s="100" t="str">
        <f>IF(priority(Main[[#This Row],[Comments]])&lt;&gt;0, priority(Main[[#This Row],[Comments]]),"")</f>
        <v/>
      </c>
      <c r="B1176" s="77" t="s">
        <v>2784</v>
      </c>
      <c r="C1176" s="65" t="s">
        <v>4</v>
      </c>
      <c r="D1176" s="66" t="s">
        <v>2785</v>
      </c>
      <c r="E1176" s="67">
        <v>40905.712777777779</v>
      </c>
      <c r="F1176" s="67"/>
      <c r="G1176" s="64" t="str">
        <f>IF(stdProdLT(Main[[#This Row],[Comments]])=0.1,"N/A",IF(stdProdLT(Main[[#This Row],[Comments]])=0,"",stdProdLT(Main[[#This Row],[Comments]])))</f>
        <v/>
      </c>
      <c r="H1176" s="68" t="str">
        <f>IF(AND(Main[[#This Row],[In Stock Date]]&lt;&gt;"",Main[[#This Row],[Revised Due Date]]&lt;&gt;""),Main[[#This Row],[In Stock Date]]-Main[[#This Row],[Revised Due Date]],"")</f>
        <v/>
      </c>
      <c r="I1176" s="65" t="s">
        <v>4</v>
      </c>
      <c r="J1176" s="65" t="s">
        <v>4</v>
      </c>
      <c r="K1176" s="65" t="s">
        <v>4</v>
      </c>
      <c r="L1176" s="67"/>
      <c r="M1176" s="69" t="str">
        <f>IF(Main[[#This Row],[Tech Start Date]]&lt;1/1/1990,"",IF(Main[[#This Row],[Class]]="C",WORKDAY(Main[[#This Row],[Tech Start Date]],9),IF(Main[[#This Row],[Class]]="B", WORKDAY(Main[[#This Row],[Tech Start Date]],6),IF(Main[[#This Row],[Class]]="A",WORKDAY(Main[[#This Row],[Tech Start Date]],2),""))))</f>
        <v/>
      </c>
      <c r="N1176" s="69" t="str">
        <f>IF(Main[[#This Row],[Tech Start Date]]&lt;1/1/1990,"",IF(Main[[#This Row],[Class]]="C",WORKDAY(Main[[#This Row],[Tech Start Date]],19),IF(Main[[#This Row],[Class]]="B", WORKDAY(Main[[#This Row],[Tech Start Date]],12),IF(Main[[#This Row],[Class]]="A",WORKDAY(Main[[#This Row],[Tech Start Date]],4),""))))</f>
        <v/>
      </c>
      <c r="O1176" s="69" t="str">
        <f>IF(Main[[#This Row],[Tech Start Date]]&lt;1/1/1990,"",IF(Main[[#This Row],[Class]]="C",WORKDAY(Main[[#This Row],[Tech Start Date]],23),IF(Main[[#This Row],[Class]]="B", WORKDAY(Main[[#This Row],[Tech Start Date]],15),IF(Main[[#This Row],[Class]]="A",WORKDAY(Main[[#This Row],[Tech Start Date]],5),""))))</f>
        <v/>
      </c>
      <c r="P1176" s="69" t="str">
        <f>IF(Main[[#This Row],[Tech Start Date]]&lt;1/1/1990,"",IF(Main[[#This Row],[Class]]="C",WORKDAY(Main[[#This Row],[Tech Start Date]],28),IF(Main[[#This Row],[Class]]="B", WORKDAY(Main[[#This Row],[Tech Start Date]],19),IF(Main[[#This Row],[Class]]="A",WORKDAY(Main[[#This Row],[Tech Start Date]],9),""))))</f>
        <v/>
      </c>
      <c r="Q1176" s="67">
        <v>40939</v>
      </c>
      <c r="R1176" s="67"/>
      <c r="S1176" s="65" t="s">
        <v>6</v>
      </c>
      <c r="T1176" s="70" t="s">
        <v>4</v>
      </c>
      <c r="U1176" s="65" t="s">
        <v>7</v>
      </c>
      <c r="V1176" s="65" t="s">
        <v>1914</v>
      </c>
      <c r="W1176" s="65" t="s">
        <v>4</v>
      </c>
      <c r="X1176" s="65" t="s">
        <v>2819</v>
      </c>
      <c r="Y1176" s="65" t="s">
        <v>2932</v>
      </c>
      <c r="Z1176" s="65" t="s">
        <v>4</v>
      </c>
      <c r="AA1176" s="65" t="s">
        <v>2819</v>
      </c>
    </row>
    <row r="1177" spans="1:27" ht="17.45" hidden="1" customHeight="1">
      <c r="A1177" s="100" t="str">
        <f>IF(priority(Main[[#This Row],[Comments]])&lt;&gt;0, priority(Main[[#This Row],[Comments]]),"")</f>
        <v/>
      </c>
      <c r="B1177" s="77" t="s">
        <v>2574</v>
      </c>
      <c r="C1177" s="65" t="s">
        <v>4</v>
      </c>
      <c r="D1177" s="66" t="s">
        <v>2786</v>
      </c>
      <c r="E1177" s="67">
        <v>40870.473611111112</v>
      </c>
      <c r="F1177" s="67"/>
      <c r="G1177" s="64" t="str">
        <f>IF(stdProdLT(Main[[#This Row],[Comments]])=0.1,"N/A",IF(stdProdLT(Main[[#This Row],[Comments]])=0,"",stdProdLT(Main[[#This Row],[Comments]])))</f>
        <v/>
      </c>
      <c r="H1177" s="68" t="str">
        <f>IF(AND(Main[[#This Row],[In Stock Date]]&lt;&gt;"",Main[[#This Row],[Revised Due Date]]&lt;&gt;""),Main[[#This Row],[In Stock Date]]-Main[[#This Row],[Revised Due Date]],"")</f>
        <v/>
      </c>
      <c r="I1177" s="65" t="s">
        <v>429</v>
      </c>
      <c r="J1177" s="65" t="s">
        <v>28</v>
      </c>
      <c r="K1177" s="65" t="s">
        <v>1923</v>
      </c>
      <c r="L1177" s="67"/>
      <c r="M1177" s="69" t="str">
        <f>IF(Main[[#This Row],[Tech Start Date]]&lt;1/1/1990,"",IF(Main[[#This Row],[Class]]="C",WORKDAY(Main[[#This Row],[Tech Start Date]],9),IF(Main[[#This Row],[Class]]="B", WORKDAY(Main[[#This Row],[Tech Start Date]],6),IF(Main[[#This Row],[Class]]="A",WORKDAY(Main[[#This Row],[Tech Start Date]],2),""))))</f>
        <v/>
      </c>
      <c r="N1177" s="69" t="str">
        <f>IF(Main[[#This Row],[Tech Start Date]]&lt;1/1/1990,"",IF(Main[[#This Row],[Class]]="C",WORKDAY(Main[[#This Row],[Tech Start Date]],19),IF(Main[[#This Row],[Class]]="B", WORKDAY(Main[[#This Row],[Tech Start Date]],12),IF(Main[[#This Row],[Class]]="A",WORKDAY(Main[[#This Row],[Tech Start Date]],4),""))))</f>
        <v/>
      </c>
      <c r="O1177" s="69" t="str">
        <f>IF(Main[[#This Row],[Tech Start Date]]&lt;1/1/1990,"",IF(Main[[#This Row],[Class]]="C",WORKDAY(Main[[#This Row],[Tech Start Date]],23),IF(Main[[#This Row],[Class]]="B", WORKDAY(Main[[#This Row],[Tech Start Date]],15),IF(Main[[#This Row],[Class]]="A",WORKDAY(Main[[#This Row],[Tech Start Date]],5),""))))</f>
        <v/>
      </c>
      <c r="P1177" s="69" t="str">
        <f>IF(Main[[#This Row],[Tech Start Date]]&lt;1/1/1990,"",IF(Main[[#This Row],[Class]]="C",WORKDAY(Main[[#This Row],[Tech Start Date]],28),IF(Main[[#This Row],[Class]]="B", WORKDAY(Main[[#This Row],[Tech Start Date]],19),IF(Main[[#This Row],[Class]]="A",WORKDAY(Main[[#This Row],[Tech Start Date]],9),""))))</f>
        <v/>
      </c>
      <c r="Q1177" s="67">
        <v>40905</v>
      </c>
      <c r="R1177" s="67"/>
      <c r="S1177" s="65" t="s">
        <v>6</v>
      </c>
      <c r="T1177" s="70" t="s">
        <v>4</v>
      </c>
      <c r="U1177" s="65" t="s">
        <v>29</v>
      </c>
      <c r="V1177" s="65" t="s">
        <v>1917</v>
      </c>
      <c r="W1177" s="65" t="s">
        <v>1918</v>
      </c>
      <c r="X1177" s="65" t="s">
        <v>2051</v>
      </c>
      <c r="Y1177" s="65" t="s">
        <v>3060</v>
      </c>
      <c r="Z1177" s="65" t="s">
        <v>30</v>
      </c>
      <c r="AA1177" s="65" t="s">
        <v>2895</v>
      </c>
    </row>
    <row r="1178" spans="1:27" ht="17.45" hidden="1" customHeight="1">
      <c r="A1178" s="100" t="str">
        <f>IF(priority(Main[[#This Row],[Comments]])&lt;&gt;0, priority(Main[[#This Row],[Comments]]),"")</f>
        <v/>
      </c>
      <c r="B1178" s="77" t="s">
        <v>3994</v>
      </c>
      <c r="C1178" s="65" t="s">
        <v>3995</v>
      </c>
      <c r="D1178" s="66" t="s">
        <v>3996</v>
      </c>
      <c r="E1178" s="67">
        <v>40968.612673611111</v>
      </c>
      <c r="F1178" s="67">
        <v>40970</v>
      </c>
      <c r="G1178" s="64" t="str">
        <f>IF(stdProdLT(Main[[#This Row],[Comments]])=0.1,"N/A",IF(stdProdLT(Main[[#This Row],[Comments]])=0,"",stdProdLT(Main[[#This Row],[Comments]])))</f>
        <v/>
      </c>
      <c r="H1178" s="68" t="str">
        <f>IF(AND(Main[[#This Row],[In Stock Date]]&lt;&gt;"",Main[[#This Row],[Revised Due Date]]&lt;&gt;""),Main[[#This Row],[In Stock Date]]-Main[[#This Row],[Revised Due Date]],"")</f>
        <v/>
      </c>
      <c r="I1178" s="65" t="s">
        <v>4</v>
      </c>
      <c r="J1178" s="65" t="s">
        <v>4</v>
      </c>
      <c r="K1178" s="65" t="s">
        <v>4</v>
      </c>
      <c r="L1178" s="67"/>
      <c r="M1178" s="69" t="str">
        <f>IF(Main[[#This Row],[Tech Start Date]]&lt;1/1/1990,"",IF(Main[[#This Row],[Class]]="C",WORKDAY(Main[[#This Row],[Tech Start Date]],9),IF(Main[[#This Row],[Class]]="B", WORKDAY(Main[[#This Row],[Tech Start Date]],6),IF(Main[[#This Row],[Class]]="A",WORKDAY(Main[[#This Row],[Tech Start Date]],2),""))))</f>
        <v/>
      </c>
      <c r="N1178" s="69" t="str">
        <f>IF(Main[[#This Row],[Tech Start Date]]&lt;1/1/1990,"",IF(Main[[#This Row],[Class]]="C",WORKDAY(Main[[#This Row],[Tech Start Date]],19),IF(Main[[#This Row],[Class]]="B", WORKDAY(Main[[#This Row],[Tech Start Date]],12),IF(Main[[#This Row],[Class]]="A",WORKDAY(Main[[#This Row],[Tech Start Date]],4),""))))</f>
        <v/>
      </c>
      <c r="O1178" s="69" t="str">
        <f>IF(Main[[#This Row],[Tech Start Date]]&lt;1/1/1990,"",IF(Main[[#This Row],[Class]]="C",WORKDAY(Main[[#This Row],[Tech Start Date]],23),IF(Main[[#This Row],[Class]]="B", WORKDAY(Main[[#This Row],[Tech Start Date]],15),IF(Main[[#This Row],[Class]]="A",WORKDAY(Main[[#This Row],[Tech Start Date]],5),""))))</f>
        <v/>
      </c>
      <c r="P1178" s="69" t="str">
        <f>IF(Main[[#This Row],[Tech Start Date]]&lt;1/1/1990,"",IF(Main[[#This Row],[Class]]="C",WORKDAY(Main[[#This Row],[Tech Start Date]],28),IF(Main[[#This Row],[Class]]="B", WORKDAY(Main[[#This Row],[Tech Start Date]],19),IF(Main[[#This Row],[Class]]="A",WORKDAY(Main[[#This Row],[Tech Start Date]],9),""))))</f>
        <v/>
      </c>
      <c r="Q1178" s="67">
        <v>40969</v>
      </c>
      <c r="R1178" s="67"/>
      <c r="S1178" s="65" t="s">
        <v>11</v>
      </c>
      <c r="T1178" s="70" t="s">
        <v>4</v>
      </c>
      <c r="U1178" s="65" t="s">
        <v>7</v>
      </c>
      <c r="V1178" s="65" t="s">
        <v>1915</v>
      </c>
      <c r="W1178" s="65" t="s">
        <v>1916</v>
      </c>
      <c r="X1178" s="65" t="s">
        <v>2824</v>
      </c>
      <c r="Y1178" s="65" t="s">
        <v>2943</v>
      </c>
      <c r="Z1178" s="65" t="s">
        <v>4</v>
      </c>
      <c r="AA1178" s="65" t="s">
        <v>2824</v>
      </c>
    </row>
    <row r="1179" spans="1:27" ht="17.45" hidden="1" customHeight="1">
      <c r="A1179" s="100" t="str">
        <f>IF(priority(Main[[#This Row],[Comments]])&lt;&gt;0, priority(Main[[#This Row],[Comments]]),"")</f>
        <v/>
      </c>
      <c r="B1179" s="77" t="s">
        <v>3277</v>
      </c>
      <c r="C1179" s="65" t="s">
        <v>4</v>
      </c>
      <c r="D1179" s="66" t="s">
        <v>3719</v>
      </c>
      <c r="E1179" s="67">
        <v>40934.381273148145</v>
      </c>
      <c r="F1179" s="67"/>
      <c r="G1179" s="64" t="str">
        <f>IF(stdProdLT(Main[[#This Row],[Comments]])=0.1,"N/A",IF(stdProdLT(Main[[#This Row],[Comments]])=0,"",stdProdLT(Main[[#This Row],[Comments]])))</f>
        <v/>
      </c>
      <c r="H1179" s="68" t="str">
        <f>IF(AND(Main[[#This Row],[In Stock Date]]&lt;&gt;"",Main[[#This Row],[Revised Due Date]]&lt;&gt;""),Main[[#This Row],[In Stock Date]]-Main[[#This Row],[Revised Due Date]],"")</f>
        <v/>
      </c>
      <c r="I1179" s="65" t="s">
        <v>69</v>
      </c>
      <c r="J1179" s="65" t="s">
        <v>70</v>
      </c>
      <c r="K1179" s="65" t="s">
        <v>1923</v>
      </c>
      <c r="L1179" s="67"/>
      <c r="M1179" s="69" t="str">
        <f>IF(Main[[#This Row],[Tech Start Date]]&lt;1/1/1990,"",IF(Main[[#This Row],[Class]]="C",WORKDAY(Main[[#This Row],[Tech Start Date]],9),IF(Main[[#This Row],[Class]]="B", WORKDAY(Main[[#This Row],[Tech Start Date]],6),IF(Main[[#This Row],[Class]]="A",WORKDAY(Main[[#This Row],[Tech Start Date]],2),""))))</f>
        <v/>
      </c>
      <c r="N1179" s="69" t="str">
        <f>IF(Main[[#This Row],[Tech Start Date]]&lt;1/1/1990,"",IF(Main[[#This Row],[Class]]="C",WORKDAY(Main[[#This Row],[Tech Start Date]],19),IF(Main[[#This Row],[Class]]="B", WORKDAY(Main[[#This Row],[Tech Start Date]],12),IF(Main[[#This Row],[Class]]="A",WORKDAY(Main[[#This Row],[Tech Start Date]],4),""))))</f>
        <v/>
      </c>
      <c r="O1179" s="69" t="str">
        <f>IF(Main[[#This Row],[Tech Start Date]]&lt;1/1/1990,"",IF(Main[[#This Row],[Class]]="C",WORKDAY(Main[[#This Row],[Tech Start Date]],23),IF(Main[[#This Row],[Class]]="B", WORKDAY(Main[[#This Row],[Tech Start Date]],15),IF(Main[[#This Row],[Class]]="A",WORKDAY(Main[[#This Row],[Tech Start Date]],5),""))))</f>
        <v/>
      </c>
      <c r="P1179" s="69" t="str">
        <f>IF(Main[[#This Row],[Tech Start Date]]&lt;1/1/1990,"",IF(Main[[#This Row],[Class]]="C",WORKDAY(Main[[#This Row],[Tech Start Date]],28),IF(Main[[#This Row],[Class]]="B", WORKDAY(Main[[#This Row],[Tech Start Date]],19),IF(Main[[#This Row],[Class]]="A",WORKDAY(Main[[#This Row],[Tech Start Date]],9),""))))</f>
        <v/>
      </c>
      <c r="Q1179" s="67">
        <v>40968</v>
      </c>
      <c r="R1179" s="67"/>
      <c r="S1179" s="65" t="s">
        <v>6</v>
      </c>
      <c r="T1179" s="70" t="s">
        <v>4</v>
      </c>
      <c r="U1179" s="65" t="s">
        <v>29</v>
      </c>
      <c r="V1179" s="65" t="s">
        <v>1917</v>
      </c>
      <c r="W1179" s="65" t="s">
        <v>1918</v>
      </c>
      <c r="X1179" s="65" t="s">
        <v>2818</v>
      </c>
      <c r="Y1179" s="65" t="s">
        <v>2929</v>
      </c>
      <c r="Z1179" s="65" t="s">
        <v>30</v>
      </c>
      <c r="AA1179" s="65" t="s">
        <v>2818</v>
      </c>
    </row>
    <row r="1180" spans="1:27" ht="17.45" hidden="1" customHeight="1">
      <c r="A1180" s="100" t="str">
        <f>IF(priority(Main[[#This Row],[Comments]])&lt;&gt;0, priority(Main[[#This Row],[Comments]]),"")</f>
        <v/>
      </c>
      <c r="B1180" s="77" t="s">
        <v>3511</v>
      </c>
      <c r="C1180" s="65" t="s">
        <v>4</v>
      </c>
      <c r="D1180" s="66" t="s">
        <v>3720</v>
      </c>
      <c r="E1180" s="67">
        <v>40942.368715277778</v>
      </c>
      <c r="F1180" s="67"/>
      <c r="G1180" s="64" t="str">
        <f>IF(stdProdLT(Main[[#This Row],[Comments]])=0.1,"N/A",IF(stdProdLT(Main[[#This Row],[Comments]])=0,"",stdProdLT(Main[[#This Row],[Comments]])))</f>
        <v/>
      </c>
      <c r="H1180" s="68" t="str">
        <f>IF(AND(Main[[#This Row],[In Stock Date]]&lt;&gt;"",Main[[#This Row],[Revised Due Date]]&lt;&gt;""),Main[[#This Row],[In Stock Date]]-Main[[#This Row],[Revised Due Date]],"")</f>
        <v/>
      </c>
      <c r="I1180" s="65" t="s">
        <v>69</v>
      </c>
      <c r="J1180" s="65" t="s">
        <v>70</v>
      </c>
      <c r="K1180" s="65" t="s">
        <v>1923</v>
      </c>
      <c r="L1180" s="67"/>
      <c r="M1180" s="69" t="str">
        <f>IF(Main[[#This Row],[Tech Start Date]]&lt;1/1/1990,"",IF(Main[[#This Row],[Class]]="C",WORKDAY(Main[[#This Row],[Tech Start Date]],9),IF(Main[[#This Row],[Class]]="B", WORKDAY(Main[[#This Row],[Tech Start Date]],6),IF(Main[[#This Row],[Class]]="A",WORKDAY(Main[[#This Row],[Tech Start Date]],2),""))))</f>
        <v/>
      </c>
      <c r="N1180" s="69" t="str">
        <f>IF(Main[[#This Row],[Tech Start Date]]&lt;1/1/1990,"",IF(Main[[#This Row],[Class]]="C",WORKDAY(Main[[#This Row],[Tech Start Date]],19),IF(Main[[#This Row],[Class]]="B", WORKDAY(Main[[#This Row],[Tech Start Date]],12),IF(Main[[#This Row],[Class]]="A",WORKDAY(Main[[#This Row],[Tech Start Date]],4),""))))</f>
        <v/>
      </c>
      <c r="O1180" s="69" t="str">
        <f>IF(Main[[#This Row],[Tech Start Date]]&lt;1/1/1990,"",IF(Main[[#This Row],[Class]]="C",WORKDAY(Main[[#This Row],[Tech Start Date]],23),IF(Main[[#This Row],[Class]]="B", WORKDAY(Main[[#This Row],[Tech Start Date]],15),IF(Main[[#This Row],[Class]]="A",WORKDAY(Main[[#This Row],[Tech Start Date]],5),""))))</f>
        <v/>
      </c>
      <c r="P1180" s="69" t="str">
        <f>IF(Main[[#This Row],[Tech Start Date]]&lt;1/1/1990,"",IF(Main[[#This Row],[Class]]="C",WORKDAY(Main[[#This Row],[Tech Start Date]],28),IF(Main[[#This Row],[Class]]="B", WORKDAY(Main[[#This Row],[Tech Start Date]],19),IF(Main[[#This Row],[Class]]="A",WORKDAY(Main[[#This Row],[Tech Start Date]],9),""))))</f>
        <v/>
      </c>
      <c r="Q1180" s="67">
        <v>40977</v>
      </c>
      <c r="R1180" s="67"/>
      <c r="S1180" s="65" t="s">
        <v>6</v>
      </c>
      <c r="T1180" s="70" t="s">
        <v>4</v>
      </c>
      <c r="U1180" s="65" t="s">
        <v>29</v>
      </c>
      <c r="V1180" s="65" t="s">
        <v>1917</v>
      </c>
      <c r="W1180" s="65" t="s">
        <v>1918</v>
      </c>
      <c r="X1180" s="65" t="s">
        <v>2818</v>
      </c>
      <c r="Y1180" s="65" t="s">
        <v>2929</v>
      </c>
      <c r="Z1180" s="65" t="s">
        <v>30</v>
      </c>
      <c r="AA1180" s="65" t="s">
        <v>2818</v>
      </c>
    </row>
    <row r="1181" spans="1:27" ht="17.45" hidden="1" customHeight="1">
      <c r="A1181" s="100" t="str">
        <f>IF(priority(Main[[#This Row],[Comments]])&lt;&gt;0, priority(Main[[#This Row],[Comments]]),"")</f>
        <v/>
      </c>
      <c r="B1181" s="77" t="s">
        <v>1845</v>
      </c>
      <c r="C1181" s="65" t="s">
        <v>67</v>
      </c>
      <c r="D1181" s="66" t="s">
        <v>2579</v>
      </c>
      <c r="E1181" s="67">
        <v>40343.573750000003</v>
      </c>
      <c r="F1181" s="67"/>
      <c r="G1181" s="64" t="str">
        <f>IF(stdProdLT(Main[[#This Row],[Comments]])=0.1,"N/A",IF(stdProdLT(Main[[#This Row],[Comments]])=0,"",stdProdLT(Main[[#This Row],[Comments]])))</f>
        <v/>
      </c>
      <c r="H1181" s="68" t="str">
        <f>IF(AND(Main[[#This Row],[In Stock Date]]&lt;&gt;"",Main[[#This Row],[Revised Due Date]]&lt;&gt;""),Main[[#This Row],[In Stock Date]]-Main[[#This Row],[Revised Due Date]],"")</f>
        <v/>
      </c>
      <c r="I1181" s="65" t="s">
        <v>74</v>
      </c>
      <c r="J1181" s="65" t="s">
        <v>28</v>
      </c>
      <c r="K1181" s="71" t="s">
        <v>1926</v>
      </c>
      <c r="L1181" s="67"/>
      <c r="M1181" s="69" t="str">
        <f>IF(Main[[#This Row],[Tech Start Date]]&lt;1/1/1990,"",IF(Main[[#This Row],[Class]]="C",WORKDAY(Main[[#This Row],[Tech Start Date]],9),IF(Main[[#This Row],[Class]]="B", WORKDAY(Main[[#This Row],[Tech Start Date]],6),IF(Main[[#This Row],[Class]]="A",WORKDAY(Main[[#This Row],[Tech Start Date]],2),""))))</f>
        <v/>
      </c>
      <c r="N1181" s="69" t="str">
        <f>IF(Main[[#This Row],[Tech Start Date]]&lt;1/1/1990,"",IF(Main[[#This Row],[Class]]="C",WORKDAY(Main[[#This Row],[Tech Start Date]],19),IF(Main[[#This Row],[Class]]="B", WORKDAY(Main[[#This Row],[Tech Start Date]],12),IF(Main[[#This Row],[Class]]="A",WORKDAY(Main[[#This Row],[Tech Start Date]],4),""))))</f>
        <v/>
      </c>
      <c r="O1181" s="69" t="str">
        <f>IF(Main[[#This Row],[Tech Start Date]]&lt;1/1/1990,"",IF(Main[[#This Row],[Class]]="C",WORKDAY(Main[[#This Row],[Tech Start Date]],23),IF(Main[[#This Row],[Class]]="B", WORKDAY(Main[[#This Row],[Tech Start Date]],15),IF(Main[[#This Row],[Class]]="A",WORKDAY(Main[[#This Row],[Tech Start Date]],5),""))))</f>
        <v/>
      </c>
      <c r="P1181" s="69" t="str">
        <f>IF(Main[[#This Row],[Tech Start Date]]&lt;1/1/1990,"",IF(Main[[#This Row],[Class]]="C",WORKDAY(Main[[#This Row],[Tech Start Date]],28),IF(Main[[#This Row],[Class]]="B", WORKDAY(Main[[#This Row],[Tech Start Date]],19),IF(Main[[#This Row],[Class]]="A",WORKDAY(Main[[#This Row],[Tech Start Date]],9),""))))</f>
        <v/>
      </c>
      <c r="Q1181" s="67">
        <v>40466</v>
      </c>
      <c r="R1181" s="67">
        <v>40868</v>
      </c>
      <c r="S1181" s="65" t="s">
        <v>17</v>
      </c>
      <c r="T1181" s="70" t="s">
        <v>4</v>
      </c>
      <c r="U1181" s="65" t="s">
        <v>29</v>
      </c>
      <c r="V1181" s="65" t="s">
        <v>1917</v>
      </c>
      <c r="W1181" s="65" t="s">
        <v>1920</v>
      </c>
      <c r="X1181" s="65" t="s">
        <v>306</v>
      </c>
      <c r="Y1181" s="65" t="s">
        <v>2949</v>
      </c>
      <c r="Z1181" s="65" t="s">
        <v>415</v>
      </c>
      <c r="AA1181" s="65" t="s">
        <v>415</v>
      </c>
    </row>
    <row r="1182" spans="1:27" ht="17.45" hidden="1" customHeight="1">
      <c r="A1182" s="100" t="str">
        <f>IF(priority(Main[[#This Row],[Comments]])&lt;&gt;0, priority(Main[[#This Row],[Comments]]),"")</f>
        <v/>
      </c>
      <c r="B1182" s="77" t="s">
        <v>1458</v>
      </c>
      <c r="C1182" s="65" t="s">
        <v>197</v>
      </c>
      <c r="D1182" s="66" t="s">
        <v>2517</v>
      </c>
      <c r="E1182" s="67">
        <v>40711.410266203704</v>
      </c>
      <c r="F1182" s="67"/>
      <c r="G1182" s="64" t="str">
        <f>IF(stdProdLT(Main[[#This Row],[Comments]])=0.1,"N/A",IF(stdProdLT(Main[[#This Row],[Comments]])=0,"",stdProdLT(Main[[#This Row],[Comments]])))</f>
        <v/>
      </c>
      <c r="H1182" s="68" t="str">
        <f>IF(AND(Main[[#This Row],[In Stock Date]]&lt;&gt;"",Main[[#This Row],[Revised Due Date]]&lt;&gt;""),Main[[#This Row],[In Stock Date]]-Main[[#This Row],[Revised Due Date]],"")</f>
        <v/>
      </c>
      <c r="I1182" s="65" t="s">
        <v>4</v>
      </c>
      <c r="J1182" s="65" t="s">
        <v>4</v>
      </c>
      <c r="K1182" s="65" t="s">
        <v>4</v>
      </c>
      <c r="L1182" s="67"/>
      <c r="M1182" s="69" t="str">
        <f>IF(Main[[#This Row],[Tech Start Date]]&lt;1/1/1990,"",IF(Main[[#This Row],[Class]]="C",WORKDAY(Main[[#This Row],[Tech Start Date]],9),IF(Main[[#This Row],[Class]]="B", WORKDAY(Main[[#This Row],[Tech Start Date]],6),IF(Main[[#This Row],[Class]]="A",WORKDAY(Main[[#This Row],[Tech Start Date]],2),""))))</f>
        <v/>
      </c>
      <c r="N1182" s="69" t="str">
        <f>IF(Main[[#This Row],[Tech Start Date]]&lt;1/1/1990,"",IF(Main[[#This Row],[Class]]="C",WORKDAY(Main[[#This Row],[Tech Start Date]],19),IF(Main[[#This Row],[Class]]="B", WORKDAY(Main[[#This Row],[Tech Start Date]],12),IF(Main[[#This Row],[Class]]="A",WORKDAY(Main[[#This Row],[Tech Start Date]],4),""))))</f>
        <v/>
      </c>
      <c r="O1182" s="69" t="str">
        <f>IF(Main[[#This Row],[Tech Start Date]]&lt;1/1/1990,"",IF(Main[[#This Row],[Class]]="C",WORKDAY(Main[[#This Row],[Tech Start Date]],23),IF(Main[[#This Row],[Class]]="B", WORKDAY(Main[[#This Row],[Tech Start Date]],15),IF(Main[[#This Row],[Class]]="A",WORKDAY(Main[[#This Row],[Tech Start Date]],5),""))))</f>
        <v/>
      </c>
      <c r="P1182" s="69" t="str">
        <f>IF(Main[[#This Row],[Tech Start Date]]&lt;1/1/1990,"",IF(Main[[#This Row],[Class]]="C",WORKDAY(Main[[#This Row],[Tech Start Date]],28),IF(Main[[#This Row],[Class]]="B", WORKDAY(Main[[#This Row],[Tech Start Date]],19),IF(Main[[#This Row],[Class]]="A",WORKDAY(Main[[#This Row],[Tech Start Date]],9),""))))</f>
        <v/>
      </c>
      <c r="Q1182" s="67">
        <v>40846</v>
      </c>
      <c r="R1182" s="67"/>
      <c r="S1182" s="65" t="s">
        <v>17</v>
      </c>
      <c r="T1182" s="70" t="s">
        <v>4</v>
      </c>
      <c r="U1182" s="65" t="s">
        <v>29</v>
      </c>
      <c r="V1182" s="65" t="s">
        <v>1917</v>
      </c>
      <c r="W1182" s="65" t="s">
        <v>1922</v>
      </c>
      <c r="X1182" s="65" t="s">
        <v>553</v>
      </c>
      <c r="Y1182" s="65" t="s">
        <v>2952</v>
      </c>
      <c r="Z1182" s="65" t="s">
        <v>4</v>
      </c>
      <c r="AA1182" s="65" t="s">
        <v>553</v>
      </c>
    </row>
    <row r="1183" spans="1:27" ht="17.45" hidden="1" customHeight="1">
      <c r="A1183" s="100">
        <f>IF(priority(Main[[#This Row],[Comments]])&lt;&gt;0, priority(Main[[#This Row],[Comments]]),"")</f>
        <v>40</v>
      </c>
      <c r="B1183" s="77" t="s">
        <v>1441</v>
      </c>
      <c r="C1183" s="65" t="s">
        <v>4</v>
      </c>
      <c r="D1183" s="66" t="s">
        <v>531</v>
      </c>
      <c r="E1183" s="67">
        <v>40358.575729166667</v>
      </c>
      <c r="F1183" s="67"/>
      <c r="G1183" s="64" t="str">
        <f>IF(stdProdLT(Main[[#This Row],[Comments]])=0.1,"N/A",IF(stdProdLT(Main[[#This Row],[Comments]])=0,"",stdProdLT(Main[[#This Row],[Comments]])))</f>
        <v/>
      </c>
      <c r="H1183" s="68" t="str">
        <f>IF(AND(Main[[#This Row],[In Stock Date]]&lt;&gt;"",Main[[#This Row],[Revised Due Date]]&lt;&gt;""),Main[[#This Row],[In Stock Date]]-Main[[#This Row],[Revised Due Date]],"")</f>
        <v/>
      </c>
      <c r="I1183" s="65" t="s">
        <v>4</v>
      </c>
      <c r="J1183" s="65" t="s">
        <v>21</v>
      </c>
      <c r="K1183" s="65" t="s">
        <v>4</v>
      </c>
      <c r="L1183" s="67"/>
      <c r="M1183" s="69" t="str">
        <f>IF(Main[[#This Row],[Tech Start Date]]&lt;1/1/1990,"",IF(Main[[#This Row],[Class]]="C",WORKDAY(Main[[#This Row],[Tech Start Date]],9),IF(Main[[#This Row],[Class]]="B", WORKDAY(Main[[#This Row],[Tech Start Date]],6),IF(Main[[#This Row],[Class]]="A",WORKDAY(Main[[#This Row],[Tech Start Date]],2),""))))</f>
        <v/>
      </c>
      <c r="N1183" s="69" t="str">
        <f>IF(Main[[#This Row],[Tech Start Date]]&lt;1/1/1990,"",IF(Main[[#This Row],[Class]]="C",WORKDAY(Main[[#This Row],[Tech Start Date]],19),IF(Main[[#This Row],[Class]]="B", WORKDAY(Main[[#This Row],[Tech Start Date]],12),IF(Main[[#This Row],[Class]]="A",WORKDAY(Main[[#This Row],[Tech Start Date]],4),""))))</f>
        <v/>
      </c>
      <c r="O1183" s="69" t="str">
        <f>IF(Main[[#This Row],[Tech Start Date]]&lt;1/1/1990,"",IF(Main[[#This Row],[Class]]="C",WORKDAY(Main[[#This Row],[Tech Start Date]],23),IF(Main[[#This Row],[Class]]="B", WORKDAY(Main[[#This Row],[Tech Start Date]],15),IF(Main[[#This Row],[Class]]="A",WORKDAY(Main[[#This Row],[Tech Start Date]],5),""))))</f>
        <v/>
      </c>
      <c r="P1183" s="69" t="str">
        <f>IF(Main[[#This Row],[Tech Start Date]]&lt;1/1/1990,"",IF(Main[[#This Row],[Class]]="C",WORKDAY(Main[[#This Row],[Tech Start Date]],28),IF(Main[[#This Row],[Class]]="B", WORKDAY(Main[[#This Row],[Tech Start Date]],19),IF(Main[[#This Row],[Class]]="A",WORKDAY(Main[[#This Row],[Tech Start Date]],9),""))))</f>
        <v/>
      </c>
      <c r="Q1183" s="67">
        <v>40389</v>
      </c>
      <c r="R1183" s="67"/>
      <c r="S1183" s="65" t="s">
        <v>6</v>
      </c>
      <c r="T1183" s="70" t="s">
        <v>2033</v>
      </c>
      <c r="U1183" s="65" t="s">
        <v>7</v>
      </c>
      <c r="V1183" s="65" t="s">
        <v>1914</v>
      </c>
      <c r="W1183" s="65" t="s">
        <v>1918</v>
      </c>
      <c r="X1183" s="65" t="s">
        <v>2819</v>
      </c>
      <c r="Y1183" s="65" t="s">
        <v>2932</v>
      </c>
      <c r="Z1183" s="65" t="s">
        <v>129</v>
      </c>
      <c r="AA1183" s="65" t="s">
        <v>2819</v>
      </c>
    </row>
    <row r="1184" spans="1:27" ht="17.45" hidden="1" customHeight="1">
      <c r="A1184" s="100">
        <f>IF(priority(Main[[#This Row],[Comments]])&lt;&gt;0, priority(Main[[#This Row],[Comments]]),"")</f>
        <v>18</v>
      </c>
      <c r="B1184" s="77" t="s">
        <v>1233</v>
      </c>
      <c r="C1184" s="65" t="s">
        <v>294</v>
      </c>
      <c r="D1184" s="66" t="s">
        <v>2310</v>
      </c>
      <c r="E1184" s="67">
        <v>40466.671342592592</v>
      </c>
      <c r="F1184" s="67"/>
      <c r="G1184" s="64" t="str">
        <f>IF(stdProdLT(Main[[#This Row],[Comments]])=0.1,"N/A",IF(stdProdLT(Main[[#This Row],[Comments]])=0,"",stdProdLT(Main[[#This Row],[Comments]])))</f>
        <v/>
      </c>
      <c r="H1184" s="68" t="str">
        <f>IF(AND(Main[[#This Row],[In Stock Date]]&lt;&gt;"",Main[[#This Row],[Revised Due Date]]&lt;&gt;""),Main[[#This Row],[In Stock Date]]-Main[[#This Row],[Revised Due Date]],"")</f>
        <v/>
      </c>
      <c r="I1184" s="65" t="s">
        <v>4</v>
      </c>
      <c r="J1184" s="65" t="s">
        <v>28</v>
      </c>
      <c r="K1184" s="65" t="s">
        <v>4</v>
      </c>
      <c r="L1184" s="67"/>
      <c r="M1184" s="69" t="str">
        <f>IF(Main[[#This Row],[Tech Start Date]]&lt;1/1/1990,"",IF(Main[[#This Row],[Class]]="C",WORKDAY(Main[[#This Row],[Tech Start Date]],9),IF(Main[[#This Row],[Class]]="B", WORKDAY(Main[[#This Row],[Tech Start Date]],6),IF(Main[[#This Row],[Class]]="A",WORKDAY(Main[[#This Row],[Tech Start Date]],2),""))))</f>
        <v/>
      </c>
      <c r="N1184" s="69" t="str">
        <f>IF(Main[[#This Row],[Tech Start Date]]&lt;1/1/1990,"",IF(Main[[#This Row],[Class]]="C",WORKDAY(Main[[#This Row],[Tech Start Date]],19),IF(Main[[#This Row],[Class]]="B", WORKDAY(Main[[#This Row],[Tech Start Date]],12),IF(Main[[#This Row],[Class]]="A",WORKDAY(Main[[#This Row],[Tech Start Date]],4),""))))</f>
        <v/>
      </c>
      <c r="O1184" s="69" t="str">
        <f>IF(Main[[#This Row],[Tech Start Date]]&lt;1/1/1990,"",IF(Main[[#This Row],[Class]]="C",WORKDAY(Main[[#This Row],[Tech Start Date]],23),IF(Main[[#This Row],[Class]]="B", WORKDAY(Main[[#This Row],[Tech Start Date]],15),IF(Main[[#This Row],[Class]]="A",WORKDAY(Main[[#This Row],[Tech Start Date]],5),""))))</f>
        <v/>
      </c>
      <c r="P1184" s="69" t="str">
        <f>IF(Main[[#This Row],[Tech Start Date]]&lt;1/1/1990,"",IF(Main[[#This Row],[Class]]="C",WORKDAY(Main[[#This Row],[Tech Start Date]],28),IF(Main[[#This Row],[Class]]="B", WORKDAY(Main[[#This Row],[Tech Start Date]],19),IF(Main[[#This Row],[Class]]="A",WORKDAY(Main[[#This Row],[Tech Start Date]],9),""))))</f>
        <v/>
      </c>
      <c r="Q1184" s="67"/>
      <c r="R1184" s="67"/>
      <c r="S1184" s="65" t="s">
        <v>6</v>
      </c>
      <c r="T1184" s="70" t="s">
        <v>2657</v>
      </c>
      <c r="U1184" s="65" t="s">
        <v>7</v>
      </c>
      <c r="V1184" s="65" t="s">
        <v>1914</v>
      </c>
      <c r="W1184" s="65" t="s">
        <v>1922</v>
      </c>
      <c r="X1184" s="65" t="s">
        <v>883</v>
      </c>
      <c r="Y1184" s="65" t="s">
        <v>2963</v>
      </c>
      <c r="Z1184" s="65" t="s">
        <v>129</v>
      </c>
      <c r="AA1184" s="65" t="s">
        <v>883</v>
      </c>
    </row>
    <row r="1185" spans="1:27" ht="17.45" hidden="1" customHeight="1">
      <c r="A1185" s="100">
        <f>IF(priority(Main[[#This Row],[Comments]])&lt;&gt;0, priority(Main[[#This Row],[Comments]]),"")</f>
        <v>30</v>
      </c>
      <c r="B1185" s="77" t="s">
        <v>1030</v>
      </c>
      <c r="C1185" s="65" t="s">
        <v>37</v>
      </c>
      <c r="D1185" s="66" t="s">
        <v>2306</v>
      </c>
      <c r="E1185" s="67">
        <v>40578.593101851853</v>
      </c>
      <c r="F1185" s="67">
        <v>40603</v>
      </c>
      <c r="G1185" s="64" t="str">
        <f>IF(stdProdLT(Main[[#This Row],[Comments]])=0.1,"N/A",IF(stdProdLT(Main[[#This Row],[Comments]])=0,"",stdProdLT(Main[[#This Row],[Comments]])))</f>
        <v/>
      </c>
      <c r="H1185" s="68" t="str">
        <f>IF(AND(Main[[#This Row],[In Stock Date]]&lt;&gt;"",Main[[#This Row],[Revised Due Date]]&lt;&gt;""),Main[[#This Row],[In Stock Date]]-Main[[#This Row],[Revised Due Date]],"")</f>
        <v/>
      </c>
      <c r="I1185" s="65" t="s">
        <v>50</v>
      </c>
      <c r="J1185" s="65" t="s">
        <v>51</v>
      </c>
      <c r="K1185" s="65" t="s">
        <v>1923</v>
      </c>
      <c r="L1185" s="67"/>
      <c r="M1185" s="69" t="str">
        <f>IF(Main[[#This Row],[Tech Start Date]]&lt;1/1/1990,"",IF(Main[[#This Row],[Class]]="C",WORKDAY(Main[[#This Row],[Tech Start Date]],9),IF(Main[[#This Row],[Class]]="B", WORKDAY(Main[[#This Row],[Tech Start Date]],6),IF(Main[[#This Row],[Class]]="A",WORKDAY(Main[[#This Row],[Tech Start Date]],2),""))))</f>
        <v/>
      </c>
      <c r="N1185" s="69" t="str">
        <f>IF(Main[[#This Row],[Tech Start Date]]&lt;1/1/1990,"",IF(Main[[#This Row],[Class]]="C",WORKDAY(Main[[#This Row],[Tech Start Date]],19),IF(Main[[#This Row],[Class]]="B", WORKDAY(Main[[#This Row],[Tech Start Date]],12),IF(Main[[#This Row],[Class]]="A",WORKDAY(Main[[#This Row],[Tech Start Date]],4),""))))</f>
        <v/>
      </c>
      <c r="O1185" s="69" t="str">
        <f>IF(Main[[#This Row],[Tech Start Date]]&lt;1/1/1990,"",IF(Main[[#This Row],[Class]]="C",WORKDAY(Main[[#This Row],[Tech Start Date]],23),IF(Main[[#This Row],[Class]]="B", WORKDAY(Main[[#This Row],[Tech Start Date]],15),IF(Main[[#This Row],[Class]]="A",WORKDAY(Main[[#This Row],[Tech Start Date]],5),""))))</f>
        <v/>
      </c>
      <c r="P1185" s="69" t="str">
        <f>IF(Main[[#This Row],[Tech Start Date]]&lt;1/1/1990,"",IF(Main[[#This Row],[Class]]="C",WORKDAY(Main[[#This Row],[Tech Start Date]],28),IF(Main[[#This Row],[Class]]="B", WORKDAY(Main[[#This Row],[Tech Start Date]],19),IF(Main[[#This Row],[Class]]="A",WORKDAY(Main[[#This Row],[Tech Start Date]],9),""))))</f>
        <v/>
      </c>
      <c r="Q1185" s="67">
        <v>40603</v>
      </c>
      <c r="R1185" s="67"/>
      <c r="S1185" s="65" t="s">
        <v>6</v>
      </c>
      <c r="T1185" s="70" t="s">
        <v>2268</v>
      </c>
      <c r="U1185" s="65" t="s">
        <v>29</v>
      </c>
      <c r="V1185" s="65" t="s">
        <v>1914</v>
      </c>
      <c r="W1185" s="65" t="s">
        <v>1925</v>
      </c>
      <c r="X1185" s="65" t="s">
        <v>883</v>
      </c>
      <c r="Y1185" s="65" t="s">
        <v>2963</v>
      </c>
      <c r="Z1185" s="65" t="s">
        <v>129</v>
      </c>
      <c r="AA1185" s="65" t="s">
        <v>883</v>
      </c>
    </row>
    <row r="1186" spans="1:27" ht="17.45" hidden="1" customHeight="1">
      <c r="A1186" s="100">
        <f>IF(priority(Main[[#This Row],[Comments]])&lt;&gt;0, priority(Main[[#This Row],[Comments]]),"")</f>
        <v>33</v>
      </c>
      <c r="B1186" s="77" t="s">
        <v>1080</v>
      </c>
      <c r="C1186" s="65" t="s">
        <v>122</v>
      </c>
      <c r="D1186" s="66" t="s">
        <v>123</v>
      </c>
      <c r="E1186" s="67">
        <v>40534.411678240744</v>
      </c>
      <c r="F1186" s="67">
        <v>40541</v>
      </c>
      <c r="G1186" s="64" t="str">
        <f>IF(stdProdLT(Main[[#This Row],[Comments]])=0.1,"N/A",IF(stdProdLT(Main[[#This Row],[Comments]])=0,"",stdProdLT(Main[[#This Row],[Comments]])))</f>
        <v/>
      </c>
      <c r="H1186" s="68" t="str">
        <f>IF(AND(Main[[#This Row],[In Stock Date]]&lt;&gt;"",Main[[#This Row],[Revised Due Date]]&lt;&gt;""),Main[[#This Row],[In Stock Date]]-Main[[#This Row],[Revised Due Date]],"")</f>
        <v/>
      </c>
      <c r="I1186" s="65" t="s">
        <v>4</v>
      </c>
      <c r="J1186" s="65" t="s">
        <v>28</v>
      </c>
      <c r="K1186" s="65" t="s">
        <v>1923</v>
      </c>
      <c r="L1186" s="67"/>
      <c r="M1186" s="69" t="str">
        <f>IF(Main[[#This Row],[Tech Start Date]]&lt;1/1/1990,"",IF(Main[[#This Row],[Class]]="C",WORKDAY(Main[[#This Row],[Tech Start Date]],9),IF(Main[[#This Row],[Class]]="B", WORKDAY(Main[[#This Row],[Tech Start Date]],6),IF(Main[[#This Row],[Class]]="A",WORKDAY(Main[[#This Row],[Tech Start Date]],2),""))))</f>
        <v/>
      </c>
      <c r="N1186" s="69" t="str">
        <f>IF(Main[[#This Row],[Tech Start Date]]&lt;1/1/1990,"",IF(Main[[#This Row],[Class]]="C",WORKDAY(Main[[#This Row],[Tech Start Date]],19),IF(Main[[#This Row],[Class]]="B", WORKDAY(Main[[#This Row],[Tech Start Date]],12),IF(Main[[#This Row],[Class]]="A",WORKDAY(Main[[#This Row],[Tech Start Date]],4),""))))</f>
        <v/>
      </c>
      <c r="O1186" s="69" t="str">
        <f>IF(Main[[#This Row],[Tech Start Date]]&lt;1/1/1990,"",IF(Main[[#This Row],[Class]]="C",WORKDAY(Main[[#This Row],[Tech Start Date]],23),IF(Main[[#This Row],[Class]]="B", WORKDAY(Main[[#This Row],[Tech Start Date]],15),IF(Main[[#This Row],[Class]]="A",WORKDAY(Main[[#This Row],[Tech Start Date]],5),""))))</f>
        <v/>
      </c>
      <c r="P1186" s="69" t="str">
        <f>IF(Main[[#This Row],[Tech Start Date]]&lt;1/1/1990,"",IF(Main[[#This Row],[Class]]="C",WORKDAY(Main[[#This Row],[Tech Start Date]],28),IF(Main[[#This Row],[Class]]="B", WORKDAY(Main[[#This Row],[Tech Start Date]],19),IF(Main[[#This Row],[Class]]="A",WORKDAY(Main[[#This Row],[Tech Start Date]],9),""))))</f>
        <v/>
      </c>
      <c r="Q1186" s="67">
        <v>40541</v>
      </c>
      <c r="R1186" s="67"/>
      <c r="S1186" s="65" t="s">
        <v>6</v>
      </c>
      <c r="T1186" s="70" t="s">
        <v>325</v>
      </c>
      <c r="U1186" s="65" t="s">
        <v>7</v>
      </c>
      <c r="V1186" s="65" t="s">
        <v>1914</v>
      </c>
      <c r="W1186" s="65" t="s">
        <v>1918</v>
      </c>
      <c r="X1186" s="65" t="s">
        <v>2817</v>
      </c>
      <c r="Y1186" s="65" t="s">
        <v>3130</v>
      </c>
      <c r="Z1186" s="65" t="s">
        <v>129</v>
      </c>
      <c r="AA1186" s="65" t="s">
        <v>2817</v>
      </c>
    </row>
    <row r="1187" spans="1:27" ht="17.45" hidden="1" customHeight="1">
      <c r="A1187" s="100" t="str">
        <f>IF(priority(Main[[#This Row],[Comments]])&lt;&gt;0, priority(Main[[#This Row],[Comments]]),"")</f>
        <v/>
      </c>
      <c r="B1187" s="77" t="s">
        <v>2576</v>
      </c>
      <c r="C1187" s="65" t="s">
        <v>4</v>
      </c>
      <c r="D1187" s="66" t="s">
        <v>726</v>
      </c>
      <c r="E1187" s="67"/>
      <c r="F1187" s="67"/>
      <c r="G1187" s="64" t="str">
        <f>IF(stdProdLT(Main[[#This Row],[Comments]])=0.1,"N/A",IF(stdProdLT(Main[[#This Row],[Comments]])=0,"",stdProdLT(Main[[#This Row],[Comments]])))</f>
        <v/>
      </c>
      <c r="H1187" s="68" t="str">
        <f>IF(AND(Main[[#This Row],[In Stock Date]]&lt;&gt;"",Main[[#This Row],[Revised Due Date]]&lt;&gt;""),Main[[#This Row],[In Stock Date]]-Main[[#This Row],[Revised Due Date]],"")</f>
        <v/>
      </c>
      <c r="I1187" s="65" t="s">
        <v>4</v>
      </c>
      <c r="J1187" s="65" t="s">
        <v>4</v>
      </c>
      <c r="K1187" s="65" t="s">
        <v>4</v>
      </c>
      <c r="L1187" s="67"/>
      <c r="M1187" s="69" t="str">
        <f>IF(Main[[#This Row],[Tech Start Date]]&lt;1/1/1990,"",IF(Main[[#This Row],[Class]]="C",WORKDAY(Main[[#This Row],[Tech Start Date]],9),IF(Main[[#This Row],[Class]]="B", WORKDAY(Main[[#This Row],[Tech Start Date]],6),IF(Main[[#This Row],[Class]]="A",WORKDAY(Main[[#This Row],[Tech Start Date]],2),""))))</f>
        <v/>
      </c>
      <c r="N1187" s="69" t="str">
        <f>IF(Main[[#This Row],[Tech Start Date]]&lt;1/1/1990,"",IF(Main[[#This Row],[Class]]="C",WORKDAY(Main[[#This Row],[Tech Start Date]],19),IF(Main[[#This Row],[Class]]="B", WORKDAY(Main[[#This Row],[Tech Start Date]],12),IF(Main[[#This Row],[Class]]="A",WORKDAY(Main[[#This Row],[Tech Start Date]],4),""))))</f>
        <v/>
      </c>
      <c r="O1187" s="69" t="str">
        <f>IF(Main[[#This Row],[Tech Start Date]]&lt;1/1/1990,"",IF(Main[[#This Row],[Class]]="C",WORKDAY(Main[[#This Row],[Tech Start Date]],23),IF(Main[[#This Row],[Class]]="B", WORKDAY(Main[[#This Row],[Tech Start Date]],15),IF(Main[[#This Row],[Class]]="A",WORKDAY(Main[[#This Row],[Tech Start Date]],5),""))))</f>
        <v/>
      </c>
      <c r="P1187" s="69" t="str">
        <f>IF(Main[[#This Row],[Tech Start Date]]&lt;1/1/1990,"",IF(Main[[#This Row],[Class]]="C",WORKDAY(Main[[#This Row],[Tech Start Date]],28),IF(Main[[#This Row],[Class]]="B", WORKDAY(Main[[#This Row],[Tech Start Date]],19),IF(Main[[#This Row],[Class]]="A",WORKDAY(Main[[#This Row],[Tech Start Date]],9),""))))</f>
        <v/>
      </c>
      <c r="Q1187" s="67"/>
      <c r="R1187" s="67"/>
      <c r="S1187" s="65" t="s">
        <v>4</v>
      </c>
      <c r="T1187" s="70" t="s">
        <v>4</v>
      </c>
      <c r="U1187" s="65" t="s">
        <v>14</v>
      </c>
      <c r="V1187" s="65" t="s">
        <v>1917</v>
      </c>
      <c r="W1187" s="65" t="s">
        <v>4</v>
      </c>
      <c r="X1187" s="65" t="s">
        <v>306</v>
      </c>
      <c r="Y1187" s="65" t="s">
        <v>4</v>
      </c>
      <c r="Z1187" s="65" t="s">
        <v>4</v>
      </c>
      <c r="AA1187" s="65" t="s">
        <v>4</v>
      </c>
    </row>
    <row r="1188" spans="1:27" ht="17.45" hidden="1" customHeight="1">
      <c r="A1188" s="100" t="str">
        <f>IF(priority(Main[[#This Row],[Comments]])&lt;&gt;0, priority(Main[[#This Row],[Comments]]),"")</f>
        <v/>
      </c>
      <c r="B1188" s="77" t="s">
        <v>3362</v>
      </c>
      <c r="C1188" s="65" t="s">
        <v>47</v>
      </c>
      <c r="D1188" s="66" t="s">
        <v>3363</v>
      </c>
      <c r="E1188" s="67">
        <v>40938.56958333333</v>
      </c>
      <c r="F1188" s="67"/>
      <c r="G1188" s="64" t="str">
        <f>IF(stdProdLT(Main[[#This Row],[Comments]])=0.1,"N/A",IF(stdProdLT(Main[[#This Row],[Comments]])=0,"",stdProdLT(Main[[#This Row],[Comments]])))</f>
        <v/>
      </c>
      <c r="H1188" s="68" t="str">
        <f>IF(AND(Main[[#This Row],[In Stock Date]]&lt;&gt;"",Main[[#This Row],[Revised Due Date]]&lt;&gt;""),Main[[#This Row],[In Stock Date]]-Main[[#This Row],[Revised Due Date]],"")</f>
        <v/>
      </c>
      <c r="I1188" s="65" t="s">
        <v>4</v>
      </c>
      <c r="J1188" s="65" t="s">
        <v>4</v>
      </c>
      <c r="K1188" s="65" t="s">
        <v>4</v>
      </c>
      <c r="L1188" s="67"/>
      <c r="M1188" s="69" t="str">
        <f>IF(Main[[#This Row],[Tech Start Date]]&lt;1/1/1990,"",IF(Main[[#This Row],[Class]]="C",WORKDAY(Main[[#This Row],[Tech Start Date]],9),IF(Main[[#This Row],[Class]]="B", WORKDAY(Main[[#This Row],[Tech Start Date]],6),IF(Main[[#This Row],[Class]]="A",WORKDAY(Main[[#This Row],[Tech Start Date]],2),""))))</f>
        <v/>
      </c>
      <c r="N1188" s="69" t="str">
        <f>IF(Main[[#This Row],[Tech Start Date]]&lt;1/1/1990,"",IF(Main[[#This Row],[Class]]="C",WORKDAY(Main[[#This Row],[Tech Start Date]],19),IF(Main[[#This Row],[Class]]="B", WORKDAY(Main[[#This Row],[Tech Start Date]],12),IF(Main[[#This Row],[Class]]="A",WORKDAY(Main[[#This Row],[Tech Start Date]],4),""))))</f>
        <v/>
      </c>
      <c r="O1188" s="69" t="str">
        <f>IF(Main[[#This Row],[Tech Start Date]]&lt;1/1/1990,"",IF(Main[[#This Row],[Class]]="C",WORKDAY(Main[[#This Row],[Tech Start Date]],23),IF(Main[[#This Row],[Class]]="B", WORKDAY(Main[[#This Row],[Tech Start Date]],15),IF(Main[[#This Row],[Class]]="A",WORKDAY(Main[[#This Row],[Tech Start Date]],5),""))))</f>
        <v/>
      </c>
      <c r="P1188" s="69" t="str">
        <f>IF(Main[[#This Row],[Tech Start Date]]&lt;1/1/1990,"",IF(Main[[#This Row],[Class]]="C",WORKDAY(Main[[#This Row],[Tech Start Date]],28),IF(Main[[#This Row],[Class]]="B", WORKDAY(Main[[#This Row],[Tech Start Date]],19),IF(Main[[#This Row],[Class]]="A",WORKDAY(Main[[#This Row],[Tech Start Date]],9),""))))</f>
        <v/>
      </c>
      <c r="Q1188" s="67">
        <v>40964</v>
      </c>
      <c r="R1188" s="67"/>
      <c r="S1188" s="65" t="s">
        <v>6</v>
      </c>
      <c r="T1188" s="70" t="s">
        <v>4</v>
      </c>
      <c r="U1188" s="65" t="s">
        <v>7</v>
      </c>
      <c r="V1188" s="65" t="s">
        <v>2283</v>
      </c>
      <c r="W1188" s="65" t="s">
        <v>4</v>
      </c>
      <c r="X1188" s="65" t="s">
        <v>2865</v>
      </c>
      <c r="Y1188" s="65" t="s">
        <v>3010</v>
      </c>
      <c r="Z1188" s="65" t="s">
        <v>4</v>
      </c>
      <c r="AA1188" s="65" t="s">
        <v>2865</v>
      </c>
    </row>
    <row r="1189" spans="1:27" ht="17.45" hidden="1" customHeight="1">
      <c r="A1189" s="100" t="str">
        <f>IF(priority(Main[[#This Row],[Comments]])&lt;&gt;0, priority(Main[[#This Row],[Comments]]),"")</f>
        <v/>
      </c>
      <c r="B1189" s="77" t="s">
        <v>1864</v>
      </c>
      <c r="C1189" s="65" t="s">
        <v>47</v>
      </c>
      <c r="D1189" s="66" t="s">
        <v>920</v>
      </c>
      <c r="E1189" s="67">
        <v>39937.596770833334</v>
      </c>
      <c r="F1189" s="67"/>
      <c r="G1189" s="64" t="str">
        <f>IF(stdProdLT(Main[[#This Row],[Comments]])=0.1,"N/A",IF(stdProdLT(Main[[#This Row],[Comments]])=0,"",stdProdLT(Main[[#This Row],[Comments]])))</f>
        <v/>
      </c>
      <c r="H1189" s="68" t="str">
        <f>IF(AND(Main[[#This Row],[In Stock Date]]&lt;&gt;"",Main[[#This Row],[Revised Due Date]]&lt;&gt;""),Main[[#This Row],[In Stock Date]]-Main[[#This Row],[Revised Due Date]],"")</f>
        <v/>
      </c>
      <c r="I1189" s="65" t="s">
        <v>974</v>
      </c>
      <c r="J1189" s="65" t="s">
        <v>4</v>
      </c>
      <c r="K1189" s="65" t="s">
        <v>1926</v>
      </c>
      <c r="L1189" s="67"/>
      <c r="M1189" s="69" t="str">
        <f>IF(Main[[#This Row],[Tech Start Date]]&lt;1/1/1990,"",IF(Main[[#This Row],[Class]]="C",WORKDAY(Main[[#This Row],[Tech Start Date]],9),IF(Main[[#This Row],[Class]]="B", WORKDAY(Main[[#This Row],[Tech Start Date]],6),IF(Main[[#This Row],[Class]]="A",WORKDAY(Main[[#This Row],[Tech Start Date]],2),""))))</f>
        <v/>
      </c>
      <c r="N1189" s="69" t="str">
        <f>IF(Main[[#This Row],[Tech Start Date]]&lt;1/1/1990,"",IF(Main[[#This Row],[Class]]="C",WORKDAY(Main[[#This Row],[Tech Start Date]],19),IF(Main[[#This Row],[Class]]="B", WORKDAY(Main[[#This Row],[Tech Start Date]],12),IF(Main[[#This Row],[Class]]="A",WORKDAY(Main[[#This Row],[Tech Start Date]],4),""))))</f>
        <v/>
      </c>
      <c r="O1189" s="69" t="str">
        <f>IF(Main[[#This Row],[Tech Start Date]]&lt;1/1/1990,"",IF(Main[[#This Row],[Class]]="C",WORKDAY(Main[[#This Row],[Tech Start Date]],23),IF(Main[[#This Row],[Class]]="B", WORKDAY(Main[[#This Row],[Tech Start Date]],15),IF(Main[[#This Row],[Class]]="A",WORKDAY(Main[[#This Row],[Tech Start Date]],5),""))))</f>
        <v/>
      </c>
      <c r="P1189" s="69" t="str">
        <f>IF(Main[[#This Row],[Tech Start Date]]&lt;1/1/1990,"",IF(Main[[#This Row],[Class]]="C",WORKDAY(Main[[#This Row],[Tech Start Date]],28),IF(Main[[#This Row],[Class]]="B", WORKDAY(Main[[#This Row],[Tech Start Date]],19),IF(Main[[#This Row],[Class]]="A",WORKDAY(Main[[#This Row],[Tech Start Date]],9),""))))</f>
        <v/>
      </c>
      <c r="Q1189" s="67"/>
      <c r="R1189" s="67">
        <v>40999</v>
      </c>
      <c r="S1189" s="65" t="s">
        <v>17</v>
      </c>
      <c r="T1189" s="70" t="s">
        <v>4</v>
      </c>
      <c r="U1189" s="65" t="s">
        <v>29</v>
      </c>
      <c r="V1189" s="65" t="s">
        <v>1917</v>
      </c>
      <c r="W1189" s="65" t="s">
        <v>1919</v>
      </c>
      <c r="X1189" s="65" t="s">
        <v>2827</v>
      </c>
      <c r="Y1189" s="65" t="s">
        <v>2948</v>
      </c>
      <c r="Z1189" s="65" t="s">
        <v>415</v>
      </c>
      <c r="AA1189" s="65" t="s">
        <v>2827</v>
      </c>
    </row>
    <row r="1190" spans="1:27" ht="17.45" hidden="1" customHeight="1">
      <c r="A1190" s="100" t="str">
        <f>IF(priority(Main[[#This Row],[Comments]])&lt;&gt;0, priority(Main[[#This Row],[Comments]]),"")</f>
        <v/>
      </c>
      <c r="B1190" s="77" t="s">
        <v>3364</v>
      </c>
      <c r="C1190" s="65" t="s">
        <v>2354</v>
      </c>
      <c r="D1190" s="66" t="s">
        <v>3336</v>
      </c>
      <c r="E1190" s="67"/>
      <c r="F1190" s="67">
        <v>41030</v>
      </c>
      <c r="G1190" s="64" t="str">
        <f>IF(stdProdLT(Main[[#This Row],[Comments]])=0.1,"N/A",IF(stdProdLT(Main[[#This Row],[Comments]])=0,"",stdProdLT(Main[[#This Row],[Comments]])))</f>
        <v/>
      </c>
      <c r="H1190" s="68" t="str">
        <f>IF(AND(Main[[#This Row],[In Stock Date]]&lt;&gt;"",Main[[#This Row],[Revised Due Date]]&lt;&gt;""),Main[[#This Row],[In Stock Date]]-Main[[#This Row],[Revised Due Date]],"")</f>
        <v/>
      </c>
      <c r="I1190" s="65" t="s">
        <v>4</v>
      </c>
      <c r="J1190" s="65" t="s">
        <v>4</v>
      </c>
      <c r="K1190" s="65" t="s">
        <v>4</v>
      </c>
      <c r="L1190" s="67"/>
      <c r="M1190" s="69" t="str">
        <f>IF(Main[[#This Row],[Tech Start Date]]&lt;1/1/1990,"",IF(Main[[#This Row],[Class]]="C",WORKDAY(Main[[#This Row],[Tech Start Date]],9),IF(Main[[#This Row],[Class]]="B", WORKDAY(Main[[#This Row],[Tech Start Date]],6),IF(Main[[#This Row],[Class]]="A",WORKDAY(Main[[#This Row],[Tech Start Date]],2),""))))</f>
        <v/>
      </c>
      <c r="N1190" s="69" t="str">
        <f>IF(Main[[#This Row],[Tech Start Date]]&lt;1/1/1990,"",IF(Main[[#This Row],[Class]]="C",WORKDAY(Main[[#This Row],[Tech Start Date]],19),IF(Main[[#This Row],[Class]]="B", WORKDAY(Main[[#This Row],[Tech Start Date]],12),IF(Main[[#This Row],[Class]]="A",WORKDAY(Main[[#This Row],[Tech Start Date]],4),""))))</f>
        <v/>
      </c>
      <c r="O1190" s="69" t="str">
        <f>IF(Main[[#This Row],[Tech Start Date]]&lt;1/1/1990,"",IF(Main[[#This Row],[Class]]="C",WORKDAY(Main[[#This Row],[Tech Start Date]],23),IF(Main[[#This Row],[Class]]="B", WORKDAY(Main[[#This Row],[Tech Start Date]],15),IF(Main[[#This Row],[Class]]="A",WORKDAY(Main[[#This Row],[Tech Start Date]],5),""))))</f>
        <v/>
      </c>
      <c r="P1190" s="69" t="str">
        <f>IF(Main[[#This Row],[Tech Start Date]]&lt;1/1/1990,"",IF(Main[[#This Row],[Class]]="C",WORKDAY(Main[[#This Row],[Tech Start Date]],28),IF(Main[[#This Row],[Class]]="B", WORKDAY(Main[[#This Row],[Tech Start Date]],19),IF(Main[[#This Row],[Class]]="A",WORKDAY(Main[[#This Row],[Tech Start Date]],9),""))))</f>
        <v/>
      </c>
      <c r="Q1190" s="67">
        <v>40890</v>
      </c>
      <c r="R1190" s="67"/>
      <c r="S1190" s="65" t="s">
        <v>11</v>
      </c>
      <c r="T1190" s="70" t="s">
        <v>4</v>
      </c>
      <c r="U1190" s="65" t="s">
        <v>12</v>
      </c>
      <c r="V1190" s="65" t="s">
        <v>1924</v>
      </c>
      <c r="W1190" s="65" t="s">
        <v>1922</v>
      </c>
      <c r="X1190" s="65" t="s">
        <v>2843</v>
      </c>
      <c r="Y1190" s="65" t="s">
        <v>4</v>
      </c>
      <c r="Z1190" s="65" t="s">
        <v>4</v>
      </c>
      <c r="AA1190" s="65" t="s">
        <v>2843</v>
      </c>
    </row>
    <row r="1191" spans="1:27" ht="17.45" hidden="1" customHeight="1">
      <c r="A1191" s="100" t="str">
        <f>IF(priority(Main[[#This Row],[Comments]])&lt;&gt;0, priority(Main[[#This Row],[Comments]]),"")</f>
        <v/>
      </c>
      <c r="B1191" s="77" t="s">
        <v>2164</v>
      </c>
      <c r="C1191" s="65" t="s">
        <v>4</v>
      </c>
      <c r="D1191" s="66" t="s">
        <v>2585</v>
      </c>
      <c r="E1191" s="67">
        <v>40780.676446759258</v>
      </c>
      <c r="F1191" s="67"/>
      <c r="G1191" s="64" t="str">
        <f>IF(stdProdLT(Main[[#This Row],[Comments]])=0.1,"N/A",IF(stdProdLT(Main[[#This Row],[Comments]])=0,"",stdProdLT(Main[[#This Row],[Comments]])))</f>
        <v/>
      </c>
      <c r="H1191" s="68" t="str">
        <f>IF(AND(Main[[#This Row],[In Stock Date]]&lt;&gt;"",Main[[#This Row],[Revised Due Date]]&lt;&gt;""),Main[[#This Row],[In Stock Date]]-Main[[#This Row],[Revised Due Date]],"")</f>
        <v/>
      </c>
      <c r="I1191" s="65" t="s">
        <v>4</v>
      </c>
      <c r="J1191" s="65" t="s">
        <v>4</v>
      </c>
      <c r="K1191" s="65" t="s">
        <v>4</v>
      </c>
      <c r="L1191" s="67"/>
      <c r="M1191" s="69" t="str">
        <f>IF(Main[[#This Row],[Tech Start Date]]&lt;1/1/1990,"",IF(Main[[#This Row],[Class]]="C",WORKDAY(Main[[#This Row],[Tech Start Date]],9),IF(Main[[#This Row],[Class]]="B", WORKDAY(Main[[#This Row],[Tech Start Date]],6),IF(Main[[#This Row],[Class]]="A",WORKDAY(Main[[#This Row],[Tech Start Date]],2),""))))</f>
        <v/>
      </c>
      <c r="N1191" s="69" t="str">
        <f>IF(Main[[#This Row],[Tech Start Date]]&lt;1/1/1990,"",IF(Main[[#This Row],[Class]]="C",WORKDAY(Main[[#This Row],[Tech Start Date]],19),IF(Main[[#This Row],[Class]]="B", WORKDAY(Main[[#This Row],[Tech Start Date]],12),IF(Main[[#This Row],[Class]]="A",WORKDAY(Main[[#This Row],[Tech Start Date]],4),""))))</f>
        <v/>
      </c>
      <c r="O1191" s="69" t="str">
        <f>IF(Main[[#This Row],[Tech Start Date]]&lt;1/1/1990,"",IF(Main[[#This Row],[Class]]="C",WORKDAY(Main[[#This Row],[Tech Start Date]],23),IF(Main[[#This Row],[Class]]="B", WORKDAY(Main[[#This Row],[Tech Start Date]],15),IF(Main[[#This Row],[Class]]="A",WORKDAY(Main[[#This Row],[Tech Start Date]],5),""))))</f>
        <v/>
      </c>
      <c r="P1191" s="69" t="str">
        <f>IF(Main[[#This Row],[Tech Start Date]]&lt;1/1/1990,"",IF(Main[[#This Row],[Class]]="C",WORKDAY(Main[[#This Row],[Tech Start Date]],28),IF(Main[[#This Row],[Class]]="B", WORKDAY(Main[[#This Row],[Tech Start Date]],19),IF(Main[[#This Row],[Class]]="A",WORKDAY(Main[[#This Row],[Tech Start Date]],9),""))))</f>
        <v/>
      </c>
      <c r="Q1191" s="67">
        <v>40787</v>
      </c>
      <c r="R1191" s="67"/>
      <c r="S1191" s="65" t="s">
        <v>6</v>
      </c>
      <c r="T1191" s="70" t="s">
        <v>4</v>
      </c>
      <c r="U1191" s="65" t="s">
        <v>7</v>
      </c>
      <c r="V1191" s="65" t="s">
        <v>1914</v>
      </c>
      <c r="W1191" s="65" t="s">
        <v>1922</v>
      </c>
      <c r="X1191" s="65" t="s">
        <v>2821</v>
      </c>
      <c r="Y1191" s="65" t="s">
        <v>2936</v>
      </c>
      <c r="Z1191" s="65" t="s">
        <v>4</v>
      </c>
      <c r="AA1191" s="65" t="s">
        <v>2821</v>
      </c>
    </row>
    <row r="1192" spans="1:27" ht="17.45" hidden="1" customHeight="1">
      <c r="A1192" s="100" t="str">
        <f>IF(priority(Main[[#This Row],[Comments]])&lt;&gt;0, priority(Main[[#This Row],[Comments]]),"")</f>
        <v/>
      </c>
      <c r="B1192" s="77" t="s">
        <v>3483</v>
      </c>
      <c r="C1192" s="65" t="s">
        <v>3484</v>
      </c>
      <c r="D1192" s="66" t="s">
        <v>3485</v>
      </c>
      <c r="E1192" s="67">
        <v>40940.978842592594</v>
      </c>
      <c r="F1192" s="67">
        <v>41116</v>
      </c>
      <c r="G1192" s="64">
        <f>IF(stdProdLT(Main[[#This Row],[Comments]])=0.1,"N/A",IF(stdProdLT(Main[[#This Row],[Comments]])=0,"",stdProdLT(Main[[#This Row],[Comments]])))</f>
        <v>140</v>
      </c>
      <c r="H1192" s="68" t="str">
        <f>IF(AND(Main[[#This Row],[In Stock Date]]&lt;&gt;"",Main[[#This Row],[Revised Due Date]]&lt;&gt;""),Main[[#This Row],[In Stock Date]]-Main[[#This Row],[Revised Due Date]],"")</f>
        <v/>
      </c>
      <c r="I1192" s="65" t="s">
        <v>4</v>
      </c>
      <c r="J1192" s="65" t="s">
        <v>4</v>
      </c>
      <c r="K1192" s="65" t="s">
        <v>4</v>
      </c>
      <c r="L1192" s="67"/>
      <c r="M1192" s="69" t="str">
        <f>IF(Main[[#This Row],[Tech Start Date]]&lt;1/1/1990,"",IF(Main[[#This Row],[Class]]="C",WORKDAY(Main[[#This Row],[Tech Start Date]],9),IF(Main[[#This Row],[Class]]="B", WORKDAY(Main[[#This Row],[Tech Start Date]],6),IF(Main[[#This Row],[Class]]="A",WORKDAY(Main[[#This Row],[Tech Start Date]],2),""))))</f>
        <v/>
      </c>
      <c r="N1192" s="69" t="str">
        <f>IF(Main[[#This Row],[Tech Start Date]]&lt;1/1/1990,"",IF(Main[[#This Row],[Class]]="C",WORKDAY(Main[[#This Row],[Tech Start Date]],19),IF(Main[[#This Row],[Class]]="B", WORKDAY(Main[[#This Row],[Tech Start Date]],12),IF(Main[[#This Row],[Class]]="A",WORKDAY(Main[[#This Row],[Tech Start Date]],4),""))))</f>
        <v/>
      </c>
      <c r="O1192" s="69" t="str">
        <f>IF(Main[[#This Row],[Tech Start Date]]&lt;1/1/1990,"",IF(Main[[#This Row],[Class]]="C",WORKDAY(Main[[#This Row],[Tech Start Date]],23),IF(Main[[#This Row],[Class]]="B", WORKDAY(Main[[#This Row],[Tech Start Date]],15),IF(Main[[#This Row],[Class]]="A",WORKDAY(Main[[#This Row],[Tech Start Date]],5),""))))</f>
        <v/>
      </c>
      <c r="P1192" s="69" t="str">
        <f>IF(Main[[#This Row],[Tech Start Date]]&lt;1/1/1990,"",IF(Main[[#This Row],[Class]]="C",WORKDAY(Main[[#This Row],[Tech Start Date]],28),IF(Main[[#This Row],[Class]]="B", WORKDAY(Main[[#This Row],[Tech Start Date]],19),IF(Main[[#This Row],[Class]]="A",WORKDAY(Main[[#This Row],[Tech Start Date]],9),""))))</f>
        <v/>
      </c>
      <c r="Q1192" s="67">
        <v>40976</v>
      </c>
      <c r="R1192" s="67"/>
      <c r="S1192" s="65" t="s">
        <v>11</v>
      </c>
      <c r="T1192" s="70" t="s">
        <v>3580</v>
      </c>
      <c r="U1192" s="65" t="s">
        <v>694</v>
      </c>
      <c r="V1192" s="65" t="s">
        <v>1924</v>
      </c>
      <c r="W1192" s="65" t="s">
        <v>1922</v>
      </c>
      <c r="X1192" s="65" t="s">
        <v>3486</v>
      </c>
      <c r="Y1192" s="65" t="s">
        <v>4</v>
      </c>
      <c r="Z1192" s="65" t="s">
        <v>4</v>
      </c>
      <c r="AA1192" s="65" t="s">
        <v>3486</v>
      </c>
    </row>
    <row r="1193" spans="1:27" ht="17.45" hidden="1" customHeight="1">
      <c r="A1193" s="100" t="str">
        <f>IF(priority(Main[[#This Row],[Comments]])&lt;&gt;0, priority(Main[[#This Row],[Comments]]),"")</f>
        <v/>
      </c>
      <c r="B1193" s="77" t="s">
        <v>2575</v>
      </c>
      <c r="C1193" s="65" t="s">
        <v>4</v>
      </c>
      <c r="D1193" s="66" t="s">
        <v>2779</v>
      </c>
      <c r="E1193" s="67">
        <v>40870.475462962961</v>
      </c>
      <c r="F1193" s="67"/>
      <c r="G1193" s="64" t="str">
        <f>IF(stdProdLT(Main[[#This Row],[Comments]])=0.1,"N/A",IF(stdProdLT(Main[[#This Row],[Comments]])=0,"",stdProdLT(Main[[#This Row],[Comments]])))</f>
        <v/>
      </c>
      <c r="H1193" s="68" t="str">
        <f>IF(AND(Main[[#This Row],[In Stock Date]]&lt;&gt;"",Main[[#This Row],[Revised Due Date]]&lt;&gt;""),Main[[#This Row],[In Stock Date]]-Main[[#This Row],[Revised Due Date]],"")</f>
        <v/>
      </c>
      <c r="I1193" s="65" t="s">
        <v>429</v>
      </c>
      <c r="J1193" s="65" t="s">
        <v>28</v>
      </c>
      <c r="K1193" s="71" t="s">
        <v>1921</v>
      </c>
      <c r="L1193" s="67"/>
      <c r="M1193" s="69" t="str">
        <f>IF(Main[[#This Row],[Tech Start Date]]&lt;1/1/1990,"",IF(Main[[#This Row],[Class]]="C",WORKDAY(Main[[#This Row],[Tech Start Date]],9),IF(Main[[#This Row],[Class]]="B", WORKDAY(Main[[#This Row],[Tech Start Date]],6),IF(Main[[#This Row],[Class]]="A",WORKDAY(Main[[#This Row],[Tech Start Date]],2),""))))</f>
        <v/>
      </c>
      <c r="N1193" s="69" t="str">
        <f>IF(Main[[#This Row],[Tech Start Date]]&lt;1/1/1990,"",IF(Main[[#This Row],[Class]]="C",WORKDAY(Main[[#This Row],[Tech Start Date]],19),IF(Main[[#This Row],[Class]]="B", WORKDAY(Main[[#This Row],[Tech Start Date]],12),IF(Main[[#This Row],[Class]]="A",WORKDAY(Main[[#This Row],[Tech Start Date]],4),""))))</f>
        <v/>
      </c>
      <c r="O1193" s="69" t="str">
        <f>IF(Main[[#This Row],[Tech Start Date]]&lt;1/1/1990,"",IF(Main[[#This Row],[Class]]="C",WORKDAY(Main[[#This Row],[Tech Start Date]],23),IF(Main[[#This Row],[Class]]="B", WORKDAY(Main[[#This Row],[Tech Start Date]],15),IF(Main[[#This Row],[Class]]="A",WORKDAY(Main[[#This Row],[Tech Start Date]],5),""))))</f>
        <v/>
      </c>
      <c r="P1193" s="69" t="str">
        <f>IF(Main[[#This Row],[Tech Start Date]]&lt;1/1/1990,"",IF(Main[[#This Row],[Class]]="C",WORKDAY(Main[[#This Row],[Tech Start Date]],28),IF(Main[[#This Row],[Class]]="B", WORKDAY(Main[[#This Row],[Tech Start Date]],19),IF(Main[[#This Row],[Class]]="A",WORKDAY(Main[[#This Row],[Tech Start Date]],9),""))))</f>
        <v/>
      </c>
      <c r="Q1193" s="67">
        <v>40905</v>
      </c>
      <c r="R1193" s="67"/>
      <c r="S1193" s="65" t="s">
        <v>6</v>
      </c>
      <c r="T1193" s="70" t="s">
        <v>4</v>
      </c>
      <c r="U1193" s="65" t="s">
        <v>29</v>
      </c>
      <c r="V1193" s="65" t="s">
        <v>1917</v>
      </c>
      <c r="W1193" s="65" t="s">
        <v>1918</v>
      </c>
      <c r="X1193" s="65" t="s">
        <v>2051</v>
      </c>
      <c r="Y1193" s="65" t="s">
        <v>3060</v>
      </c>
      <c r="Z1193" s="65" t="s">
        <v>30</v>
      </c>
      <c r="AA1193" s="65" t="s">
        <v>2895</v>
      </c>
    </row>
    <row r="1194" spans="1:27" ht="17.45" hidden="1" customHeight="1">
      <c r="A1194" s="100" t="str">
        <f>IF(priority(Main[[#This Row],[Comments]])&lt;&gt;0, priority(Main[[#This Row],[Comments]]),"")</f>
        <v/>
      </c>
      <c r="B1194" s="77" t="s">
        <v>2216</v>
      </c>
      <c r="C1194" s="65" t="s">
        <v>4</v>
      </c>
      <c r="D1194" s="66" t="s">
        <v>2217</v>
      </c>
      <c r="E1194" s="67"/>
      <c r="F1194" s="67"/>
      <c r="G1194" s="64" t="str">
        <f>IF(stdProdLT(Main[[#This Row],[Comments]])=0.1,"N/A",IF(stdProdLT(Main[[#This Row],[Comments]])=0,"",stdProdLT(Main[[#This Row],[Comments]])))</f>
        <v/>
      </c>
      <c r="H1194" s="68" t="str">
        <f>IF(AND(Main[[#This Row],[In Stock Date]]&lt;&gt;"",Main[[#This Row],[Revised Due Date]]&lt;&gt;""),Main[[#This Row],[In Stock Date]]-Main[[#This Row],[Revised Due Date]],"")</f>
        <v/>
      </c>
      <c r="I1194" s="65" t="s">
        <v>530</v>
      </c>
      <c r="J1194" s="65" t="s">
        <v>28</v>
      </c>
      <c r="K1194" s="65" t="s">
        <v>1923</v>
      </c>
      <c r="L1194" s="67"/>
      <c r="M1194" s="69" t="str">
        <f>IF(Main[[#This Row],[Tech Start Date]]&lt;1/1/1990,"",IF(Main[[#This Row],[Class]]="C",WORKDAY(Main[[#This Row],[Tech Start Date]],9),IF(Main[[#This Row],[Class]]="B", WORKDAY(Main[[#This Row],[Tech Start Date]],6),IF(Main[[#This Row],[Class]]="A",WORKDAY(Main[[#This Row],[Tech Start Date]],2),""))))</f>
        <v/>
      </c>
      <c r="N1194" s="69" t="str">
        <f>IF(Main[[#This Row],[Tech Start Date]]&lt;1/1/1990,"",IF(Main[[#This Row],[Class]]="C",WORKDAY(Main[[#This Row],[Tech Start Date]],19),IF(Main[[#This Row],[Class]]="B", WORKDAY(Main[[#This Row],[Tech Start Date]],12),IF(Main[[#This Row],[Class]]="A",WORKDAY(Main[[#This Row],[Tech Start Date]],4),""))))</f>
        <v/>
      </c>
      <c r="O1194" s="69" t="str">
        <f>IF(Main[[#This Row],[Tech Start Date]]&lt;1/1/1990,"",IF(Main[[#This Row],[Class]]="C",WORKDAY(Main[[#This Row],[Tech Start Date]],23),IF(Main[[#This Row],[Class]]="B", WORKDAY(Main[[#This Row],[Tech Start Date]],15),IF(Main[[#This Row],[Class]]="A",WORKDAY(Main[[#This Row],[Tech Start Date]],5),""))))</f>
        <v/>
      </c>
      <c r="P1194" s="69" t="str">
        <f>IF(Main[[#This Row],[Tech Start Date]]&lt;1/1/1990,"",IF(Main[[#This Row],[Class]]="C",WORKDAY(Main[[#This Row],[Tech Start Date]],28),IF(Main[[#This Row],[Class]]="B", WORKDAY(Main[[#This Row],[Tech Start Date]],19),IF(Main[[#This Row],[Class]]="A",WORKDAY(Main[[#This Row],[Tech Start Date]],9),""))))</f>
        <v/>
      </c>
      <c r="Q1194" s="67"/>
      <c r="R1194" s="67"/>
      <c r="S1194" s="65" t="s">
        <v>6</v>
      </c>
      <c r="T1194" s="70" t="s">
        <v>4</v>
      </c>
      <c r="U1194" s="65" t="s">
        <v>14</v>
      </c>
      <c r="V1194" s="65" t="s">
        <v>1917</v>
      </c>
      <c r="W1194" s="65" t="s">
        <v>1918</v>
      </c>
      <c r="X1194" s="65" t="s">
        <v>2819</v>
      </c>
      <c r="Y1194" s="65" t="s">
        <v>2932</v>
      </c>
      <c r="Z1194" s="65" t="s">
        <v>30</v>
      </c>
      <c r="AA1194" s="65" t="s">
        <v>2819</v>
      </c>
    </row>
    <row r="1195" spans="1:27" ht="17.45" hidden="1" customHeight="1">
      <c r="A1195" s="100" t="str">
        <f>IF(priority(Main[[#This Row],[Comments]])&lt;&gt;0, priority(Main[[#This Row],[Comments]]),"")</f>
        <v/>
      </c>
      <c r="B1195" s="77" t="s">
        <v>2577</v>
      </c>
      <c r="C1195" s="65" t="s">
        <v>4</v>
      </c>
      <c r="D1195" s="66" t="s">
        <v>2578</v>
      </c>
      <c r="E1195" s="67"/>
      <c r="F1195" s="67"/>
      <c r="G1195" s="64" t="str">
        <f>IF(stdProdLT(Main[[#This Row],[Comments]])=0.1,"N/A",IF(stdProdLT(Main[[#This Row],[Comments]])=0,"",stdProdLT(Main[[#This Row],[Comments]])))</f>
        <v/>
      </c>
      <c r="H1195" s="68" t="str">
        <f>IF(AND(Main[[#This Row],[In Stock Date]]&lt;&gt;"",Main[[#This Row],[Revised Due Date]]&lt;&gt;""),Main[[#This Row],[In Stock Date]]-Main[[#This Row],[Revised Due Date]],"")</f>
        <v/>
      </c>
      <c r="I1195" s="65" t="s">
        <v>4</v>
      </c>
      <c r="J1195" s="65" t="s">
        <v>4</v>
      </c>
      <c r="K1195" s="65" t="s">
        <v>4</v>
      </c>
      <c r="L1195" s="67"/>
      <c r="M1195" s="69" t="str">
        <f>IF(Main[[#This Row],[Tech Start Date]]&lt;1/1/1990,"",IF(Main[[#This Row],[Class]]="C",WORKDAY(Main[[#This Row],[Tech Start Date]],9),IF(Main[[#This Row],[Class]]="B", WORKDAY(Main[[#This Row],[Tech Start Date]],6),IF(Main[[#This Row],[Class]]="A",WORKDAY(Main[[#This Row],[Tech Start Date]],2),""))))</f>
        <v/>
      </c>
      <c r="N1195" s="69" t="str">
        <f>IF(Main[[#This Row],[Tech Start Date]]&lt;1/1/1990,"",IF(Main[[#This Row],[Class]]="C",WORKDAY(Main[[#This Row],[Tech Start Date]],19),IF(Main[[#This Row],[Class]]="B", WORKDAY(Main[[#This Row],[Tech Start Date]],12),IF(Main[[#This Row],[Class]]="A",WORKDAY(Main[[#This Row],[Tech Start Date]],4),""))))</f>
        <v/>
      </c>
      <c r="O1195" s="69" t="str">
        <f>IF(Main[[#This Row],[Tech Start Date]]&lt;1/1/1990,"",IF(Main[[#This Row],[Class]]="C",WORKDAY(Main[[#This Row],[Tech Start Date]],23),IF(Main[[#This Row],[Class]]="B", WORKDAY(Main[[#This Row],[Tech Start Date]],15),IF(Main[[#This Row],[Class]]="A",WORKDAY(Main[[#This Row],[Tech Start Date]],5),""))))</f>
        <v/>
      </c>
      <c r="P1195" s="69" t="str">
        <f>IF(Main[[#This Row],[Tech Start Date]]&lt;1/1/1990,"",IF(Main[[#This Row],[Class]]="C",WORKDAY(Main[[#This Row],[Tech Start Date]],28),IF(Main[[#This Row],[Class]]="B", WORKDAY(Main[[#This Row],[Tech Start Date]],19),IF(Main[[#This Row],[Class]]="A",WORKDAY(Main[[#This Row],[Tech Start Date]],9),""))))</f>
        <v/>
      </c>
      <c r="Q1195" s="67"/>
      <c r="R1195" s="67"/>
      <c r="S1195" s="65" t="s">
        <v>6</v>
      </c>
      <c r="T1195" s="70" t="s">
        <v>4</v>
      </c>
      <c r="U1195" s="65" t="s">
        <v>12</v>
      </c>
      <c r="V1195" s="65" t="s">
        <v>1917</v>
      </c>
      <c r="W1195" s="65" t="s">
        <v>1919</v>
      </c>
      <c r="X1195" s="65" t="s">
        <v>2841</v>
      </c>
      <c r="Y1195" s="65" t="s">
        <v>2971</v>
      </c>
      <c r="Z1195" s="65" t="s">
        <v>4</v>
      </c>
      <c r="AA1195" s="65" t="s">
        <v>2841</v>
      </c>
    </row>
    <row r="1196" spans="1:27" ht="17.45" hidden="1" customHeight="1">
      <c r="A1196" s="100" t="str">
        <f>IF(priority(Main[[#This Row],[Comments]])&lt;&gt;0, priority(Main[[#This Row],[Comments]]),"")</f>
        <v/>
      </c>
      <c r="B1196" s="77" t="s">
        <v>3721</v>
      </c>
      <c r="C1196" s="65" t="s">
        <v>2354</v>
      </c>
      <c r="D1196" s="66" t="s">
        <v>3722</v>
      </c>
      <c r="E1196" s="67"/>
      <c r="F1196" s="67">
        <v>41105</v>
      </c>
      <c r="G1196" s="64" t="str">
        <f>IF(stdProdLT(Main[[#This Row],[Comments]])=0.1,"N/A",IF(stdProdLT(Main[[#This Row],[Comments]])=0,"",stdProdLT(Main[[#This Row],[Comments]])))</f>
        <v/>
      </c>
      <c r="H1196" s="68" t="str">
        <f>IF(AND(Main[[#This Row],[In Stock Date]]&lt;&gt;"",Main[[#This Row],[Revised Due Date]]&lt;&gt;""),Main[[#This Row],[In Stock Date]]-Main[[#This Row],[Revised Due Date]],"")</f>
        <v/>
      </c>
      <c r="I1196" s="65" t="s">
        <v>4</v>
      </c>
      <c r="J1196" s="65" t="s">
        <v>4</v>
      </c>
      <c r="K1196" s="65" t="s">
        <v>4</v>
      </c>
      <c r="L1196" s="67"/>
      <c r="M1196" s="69" t="str">
        <f>IF(Main[[#This Row],[Tech Start Date]]&lt;1/1/1990,"",IF(Main[[#This Row],[Class]]="C",WORKDAY(Main[[#This Row],[Tech Start Date]],9),IF(Main[[#This Row],[Class]]="B", WORKDAY(Main[[#This Row],[Tech Start Date]],6),IF(Main[[#This Row],[Class]]="A",WORKDAY(Main[[#This Row],[Tech Start Date]],2),""))))</f>
        <v/>
      </c>
      <c r="N1196" s="69" t="str">
        <f>IF(Main[[#This Row],[Tech Start Date]]&lt;1/1/1990,"",IF(Main[[#This Row],[Class]]="C",WORKDAY(Main[[#This Row],[Tech Start Date]],19),IF(Main[[#This Row],[Class]]="B", WORKDAY(Main[[#This Row],[Tech Start Date]],12),IF(Main[[#This Row],[Class]]="A",WORKDAY(Main[[#This Row],[Tech Start Date]],4),""))))</f>
        <v/>
      </c>
      <c r="O1196" s="69" t="str">
        <f>IF(Main[[#This Row],[Tech Start Date]]&lt;1/1/1990,"",IF(Main[[#This Row],[Class]]="C",WORKDAY(Main[[#This Row],[Tech Start Date]],23),IF(Main[[#This Row],[Class]]="B", WORKDAY(Main[[#This Row],[Tech Start Date]],15),IF(Main[[#This Row],[Class]]="A",WORKDAY(Main[[#This Row],[Tech Start Date]],5),""))))</f>
        <v/>
      </c>
      <c r="P1196" s="69" t="str">
        <f>IF(Main[[#This Row],[Tech Start Date]]&lt;1/1/1990,"",IF(Main[[#This Row],[Class]]="C",WORKDAY(Main[[#This Row],[Tech Start Date]],28),IF(Main[[#This Row],[Class]]="B", WORKDAY(Main[[#This Row],[Tech Start Date]],19),IF(Main[[#This Row],[Class]]="A",WORKDAY(Main[[#This Row],[Tech Start Date]],9),""))))</f>
        <v/>
      </c>
      <c r="Q1196" s="67">
        <v>40965</v>
      </c>
      <c r="R1196" s="67"/>
      <c r="S1196" s="65" t="s">
        <v>11</v>
      </c>
      <c r="T1196" s="70" t="s">
        <v>4</v>
      </c>
      <c r="U1196" s="65" t="s">
        <v>12</v>
      </c>
      <c r="V1196" s="65" t="s">
        <v>1915</v>
      </c>
      <c r="W1196" s="65" t="s">
        <v>1920</v>
      </c>
      <c r="X1196" s="65" t="s">
        <v>2843</v>
      </c>
      <c r="Y1196" s="65" t="s">
        <v>4</v>
      </c>
      <c r="Z1196" s="65" t="s">
        <v>4</v>
      </c>
      <c r="AA1196" s="65" t="s">
        <v>2843</v>
      </c>
    </row>
    <row r="1197" spans="1:27" ht="17.45" hidden="1" customHeight="1">
      <c r="A1197" s="100" t="str">
        <f>IF(priority(Main[[#This Row],[Comments]])&lt;&gt;0, priority(Main[[#This Row],[Comments]]),"")</f>
        <v/>
      </c>
      <c r="B1197" s="77" t="s">
        <v>3295</v>
      </c>
      <c r="C1197" s="65" t="s">
        <v>4</v>
      </c>
      <c r="D1197" s="66" t="s">
        <v>3296</v>
      </c>
      <c r="E1197" s="67">
        <v>40934.462071759262</v>
      </c>
      <c r="F1197" s="67"/>
      <c r="G1197" s="64" t="str">
        <f>IF(stdProdLT(Main[[#This Row],[Comments]])=0.1,"N/A",IF(stdProdLT(Main[[#This Row],[Comments]])=0,"",stdProdLT(Main[[#This Row],[Comments]])))</f>
        <v/>
      </c>
      <c r="H1197" s="68" t="str">
        <f>IF(AND(Main[[#This Row],[In Stock Date]]&lt;&gt;"",Main[[#This Row],[Revised Due Date]]&lt;&gt;""),Main[[#This Row],[In Stock Date]]-Main[[#This Row],[Revised Due Date]],"")</f>
        <v/>
      </c>
      <c r="I1197" s="65" t="s">
        <v>4</v>
      </c>
      <c r="J1197" s="65" t="s">
        <v>4</v>
      </c>
      <c r="K1197" s="65" t="s">
        <v>4</v>
      </c>
      <c r="L1197" s="67"/>
      <c r="M1197" s="69" t="str">
        <f>IF(Main[[#This Row],[Tech Start Date]]&lt;1/1/1990,"",IF(Main[[#This Row],[Class]]="C",WORKDAY(Main[[#This Row],[Tech Start Date]],9),IF(Main[[#This Row],[Class]]="B", WORKDAY(Main[[#This Row],[Tech Start Date]],6),IF(Main[[#This Row],[Class]]="A",WORKDAY(Main[[#This Row],[Tech Start Date]],2),""))))</f>
        <v/>
      </c>
      <c r="N1197" s="69" t="str">
        <f>IF(Main[[#This Row],[Tech Start Date]]&lt;1/1/1990,"",IF(Main[[#This Row],[Class]]="C",WORKDAY(Main[[#This Row],[Tech Start Date]],19),IF(Main[[#This Row],[Class]]="B", WORKDAY(Main[[#This Row],[Tech Start Date]],12),IF(Main[[#This Row],[Class]]="A",WORKDAY(Main[[#This Row],[Tech Start Date]],4),""))))</f>
        <v/>
      </c>
      <c r="O1197" s="69" t="str">
        <f>IF(Main[[#This Row],[Tech Start Date]]&lt;1/1/1990,"",IF(Main[[#This Row],[Class]]="C",WORKDAY(Main[[#This Row],[Tech Start Date]],23),IF(Main[[#This Row],[Class]]="B", WORKDAY(Main[[#This Row],[Tech Start Date]],15),IF(Main[[#This Row],[Class]]="A",WORKDAY(Main[[#This Row],[Tech Start Date]],5),""))))</f>
        <v/>
      </c>
      <c r="P1197" s="69" t="str">
        <f>IF(Main[[#This Row],[Tech Start Date]]&lt;1/1/1990,"",IF(Main[[#This Row],[Class]]="C",WORKDAY(Main[[#This Row],[Tech Start Date]],28),IF(Main[[#This Row],[Class]]="B", WORKDAY(Main[[#This Row],[Tech Start Date]],19),IF(Main[[#This Row],[Class]]="A",WORKDAY(Main[[#This Row],[Tech Start Date]],9),""))))</f>
        <v/>
      </c>
      <c r="Q1197" s="67"/>
      <c r="R1197" s="67"/>
      <c r="S1197" s="65" t="s">
        <v>6</v>
      </c>
      <c r="T1197" s="70" t="s">
        <v>4</v>
      </c>
      <c r="U1197" s="65" t="s">
        <v>29</v>
      </c>
      <c r="V1197" s="65" t="s">
        <v>1914</v>
      </c>
      <c r="W1197" s="65" t="s">
        <v>1918</v>
      </c>
      <c r="X1197" s="65" t="s">
        <v>937</v>
      </c>
      <c r="Y1197" s="65" t="s">
        <v>2984</v>
      </c>
      <c r="Z1197" s="65" t="s">
        <v>4</v>
      </c>
      <c r="AA1197" s="65" t="s">
        <v>937</v>
      </c>
    </row>
    <row r="1198" spans="1:27" ht="17.45" hidden="1" customHeight="1">
      <c r="A1198" s="100" t="str">
        <f>IF(priority(Main[[#This Row],[Comments]])&lt;&gt;0, priority(Main[[#This Row],[Comments]]),"")</f>
        <v/>
      </c>
      <c r="B1198" s="77" t="s">
        <v>1741</v>
      </c>
      <c r="C1198" s="65" t="s">
        <v>37</v>
      </c>
      <c r="D1198" s="66" t="s">
        <v>2580</v>
      </c>
      <c r="E1198" s="67">
        <v>40682.487210648149</v>
      </c>
      <c r="F1198" s="67"/>
      <c r="G1198" s="64" t="str">
        <f>IF(stdProdLT(Main[[#This Row],[Comments]])=0.1,"N/A",IF(stdProdLT(Main[[#This Row],[Comments]])=0,"",stdProdLT(Main[[#This Row],[Comments]])))</f>
        <v/>
      </c>
      <c r="H1198" s="68" t="str">
        <f>IF(AND(Main[[#This Row],[In Stock Date]]&lt;&gt;"",Main[[#This Row],[Revised Due Date]]&lt;&gt;""),Main[[#This Row],[In Stock Date]]-Main[[#This Row],[Revised Due Date]],"")</f>
        <v/>
      </c>
      <c r="I1198" s="65" t="s">
        <v>4</v>
      </c>
      <c r="J1198" s="65" t="s">
        <v>4</v>
      </c>
      <c r="K1198" s="65" t="s">
        <v>4</v>
      </c>
      <c r="L1198" s="67"/>
      <c r="M1198" s="69" t="str">
        <f>IF(Main[[#This Row],[Tech Start Date]]&lt;1/1/1990,"",IF(Main[[#This Row],[Class]]="C",WORKDAY(Main[[#This Row],[Tech Start Date]],9),IF(Main[[#This Row],[Class]]="B", WORKDAY(Main[[#This Row],[Tech Start Date]],6),IF(Main[[#This Row],[Class]]="A",WORKDAY(Main[[#This Row],[Tech Start Date]],2),""))))</f>
        <v/>
      </c>
      <c r="N1198" s="69" t="str">
        <f>IF(Main[[#This Row],[Tech Start Date]]&lt;1/1/1990,"",IF(Main[[#This Row],[Class]]="C",WORKDAY(Main[[#This Row],[Tech Start Date]],19),IF(Main[[#This Row],[Class]]="B", WORKDAY(Main[[#This Row],[Tech Start Date]],12),IF(Main[[#This Row],[Class]]="A",WORKDAY(Main[[#This Row],[Tech Start Date]],4),""))))</f>
        <v/>
      </c>
      <c r="O1198" s="69" t="str">
        <f>IF(Main[[#This Row],[Tech Start Date]]&lt;1/1/1990,"",IF(Main[[#This Row],[Class]]="C",WORKDAY(Main[[#This Row],[Tech Start Date]],23),IF(Main[[#This Row],[Class]]="B", WORKDAY(Main[[#This Row],[Tech Start Date]],15),IF(Main[[#This Row],[Class]]="A",WORKDAY(Main[[#This Row],[Tech Start Date]],5),""))))</f>
        <v/>
      </c>
      <c r="P1198" s="69" t="str">
        <f>IF(Main[[#This Row],[Tech Start Date]]&lt;1/1/1990,"",IF(Main[[#This Row],[Class]]="C",WORKDAY(Main[[#This Row],[Tech Start Date]],28),IF(Main[[#This Row],[Class]]="B", WORKDAY(Main[[#This Row],[Tech Start Date]],19),IF(Main[[#This Row],[Class]]="A",WORKDAY(Main[[#This Row],[Tech Start Date]],9),""))))</f>
        <v/>
      </c>
      <c r="Q1198" s="67">
        <v>40701</v>
      </c>
      <c r="R1198" s="67"/>
      <c r="S1198" s="65" t="s">
        <v>6</v>
      </c>
      <c r="T1198" s="70" t="s">
        <v>4</v>
      </c>
      <c r="U1198" s="65" t="s">
        <v>7</v>
      </c>
      <c r="V1198" s="65" t="s">
        <v>1914</v>
      </c>
      <c r="W1198" s="65" t="s">
        <v>1925</v>
      </c>
      <c r="X1198" s="65" t="s">
        <v>970</v>
      </c>
      <c r="Y1198" s="65" t="s">
        <v>3097</v>
      </c>
      <c r="Z1198" s="65" t="s">
        <v>4</v>
      </c>
      <c r="AA1198" s="65" t="s">
        <v>970</v>
      </c>
    </row>
    <row r="1199" spans="1:27" ht="17.45" hidden="1" customHeight="1">
      <c r="A1199" s="100" t="str">
        <f>IF(priority(Main[[#This Row],[Comments]])&lt;&gt;0, priority(Main[[#This Row],[Comments]]),"")</f>
        <v/>
      </c>
      <c r="B1199" s="77" t="s">
        <v>1625</v>
      </c>
      <c r="C1199" s="65" t="s">
        <v>4</v>
      </c>
      <c r="D1199" s="66" t="s">
        <v>700</v>
      </c>
      <c r="E1199" s="67">
        <v>40218.669039351851</v>
      </c>
      <c r="F1199" s="67"/>
      <c r="G1199" s="64" t="str">
        <f>IF(stdProdLT(Main[[#This Row],[Comments]])=0.1,"N/A",IF(stdProdLT(Main[[#This Row],[Comments]])=0,"",stdProdLT(Main[[#This Row],[Comments]])))</f>
        <v/>
      </c>
      <c r="H1199" s="68" t="str">
        <f>IF(AND(Main[[#This Row],[In Stock Date]]&lt;&gt;"",Main[[#This Row],[Revised Due Date]]&lt;&gt;""),Main[[#This Row],[In Stock Date]]-Main[[#This Row],[Revised Due Date]],"")</f>
        <v/>
      </c>
      <c r="I1199" s="65" t="s">
        <v>4</v>
      </c>
      <c r="J1199" s="65" t="s">
        <v>4</v>
      </c>
      <c r="K1199" s="65" t="s">
        <v>4</v>
      </c>
      <c r="L1199" s="67"/>
      <c r="M1199" s="69" t="str">
        <f>IF(Main[[#This Row],[Tech Start Date]]&lt;1/1/1990,"",IF(Main[[#This Row],[Class]]="C",WORKDAY(Main[[#This Row],[Tech Start Date]],9),IF(Main[[#This Row],[Class]]="B", WORKDAY(Main[[#This Row],[Tech Start Date]],6),IF(Main[[#This Row],[Class]]="A",WORKDAY(Main[[#This Row],[Tech Start Date]],2),""))))</f>
        <v/>
      </c>
      <c r="N1199" s="69" t="str">
        <f>IF(Main[[#This Row],[Tech Start Date]]&lt;1/1/1990,"",IF(Main[[#This Row],[Class]]="C",WORKDAY(Main[[#This Row],[Tech Start Date]],19),IF(Main[[#This Row],[Class]]="B", WORKDAY(Main[[#This Row],[Tech Start Date]],12),IF(Main[[#This Row],[Class]]="A",WORKDAY(Main[[#This Row],[Tech Start Date]],4),""))))</f>
        <v/>
      </c>
      <c r="O1199" s="69" t="str">
        <f>IF(Main[[#This Row],[Tech Start Date]]&lt;1/1/1990,"",IF(Main[[#This Row],[Class]]="C",WORKDAY(Main[[#This Row],[Tech Start Date]],23),IF(Main[[#This Row],[Class]]="B", WORKDAY(Main[[#This Row],[Tech Start Date]],15),IF(Main[[#This Row],[Class]]="A",WORKDAY(Main[[#This Row],[Tech Start Date]],5),""))))</f>
        <v/>
      </c>
      <c r="P1199" s="69" t="str">
        <f>IF(Main[[#This Row],[Tech Start Date]]&lt;1/1/1990,"",IF(Main[[#This Row],[Class]]="C",WORKDAY(Main[[#This Row],[Tech Start Date]],28),IF(Main[[#This Row],[Class]]="B", WORKDAY(Main[[#This Row],[Tech Start Date]],19),IF(Main[[#This Row],[Class]]="A",WORKDAY(Main[[#This Row],[Tech Start Date]],9),""))))</f>
        <v/>
      </c>
      <c r="Q1199" s="67">
        <v>40237</v>
      </c>
      <c r="R1199" s="67"/>
      <c r="S1199" s="65" t="s">
        <v>17</v>
      </c>
      <c r="T1199" s="70" t="s">
        <v>4</v>
      </c>
      <c r="U1199" s="65" t="s">
        <v>29</v>
      </c>
      <c r="V1199" s="65" t="s">
        <v>1917</v>
      </c>
      <c r="W1199" s="65" t="s">
        <v>4</v>
      </c>
      <c r="X1199" s="65" t="s">
        <v>652</v>
      </c>
      <c r="Y1199" s="65" t="s">
        <v>3126</v>
      </c>
      <c r="Z1199" s="65" t="s">
        <v>4</v>
      </c>
      <c r="AA1199" s="65" t="s">
        <v>652</v>
      </c>
    </row>
    <row r="1200" spans="1:27" ht="17.45" hidden="1" customHeight="1">
      <c r="A1200" s="100" t="str">
        <f>IF(priority(Main[[#This Row],[Comments]])&lt;&gt;0, priority(Main[[#This Row],[Comments]]),"")</f>
        <v/>
      </c>
      <c r="B1200" s="77" t="s">
        <v>1829</v>
      </c>
      <c r="C1200" s="65" t="s">
        <v>4</v>
      </c>
      <c r="D1200" s="66" t="s">
        <v>881</v>
      </c>
      <c r="E1200" s="67">
        <v>40284.719155092593</v>
      </c>
      <c r="F1200" s="67"/>
      <c r="G1200" s="64" t="str">
        <f>IF(stdProdLT(Main[[#This Row],[Comments]])=0.1,"N/A",IF(stdProdLT(Main[[#This Row],[Comments]])=0,"",stdProdLT(Main[[#This Row],[Comments]])))</f>
        <v/>
      </c>
      <c r="H1200" s="68" t="str">
        <f>IF(AND(Main[[#This Row],[In Stock Date]]&lt;&gt;"",Main[[#This Row],[Revised Due Date]]&lt;&gt;""),Main[[#This Row],[In Stock Date]]-Main[[#This Row],[Revised Due Date]],"")</f>
        <v/>
      </c>
      <c r="I1200" s="65" t="s">
        <v>4</v>
      </c>
      <c r="J1200" s="65" t="s">
        <v>52</v>
      </c>
      <c r="K1200" s="71" t="s">
        <v>1926</v>
      </c>
      <c r="L1200" s="67"/>
      <c r="M1200" s="69" t="str">
        <f>IF(Main[[#This Row],[Tech Start Date]]&lt;1/1/1990,"",IF(Main[[#This Row],[Class]]="C",WORKDAY(Main[[#This Row],[Tech Start Date]],9),IF(Main[[#This Row],[Class]]="B", WORKDAY(Main[[#This Row],[Tech Start Date]],6),IF(Main[[#This Row],[Class]]="A",WORKDAY(Main[[#This Row],[Tech Start Date]],2),""))))</f>
        <v/>
      </c>
      <c r="N1200" s="69" t="str">
        <f>IF(Main[[#This Row],[Tech Start Date]]&lt;1/1/1990,"",IF(Main[[#This Row],[Class]]="C",WORKDAY(Main[[#This Row],[Tech Start Date]],19),IF(Main[[#This Row],[Class]]="B", WORKDAY(Main[[#This Row],[Tech Start Date]],12),IF(Main[[#This Row],[Class]]="A",WORKDAY(Main[[#This Row],[Tech Start Date]],4),""))))</f>
        <v/>
      </c>
      <c r="O1200" s="69" t="str">
        <f>IF(Main[[#This Row],[Tech Start Date]]&lt;1/1/1990,"",IF(Main[[#This Row],[Class]]="C",WORKDAY(Main[[#This Row],[Tech Start Date]],23),IF(Main[[#This Row],[Class]]="B", WORKDAY(Main[[#This Row],[Tech Start Date]],15),IF(Main[[#This Row],[Class]]="A",WORKDAY(Main[[#This Row],[Tech Start Date]],5),""))))</f>
        <v/>
      </c>
      <c r="P1200" s="69" t="str">
        <f>IF(Main[[#This Row],[Tech Start Date]]&lt;1/1/1990,"",IF(Main[[#This Row],[Class]]="C",WORKDAY(Main[[#This Row],[Tech Start Date]],28),IF(Main[[#This Row],[Class]]="B", WORKDAY(Main[[#This Row],[Tech Start Date]],19),IF(Main[[#This Row],[Class]]="A",WORKDAY(Main[[#This Row],[Tech Start Date]],9),""))))</f>
        <v/>
      </c>
      <c r="Q1200" s="67">
        <v>40389</v>
      </c>
      <c r="R1200" s="67">
        <v>40403</v>
      </c>
      <c r="S1200" s="65" t="s">
        <v>17</v>
      </c>
      <c r="T1200" s="70" t="s">
        <v>4</v>
      </c>
      <c r="U1200" s="65" t="s">
        <v>29</v>
      </c>
      <c r="V1200" s="65" t="s">
        <v>1914</v>
      </c>
      <c r="W1200" s="65" t="s">
        <v>1928</v>
      </c>
      <c r="X1200" s="65" t="s">
        <v>2821</v>
      </c>
      <c r="Y1200" s="65" t="s">
        <v>2936</v>
      </c>
      <c r="Z1200" s="65" t="s">
        <v>129</v>
      </c>
      <c r="AA1200" s="65" t="s">
        <v>2821</v>
      </c>
    </row>
    <row r="1201" spans="1:27" ht="17.45" hidden="1" customHeight="1">
      <c r="A1201" s="100" t="str">
        <f>IF(priority(Main[[#This Row],[Comments]])&lt;&gt;0, priority(Main[[#This Row],[Comments]]),"")</f>
        <v/>
      </c>
      <c r="B1201" s="77" t="s">
        <v>1503</v>
      </c>
      <c r="C1201" s="65" t="s">
        <v>577</v>
      </c>
      <c r="D1201" s="66" t="s">
        <v>2581</v>
      </c>
      <c r="E1201" s="67"/>
      <c r="F1201" s="67"/>
      <c r="G1201" s="64" t="str">
        <f>IF(stdProdLT(Main[[#This Row],[Comments]])=0.1,"N/A",IF(stdProdLT(Main[[#This Row],[Comments]])=0,"",stdProdLT(Main[[#This Row],[Comments]])))</f>
        <v/>
      </c>
      <c r="H1201" s="68" t="str">
        <f>IF(AND(Main[[#This Row],[In Stock Date]]&lt;&gt;"",Main[[#This Row],[Revised Due Date]]&lt;&gt;""),Main[[#This Row],[In Stock Date]]-Main[[#This Row],[Revised Due Date]],"")</f>
        <v/>
      </c>
      <c r="I1201" s="65" t="s">
        <v>4</v>
      </c>
      <c r="J1201" s="65" t="s">
        <v>28</v>
      </c>
      <c r="K1201" s="65" t="s">
        <v>1921</v>
      </c>
      <c r="L1201" s="67"/>
      <c r="M1201" s="69" t="str">
        <f>IF(Main[[#This Row],[Tech Start Date]]&lt;1/1/1990,"",IF(Main[[#This Row],[Class]]="C",WORKDAY(Main[[#This Row],[Tech Start Date]],9),IF(Main[[#This Row],[Class]]="B", WORKDAY(Main[[#This Row],[Tech Start Date]],6),IF(Main[[#This Row],[Class]]="A",WORKDAY(Main[[#This Row],[Tech Start Date]],2),""))))</f>
        <v/>
      </c>
      <c r="N1201" s="69" t="str">
        <f>IF(Main[[#This Row],[Tech Start Date]]&lt;1/1/1990,"",IF(Main[[#This Row],[Class]]="C",WORKDAY(Main[[#This Row],[Tech Start Date]],19),IF(Main[[#This Row],[Class]]="B", WORKDAY(Main[[#This Row],[Tech Start Date]],12),IF(Main[[#This Row],[Class]]="A",WORKDAY(Main[[#This Row],[Tech Start Date]],4),""))))</f>
        <v/>
      </c>
      <c r="O1201" s="69" t="str">
        <f>IF(Main[[#This Row],[Tech Start Date]]&lt;1/1/1990,"",IF(Main[[#This Row],[Class]]="C",WORKDAY(Main[[#This Row],[Tech Start Date]],23),IF(Main[[#This Row],[Class]]="B", WORKDAY(Main[[#This Row],[Tech Start Date]],15),IF(Main[[#This Row],[Class]]="A",WORKDAY(Main[[#This Row],[Tech Start Date]],5),""))))</f>
        <v/>
      </c>
      <c r="P1201" s="69" t="str">
        <f>IF(Main[[#This Row],[Tech Start Date]]&lt;1/1/1990,"",IF(Main[[#This Row],[Class]]="C",WORKDAY(Main[[#This Row],[Tech Start Date]],28),IF(Main[[#This Row],[Class]]="B", WORKDAY(Main[[#This Row],[Tech Start Date]],19),IF(Main[[#This Row],[Class]]="A",WORKDAY(Main[[#This Row],[Tech Start Date]],9),""))))</f>
        <v/>
      </c>
      <c r="Q1201" s="67">
        <v>40486</v>
      </c>
      <c r="R1201" s="67"/>
      <c r="S1201" s="65" t="s">
        <v>6</v>
      </c>
      <c r="T1201" s="70" t="s">
        <v>4</v>
      </c>
      <c r="U1201" s="65" t="s">
        <v>14</v>
      </c>
      <c r="V1201" s="65" t="s">
        <v>1914</v>
      </c>
      <c r="W1201" s="65" t="s">
        <v>1918</v>
      </c>
      <c r="X1201" s="65" t="s">
        <v>2821</v>
      </c>
      <c r="Y1201" s="65" t="s">
        <v>2936</v>
      </c>
      <c r="Z1201" s="65" t="s">
        <v>129</v>
      </c>
      <c r="AA1201" s="65" t="s">
        <v>2821</v>
      </c>
    </row>
    <row r="1202" spans="1:27" ht="17.45" hidden="1" customHeight="1">
      <c r="A1202" s="100" t="str">
        <f>IF(priority(Main[[#This Row],[Comments]])&lt;&gt;0, priority(Main[[#This Row],[Comments]]),"")</f>
        <v/>
      </c>
      <c r="B1202" s="77" t="s">
        <v>2091</v>
      </c>
      <c r="C1202" s="65" t="s">
        <v>4</v>
      </c>
      <c r="D1202" s="66" t="s">
        <v>2582</v>
      </c>
      <c r="E1202" s="67">
        <v>40760.553842592592</v>
      </c>
      <c r="F1202" s="67"/>
      <c r="G1202" s="64" t="str">
        <f>IF(stdProdLT(Main[[#This Row],[Comments]])=0.1,"N/A",IF(stdProdLT(Main[[#This Row],[Comments]])=0,"",stdProdLT(Main[[#This Row],[Comments]])))</f>
        <v/>
      </c>
      <c r="H1202" s="68" t="str">
        <f>IF(AND(Main[[#This Row],[In Stock Date]]&lt;&gt;"",Main[[#This Row],[Revised Due Date]]&lt;&gt;""),Main[[#This Row],[In Stock Date]]-Main[[#This Row],[Revised Due Date]],"")</f>
        <v/>
      </c>
      <c r="I1202" s="65" t="s">
        <v>4</v>
      </c>
      <c r="J1202" s="65" t="s">
        <v>4</v>
      </c>
      <c r="K1202" s="65" t="s">
        <v>4</v>
      </c>
      <c r="L1202" s="67"/>
      <c r="M1202" s="69" t="str">
        <f>IF(Main[[#This Row],[Tech Start Date]]&lt;1/1/1990,"",IF(Main[[#This Row],[Class]]="C",WORKDAY(Main[[#This Row],[Tech Start Date]],9),IF(Main[[#This Row],[Class]]="B", WORKDAY(Main[[#This Row],[Tech Start Date]],6),IF(Main[[#This Row],[Class]]="A",WORKDAY(Main[[#This Row],[Tech Start Date]],2),""))))</f>
        <v/>
      </c>
      <c r="N1202" s="69" t="str">
        <f>IF(Main[[#This Row],[Tech Start Date]]&lt;1/1/1990,"",IF(Main[[#This Row],[Class]]="C",WORKDAY(Main[[#This Row],[Tech Start Date]],19),IF(Main[[#This Row],[Class]]="B", WORKDAY(Main[[#This Row],[Tech Start Date]],12),IF(Main[[#This Row],[Class]]="A",WORKDAY(Main[[#This Row],[Tech Start Date]],4),""))))</f>
        <v/>
      </c>
      <c r="O1202" s="69" t="str">
        <f>IF(Main[[#This Row],[Tech Start Date]]&lt;1/1/1990,"",IF(Main[[#This Row],[Class]]="C",WORKDAY(Main[[#This Row],[Tech Start Date]],23),IF(Main[[#This Row],[Class]]="B", WORKDAY(Main[[#This Row],[Tech Start Date]],15),IF(Main[[#This Row],[Class]]="A",WORKDAY(Main[[#This Row],[Tech Start Date]],5),""))))</f>
        <v/>
      </c>
      <c r="P1202" s="69" t="str">
        <f>IF(Main[[#This Row],[Tech Start Date]]&lt;1/1/1990,"",IF(Main[[#This Row],[Class]]="C",WORKDAY(Main[[#This Row],[Tech Start Date]],28),IF(Main[[#This Row],[Class]]="B", WORKDAY(Main[[#This Row],[Tech Start Date]],19),IF(Main[[#This Row],[Class]]="A",WORKDAY(Main[[#This Row],[Tech Start Date]],9),""))))</f>
        <v/>
      </c>
      <c r="Q1202" s="67"/>
      <c r="R1202" s="67"/>
      <c r="S1202" s="65" t="s">
        <v>6</v>
      </c>
      <c r="T1202" s="70" t="s">
        <v>4</v>
      </c>
      <c r="U1202" s="65" t="s">
        <v>7</v>
      </c>
      <c r="V1202" s="65" t="s">
        <v>1914</v>
      </c>
      <c r="W1202" s="65" t="s">
        <v>1918</v>
      </c>
      <c r="X1202" s="65" t="s">
        <v>306</v>
      </c>
      <c r="Y1202" s="65" t="s">
        <v>4</v>
      </c>
      <c r="Z1202" s="65" t="s">
        <v>4</v>
      </c>
      <c r="AA1202" s="65" t="s">
        <v>4</v>
      </c>
    </row>
    <row r="1203" spans="1:27" ht="17.45" hidden="1" customHeight="1">
      <c r="A1203" s="100" t="str">
        <f>IF(priority(Main[[#This Row],[Comments]])&lt;&gt;0, priority(Main[[#This Row],[Comments]]),"")</f>
        <v/>
      </c>
      <c r="B1203" s="77" t="s">
        <v>1112</v>
      </c>
      <c r="C1203" s="65" t="s">
        <v>161</v>
      </c>
      <c r="D1203" s="66" t="s">
        <v>162</v>
      </c>
      <c r="E1203" s="67"/>
      <c r="F1203" s="67">
        <v>40238</v>
      </c>
      <c r="G1203" s="64" t="str">
        <f>IF(stdProdLT(Main[[#This Row],[Comments]])=0.1,"N/A",IF(stdProdLT(Main[[#This Row],[Comments]])=0,"",stdProdLT(Main[[#This Row],[Comments]])))</f>
        <v/>
      </c>
      <c r="H1203" s="68" t="str">
        <f>IF(AND(Main[[#This Row],[In Stock Date]]&lt;&gt;"",Main[[#This Row],[Revised Due Date]]&lt;&gt;""),Main[[#This Row],[In Stock Date]]-Main[[#This Row],[Revised Due Date]],"")</f>
        <v/>
      </c>
      <c r="I1203" s="65" t="s">
        <v>4</v>
      </c>
      <c r="J1203" s="65" t="s">
        <v>4</v>
      </c>
      <c r="K1203" s="65" t="s">
        <v>4</v>
      </c>
      <c r="L1203" s="67"/>
      <c r="M1203" s="69" t="str">
        <f>IF(Main[[#This Row],[Tech Start Date]]&lt;1/1/1990,"",IF(Main[[#This Row],[Class]]="C",WORKDAY(Main[[#This Row],[Tech Start Date]],9),IF(Main[[#This Row],[Class]]="B", WORKDAY(Main[[#This Row],[Tech Start Date]],6),IF(Main[[#This Row],[Class]]="A",WORKDAY(Main[[#This Row],[Tech Start Date]],2),""))))</f>
        <v/>
      </c>
      <c r="N1203" s="69" t="str">
        <f>IF(Main[[#This Row],[Tech Start Date]]&lt;1/1/1990,"",IF(Main[[#This Row],[Class]]="C",WORKDAY(Main[[#This Row],[Tech Start Date]],19),IF(Main[[#This Row],[Class]]="B", WORKDAY(Main[[#This Row],[Tech Start Date]],12),IF(Main[[#This Row],[Class]]="A",WORKDAY(Main[[#This Row],[Tech Start Date]],4),""))))</f>
        <v/>
      </c>
      <c r="O1203" s="69" t="str">
        <f>IF(Main[[#This Row],[Tech Start Date]]&lt;1/1/1990,"",IF(Main[[#This Row],[Class]]="C",WORKDAY(Main[[#This Row],[Tech Start Date]],23),IF(Main[[#This Row],[Class]]="B", WORKDAY(Main[[#This Row],[Tech Start Date]],15),IF(Main[[#This Row],[Class]]="A",WORKDAY(Main[[#This Row],[Tech Start Date]],5),""))))</f>
        <v/>
      </c>
      <c r="P1203" s="69" t="str">
        <f>IF(Main[[#This Row],[Tech Start Date]]&lt;1/1/1990,"",IF(Main[[#This Row],[Class]]="C",WORKDAY(Main[[#This Row],[Tech Start Date]],28),IF(Main[[#This Row],[Class]]="B", WORKDAY(Main[[#This Row],[Tech Start Date]],19),IF(Main[[#This Row],[Class]]="A",WORKDAY(Main[[#This Row],[Tech Start Date]],9),""))))</f>
        <v/>
      </c>
      <c r="Q1203" s="67">
        <v>40167</v>
      </c>
      <c r="R1203" s="67"/>
      <c r="S1203" s="65" t="s">
        <v>17</v>
      </c>
      <c r="T1203" s="70" t="s">
        <v>4</v>
      </c>
      <c r="U1203" s="65" t="s">
        <v>14</v>
      </c>
      <c r="V1203" s="65" t="s">
        <v>1917</v>
      </c>
      <c r="W1203" s="65" t="s">
        <v>1922</v>
      </c>
      <c r="X1203" s="65" t="s">
        <v>50</v>
      </c>
      <c r="Y1203" s="65" t="s">
        <v>2943</v>
      </c>
      <c r="Z1203" s="65" t="s">
        <v>852</v>
      </c>
      <c r="AA1203" s="65" t="s">
        <v>2824</v>
      </c>
    </row>
    <row r="1204" spans="1:27" ht="17.45" hidden="1" customHeight="1">
      <c r="A1204" s="100" t="str">
        <f>IF(priority(Main[[#This Row],[Comments]])&lt;&gt;0, priority(Main[[#This Row],[Comments]]),"")</f>
        <v/>
      </c>
      <c r="B1204" s="77" t="s">
        <v>3187</v>
      </c>
      <c r="C1204" s="65" t="s">
        <v>31</v>
      </c>
      <c r="D1204" s="66" t="s">
        <v>3188</v>
      </c>
      <c r="E1204" s="67"/>
      <c r="F1204" s="67">
        <v>41122</v>
      </c>
      <c r="G1204" s="64" t="str">
        <f>IF(stdProdLT(Main[[#This Row],[Comments]])=0.1,"N/A",IF(stdProdLT(Main[[#This Row],[Comments]])=0,"",stdProdLT(Main[[#This Row],[Comments]])))</f>
        <v/>
      </c>
      <c r="H1204" s="68" t="str">
        <f>IF(AND(Main[[#This Row],[In Stock Date]]&lt;&gt;"",Main[[#This Row],[Revised Due Date]]&lt;&gt;""),Main[[#This Row],[In Stock Date]]-Main[[#This Row],[Revised Due Date]],"")</f>
        <v/>
      </c>
      <c r="I1204" s="65" t="s">
        <v>4</v>
      </c>
      <c r="J1204" s="65" t="s">
        <v>4</v>
      </c>
      <c r="K1204" s="65" t="s">
        <v>4</v>
      </c>
      <c r="L1204" s="67"/>
      <c r="M1204" s="69" t="str">
        <f>IF(Main[[#This Row],[Tech Start Date]]&lt;1/1/1990,"",IF(Main[[#This Row],[Class]]="C",WORKDAY(Main[[#This Row],[Tech Start Date]],9),IF(Main[[#This Row],[Class]]="B", WORKDAY(Main[[#This Row],[Tech Start Date]],6),IF(Main[[#This Row],[Class]]="A",WORKDAY(Main[[#This Row],[Tech Start Date]],2),""))))</f>
        <v/>
      </c>
      <c r="N1204" s="69" t="str">
        <f>IF(Main[[#This Row],[Tech Start Date]]&lt;1/1/1990,"",IF(Main[[#This Row],[Class]]="C",WORKDAY(Main[[#This Row],[Tech Start Date]],19),IF(Main[[#This Row],[Class]]="B", WORKDAY(Main[[#This Row],[Tech Start Date]],12),IF(Main[[#This Row],[Class]]="A",WORKDAY(Main[[#This Row],[Tech Start Date]],4),""))))</f>
        <v/>
      </c>
      <c r="O1204" s="69" t="str">
        <f>IF(Main[[#This Row],[Tech Start Date]]&lt;1/1/1990,"",IF(Main[[#This Row],[Class]]="C",WORKDAY(Main[[#This Row],[Tech Start Date]],23),IF(Main[[#This Row],[Class]]="B", WORKDAY(Main[[#This Row],[Tech Start Date]],15),IF(Main[[#This Row],[Class]]="A",WORKDAY(Main[[#This Row],[Tech Start Date]],5),""))))</f>
        <v/>
      </c>
      <c r="P1204" s="69" t="str">
        <f>IF(Main[[#This Row],[Tech Start Date]]&lt;1/1/1990,"",IF(Main[[#This Row],[Class]]="C",WORKDAY(Main[[#This Row],[Tech Start Date]],28),IF(Main[[#This Row],[Class]]="B", WORKDAY(Main[[#This Row],[Tech Start Date]],19),IF(Main[[#This Row],[Class]]="A",WORKDAY(Main[[#This Row],[Tech Start Date]],9),""))))</f>
        <v/>
      </c>
      <c r="Q1204" s="67">
        <v>40940</v>
      </c>
      <c r="R1204" s="67"/>
      <c r="S1204" s="65" t="s">
        <v>11</v>
      </c>
      <c r="T1204" s="70" t="s">
        <v>4</v>
      </c>
      <c r="U1204" s="65" t="s">
        <v>12</v>
      </c>
      <c r="V1204" s="65" t="s">
        <v>1917</v>
      </c>
      <c r="W1204" s="65" t="s">
        <v>1925</v>
      </c>
      <c r="X1204" s="65" t="s">
        <v>2846</v>
      </c>
      <c r="Y1204" s="65" t="s">
        <v>4</v>
      </c>
      <c r="Z1204" s="65" t="s">
        <v>4</v>
      </c>
      <c r="AA1204" s="65" t="s">
        <v>2846</v>
      </c>
    </row>
    <row r="1205" spans="1:27" ht="17.45" hidden="1" customHeight="1">
      <c r="A1205" s="100" t="str">
        <f>IF(priority(Main[[#This Row],[Comments]])&lt;&gt;0, priority(Main[[#This Row],[Comments]]),"")</f>
        <v/>
      </c>
      <c r="B1205" s="77" t="s">
        <v>1851</v>
      </c>
      <c r="C1205" s="65" t="s">
        <v>4</v>
      </c>
      <c r="D1205" s="66" t="s">
        <v>2812</v>
      </c>
      <c r="E1205" s="67">
        <v>40365.451284722221</v>
      </c>
      <c r="F1205" s="67"/>
      <c r="G1205" s="64" t="str">
        <f>IF(stdProdLT(Main[[#This Row],[Comments]])=0.1,"N/A",IF(stdProdLT(Main[[#This Row],[Comments]])=0,"",stdProdLT(Main[[#This Row],[Comments]])))</f>
        <v/>
      </c>
      <c r="H1205" s="68" t="str">
        <f>IF(AND(Main[[#This Row],[In Stock Date]]&lt;&gt;"",Main[[#This Row],[Revised Due Date]]&lt;&gt;""),Main[[#This Row],[In Stock Date]]-Main[[#This Row],[Revised Due Date]],"")</f>
        <v/>
      </c>
      <c r="I1205" s="65" t="s">
        <v>907</v>
      </c>
      <c r="J1205" s="65" t="s">
        <v>28</v>
      </c>
      <c r="K1205" s="71" t="s">
        <v>1926</v>
      </c>
      <c r="L1205" s="67"/>
      <c r="M1205" s="69" t="str">
        <f>IF(Main[[#This Row],[Tech Start Date]]&lt;1/1/1990,"",IF(Main[[#This Row],[Class]]="C",WORKDAY(Main[[#This Row],[Tech Start Date]],9),IF(Main[[#This Row],[Class]]="B", WORKDAY(Main[[#This Row],[Tech Start Date]],6),IF(Main[[#This Row],[Class]]="A",WORKDAY(Main[[#This Row],[Tech Start Date]],2),""))))</f>
        <v/>
      </c>
      <c r="N1205" s="69" t="str">
        <f>IF(Main[[#This Row],[Tech Start Date]]&lt;1/1/1990,"",IF(Main[[#This Row],[Class]]="C",WORKDAY(Main[[#This Row],[Tech Start Date]],19),IF(Main[[#This Row],[Class]]="B", WORKDAY(Main[[#This Row],[Tech Start Date]],12),IF(Main[[#This Row],[Class]]="A",WORKDAY(Main[[#This Row],[Tech Start Date]],4),""))))</f>
        <v/>
      </c>
      <c r="O1205" s="69" t="str">
        <f>IF(Main[[#This Row],[Tech Start Date]]&lt;1/1/1990,"",IF(Main[[#This Row],[Class]]="C",WORKDAY(Main[[#This Row],[Tech Start Date]],23),IF(Main[[#This Row],[Class]]="B", WORKDAY(Main[[#This Row],[Tech Start Date]],15),IF(Main[[#This Row],[Class]]="A",WORKDAY(Main[[#This Row],[Tech Start Date]],5),""))))</f>
        <v/>
      </c>
      <c r="P1205" s="69" t="str">
        <f>IF(Main[[#This Row],[Tech Start Date]]&lt;1/1/1990,"",IF(Main[[#This Row],[Class]]="C",WORKDAY(Main[[#This Row],[Tech Start Date]],28),IF(Main[[#This Row],[Class]]="B", WORKDAY(Main[[#This Row],[Tech Start Date]],19),IF(Main[[#This Row],[Class]]="A",WORKDAY(Main[[#This Row],[Tech Start Date]],9),""))))</f>
        <v/>
      </c>
      <c r="Q1205" s="67">
        <v>40968</v>
      </c>
      <c r="R1205" s="67">
        <v>40939</v>
      </c>
      <c r="S1205" s="65" t="s">
        <v>17</v>
      </c>
      <c r="T1205" s="70" t="s">
        <v>2593</v>
      </c>
      <c r="U1205" s="65" t="s">
        <v>29</v>
      </c>
      <c r="V1205" s="65" t="s">
        <v>1914</v>
      </c>
      <c r="W1205" s="65" t="s">
        <v>1919</v>
      </c>
      <c r="X1205" s="65" t="s">
        <v>129</v>
      </c>
      <c r="Y1205" s="65" t="s">
        <v>4</v>
      </c>
      <c r="Z1205" s="65" t="s">
        <v>129</v>
      </c>
      <c r="AA1205" s="65" t="s">
        <v>2828</v>
      </c>
    </row>
    <row r="1206" spans="1:27" ht="17.45" hidden="1" customHeight="1">
      <c r="A1206" s="100">
        <f>IF(priority(Main[[#This Row],[Comments]])&lt;&gt;0, priority(Main[[#This Row],[Comments]]),"")</f>
        <v>12</v>
      </c>
      <c r="B1206" s="77" t="s">
        <v>2775</v>
      </c>
      <c r="C1206" s="65" t="s">
        <v>2776</v>
      </c>
      <c r="D1206" s="66" t="s">
        <v>3289</v>
      </c>
      <c r="E1206" s="67"/>
      <c r="F1206" s="67"/>
      <c r="G1206" s="64" t="str">
        <f>IF(stdProdLT(Main[[#This Row],[Comments]])=0.1,"N/A",IF(stdProdLT(Main[[#This Row],[Comments]])=0,"",stdProdLT(Main[[#This Row],[Comments]])))</f>
        <v>N/A</v>
      </c>
      <c r="H1206" s="68" t="str">
        <f>IF(AND(Main[[#This Row],[In Stock Date]]&lt;&gt;"",Main[[#This Row],[Revised Due Date]]&lt;&gt;""),Main[[#This Row],[In Stock Date]]-Main[[#This Row],[Revised Due Date]],"")</f>
        <v/>
      </c>
      <c r="I1206" s="65" t="s">
        <v>4</v>
      </c>
      <c r="J1206" s="65" t="s">
        <v>4</v>
      </c>
      <c r="K1206" s="65" t="s">
        <v>4</v>
      </c>
      <c r="L1206" s="67"/>
      <c r="M1206" s="69" t="str">
        <f>IF(Main[[#This Row],[Tech Start Date]]&lt;1/1/1990,"",IF(Main[[#This Row],[Class]]="C",WORKDAY(Main[[#This Row],[Tech Start Date]],9),IF(Main[[#This Row],[Class]]="B", WORKDAY(Main[[#This Row],[Tech Start Date]],6),IF(Main[[#This Row],[Class]]="A",WORKDAY(Main[[#This Row],[Tech Start Date]],2),""))))</f>
        <v/>
      </c>
      <c r="N1206" s="69" t="str">
        <f>IF(Main[[#This Row],[Tech Start Date]]&lt;1/1/1990,"",IF(Main[[#This Row],[Class]]="C",WORKDAY(Main[[#This Row],[Tech Start Date]],19),IF(Main[[#This Row],[Class]]="B", WORKDAY(Main[[#This Row],[Tech Start Date]],12),IF(Main[[#This Row],[Class]]="A",WORKDAY(Main[[#This Row],[Tech Start Date]],4),""))))</f>
        <v/>
      </c>
      <c r="O1206" s="69" t="str">
        <f>IF(Main[[#This Row],[Tech Start Date]]&lt;1/1/1990,"",IF(Main[[#This Row],[Class]]="C",WORKDAY(Main[[#This Row],[Tech Start Date]],23),IF(Main[[#This Row],[Class]]="B", WORKDAY(Main[[#This Row],[Tech Start Date]],15),IF(Main[[#This Row],[Class]]="A",WORKDAY(Main[[#This Row],[Tech Start Date]],5),""))))</f>
        <v/>
      </c>
      <c r="P1206" s="69" t="str">
        <f>IF(Main[[#This Row],[Tech Start Date]]&lt;1/1/1990,"",IF(Main[[#This Row],[Class]]="C",WORKDAY(Main[[#This Row],[Tech Start Date]],28),IF(Main[[#This Row],[Class]]="B", WORKDAY(Main[[#This Row],[Tech Start Date]],19),IF(Main[[#This Row],[Class]]="A",WORKDAY(Main[[#This Row],[Tech Start Date]],9),""))))</f>
        <v/>
      </c>
      <c r="Q1206" s="67">
        <v>40903</v>
      </c>
      <c r="R1206" s="67"/>
      <c r="S1206" s="65" t="s">
        <v>11</v>
      </c>
      <c r="T1206" s="70" t="s">
        <v>3290</v>
      </c>
      <c r="U1206" s="65" t="s">
        <v>14</v>
      </c>
      <c r="V1206" s="65" t="s">
        <v>1915</v>
      </c>
      <c r="W1206" s="65" t="s">
        <v>1916</v>
      </c>
      <c r="X1206" s="65" t="s">
        <v>2816</v>
      </c>
      <c r="Y1206" s="65" t="s">
        <v>4</v>
      </c>
      <c r="Z1206" s="65" t="s">
        <v>4</v>
      </c>
      <c r="AA1206" s="65" t="s">
        <v>2816</v>
      </c>
    </row>
    <row r="1207" spans="1:27" ht="17.45" hidden="1" customHeight="1">
      <c r="A1207" s="100">
        <f>IF(priority(Main[[#This Row],[Comments]])&lt;&gt;0, priority(Main[[#This Row],[Comments]]),"")</f>
        <v>12.1</v>
      </c>
      <c r="B1207" s="77" t="s">
        <v>3291</v>
      </c>
      <c r="C1207" s="65" t="s">
        <v>3261</v>
      </c>
      <c r="D1207" s="66" t="s">
        <v>3292</v>
      </c>
      <c r="E1207" s="67"/>
      <c r="F1207" s="67">
        <v>41091</v>
      </c>
      <c r="G1207" s="64" t="str">
        <f>IF(stdProdLT(Main[[#This Row],[Comments]])=0.1,"N/A",IF(stdProdLT(Main[[#This Row],[Comments]])=0,"",stdProdLT(Main[[#This Row],[Comments]])))</f>
        <v>N/A</v>
      </c>
      <c r="H1207" s="68" t="str">
        <f>IF(AND(Main[[#This Row],[In Stock Date]]&lt;&gt;"",Main[[#This Row],[Revised Due Date]]&lt;&gt;""),Main[[#This Row],[In Stock Date]]-Main[[#This Row],[Revised Due Date]],"")</f>
        <v/>
      </c>
      <c r="I1207" s="65" t="s">
        <v>4</v>
      </c>
      <c r="J1207" s="65" t="s">
        <v>4</v>
      </c>
      <c r="K1207" s="65" t="s">
        <v>4</v>
      </c>
      <c r="L1207" s="67"/>
      <c r="M1207" s="69" t="str">
        <f>IF(Main[[#This Row],[Tech Start Date]]&lt;1/1/1990,"",IF(Main[[#This Row],[Class]]="C",WORKDAY(Main[[#This Row],[Tech Start Date]],9),IF(Main[[#This Row],[Class]]="B", WORKDAY(Main[[#This Row],[Tech Start Date]],6),IF(Main[[#This Row],[Class]]="A",WORKDAY(Main[[#This Row],[Tech Start Date]],2),""))))</f>
        <v/>
      </c>
      <c r="N1207" s="69" t="str">
        <f>IF(Main[[#This Row],[Tech Start Date]]&lt;1/1/1990,"",IF(Main[[#This Row],[Class]]="C",WORKDAY(Main[[#This Row],[Tech Start Date]],19),IF(Main[[#This Row],[Class]]="B", WORKDAY(Main[[#This Row],[Tech Start Date]],12),IF(Main[[#This Row],[Class]]="A",WORKDAY(Main[[#This Row],[Tech Start Date]],4),""))))</f>
        <v/>
      </c>
      <c r="O1207" s="69" t="str">
        <f>IF(Main[[#This Row],[Tech Start Date]]&lt;1/1/1990,"",IF(Main[[#This Row],[Class]]="C",WORKDAY(Main[[#This Row],[Tech Start Date]],23),IF(Main[[#This Row],[Class]]="B", WORKDAY(Main[[#This Row],[Tech Start Date]],15),IF(Main[[#This Row],[Class]]="A",WORKDAY(Main[[#This Row],[Tech Start Date]],5),""))))</f>
        <v/>
      </c>
      <c r="P1207" s="69" t="str">
        <f>IF(Main[[#This Row],[Tech Start Date]]&lt;1/1/1990,"",IF(Main[[#This Row],[Class]]="C",WORKDAY(Main[[#This Row],[Tech Start Date]],28),IF(Main[[#This Row],[Class]]="B", WORKDAY(Main[[#This Row],[Tech Start Date]],19),IF(Main[[#This Row],[Class]]="A",WORKDAY(Main[[#This Row],[Tech Start Date]],9),""))))</f>
        <v/>
      </c>
      <c r="Q1207" s="67">
        <v>40945</v>
      </c>
      <c r="R1207" s="67"/>
      <c r="S1207" s="65" t="s">
        <v>11</v>
      </c>
      <c r="T1207" s="70" t="s">
        <v>3293</v>
      </c>
      <c r="U1207" s="65" t="s">
        <v>14</v>
      </c>
      <c r="V1207" s="65" t="s">
        <v>1924</v>
      </c>
      <c r="W1207" s="65" t="s">
        <v>1922</v>
      </c>
      <c r="X1207" s="65" t="s">
        <v>2829</v>
      </c>
      <c r="Y1207" s="65" t="s">
        <v>2951</v>
      </c>
      <c r="Z1207" s="65" t="s">
        <v>4</v>
      </c>
      <c r="AA1207" s="65" t="s">
        <v>2829</v>
      </c>
    </row>
    <row r="1208" spans="1:27" ht="17.45" hidden="1" customHeight="1">
      <c r="A1208" s="100" t="str">
        <f>IF(priority(Main[[#This Row],[Comments]])&lt;&gt;0, priority(Main[[#This Row],[Comments]]),"")</f>
        <v/>
      </c>
      <c r="B1208" s="77" t="s">
        <v>2473</v>
      </c>
      <c r="C1208" s="65" t="s">
        <v>4</v>
      </c>
      <c r="D1208" s="66" t="s">
        <v>2474</v>
      </c>
      <c r="E1208" s="67">
        <v>40849.40829861111</v>
      </c>
      <c r="F1208" s="67"/>
      <c r="G1208" s="64" t="str">
        <f>IF(stdProdLT(Main[[#This Row],[Comments]])=0.1,"N/A",IF(stdProdLT(Main[[#This Row],[Comments]])=0,"",stdProdLT(Main[[#This Row],[Comments]])))</f>
        <v/>
      </c>
      <c r="H1208" s="68" t="str">
        <f>IF(AND(Main[[#This Row],[In Stock Date]]&lt;&gt;"",Main[[#This Row],[Revised Due Date]]&lt;&gt;""),Main[[#This Row],[In Stock Date]]-Main[[#This Row],[Revised Due Date]],"")</f>
        <v/>
      </c>
      <c r="I1208" s="65" t="s">
        <v>2044</v>
      </c>
      <c r="J1208" s="65" t="s">
        <v>21</v>
      </c>
      <c r="K1208" s="65" t="s">
        <v>1923</v>
      </c>
      <c r="L1208" s="67"/>
      <c r="M1208" s="69" t="str">
        <f>IF(Main[[#This Row],[Tech Start Date]]&lt;1/1/1990,"",IF(Main[[#This Row],[Class]]="C",WORKDAY(Main[[#This Row],[Tech Start Date]],9),IF(Main[[#This Row],[Class]]="B", WORKDAY(Main[[#This Row],[Tech Start Date]],6),IF(Main[[#This Row],[Class]]="A",WORKDAY(Main[[#This Row],[Tech Start Date]],2),""))))</f>
        <v/>
      </c>
      <c r="N1208" s="69" t="str">
        <f>IF(Main[[#This Row],[Tech Start Date]]&lt;1/1/1990,"",IF(Main[[#This Row],[Class]]="C",WORKDAY(Main[[#This Row],[Tech Start Date]],19),IF(Main[[#This Row],[Class]]="B", WORKDAY(Main[[#This Row],[Tech Start Date]],12),IF(Main[[#This Row],[Class]]="A",WORKDAY(Main[[#This Row],[Tech Start Date]],4),""))))</f>
        <v/>
      </c>
      <c r="O1208" s="69" t="str">
        <f>IF(Main[[#This Row],[Tech Start Date]]&lt;1/1/1990,"",IF(Main[[#This Row],[Class]]="C",WORKDAY(Main[[#This Row],[Tech Start Date]],23),IF(Main[[#This Row],[Class]]="B", WORKDAY(Main[[#This Row],[Tech Start Date]],15),IF(Main[[#This Row],[Class]]="A",WORKDAY(Main[[#This Row],[Tech Start Date]],5),""))))</f>
        <v/>
      </c>
      <c r="P1208" s="69" t="str">
        <f>IF(Main[[#This Row],[Tech Start Date]]&lt;1/1/1990,"",IF(Main[[#This Row],[Class]]="C",WORKDAY(Main[[#This Row],[Tech Start Date]],28),IF(Main[[#This Row],[Class]]="B", WORKDAY(Main[[#This Row],[Tech Start Date]],19),IF(Main[[#This Row],[Class]]="A",WORKDAY(Main[[#This Row],[Tech Start Date]],9),""))))</f>
        <v/>
      </c>
      <c r="Q1208" s="67">
        <v>40856</v>
      </c>
      <c r="R1208" s="67"/>
      <c r="S1208" s="65" t="s">
        <v>6</v>
      </c>
      <c r="T1208" s="70" t="s">
        <v>4</v>
      </c>
      <c r="U1208" s="65" t="s">
        <v>29</v>
      </c>
      <c r="V1208" s="65" t="s">
        <v>1917</v>
      </c>
      <c r="W1208" s="65" t="s">
        <v>1918</v>
      </c>
      <c r="X1208" s="65" t="s">
        <v>2903</v>
      </c>
      <c r="Y1208" s="65" t="s">
        <v>3083</v>
      </c>
      <c r="Z1208" s="65" t="s">
        <v>4</v>
      </c>
      <c r="AA1208" s="65" t="s">
        <v>2903</v>
      </c>
    </row>
    <row r="1209" spans="1:27" ht="17.45" hidden="1" customHeight="1">
      <c r="A1209" s="100">
        <f>IF(priority(Main[[#This Row],[Comments]])&lt;&gt;0, priority(Main[[#This Row],[Comments]]),"")</f>
        <v>8</v>
      </c>
      <c r="B1209" s="77" t="s">
        <v>3233</v>
      </c>
      <c r="C1209" s="65" t="s">
        <v>33</v>
      </c>
      <c r="D1209" s="66" t="s">
        <v>3365</v>
      </c>
      <c r="E1209" s="67"/>
      <c r="F1209" s="67">
        <v>41047</v>
      </c>
      <c r="G1209" s="64">
        <f>IF(stdProdLT(Main[[#This Row],[Comments]])=0.1,"N/A",IF(stdProdLT(Main[[#This Row],[Comments]])=0,"",stdProdLT(Main[[#This Row],[Comments]])))</f>
        <v>126</v>
      </c>
      <c r="H1209" s="68" t="str">
        <f>IF(AND(Main[[#This Row],[In Stock Date]]&lt;&gt;"",Main[[#This Row],[Revised Due Date]]&lt;&gt;""),Main[[#This Row],[In Stock Date]]-Main[[#This Row],[Revised Due Date]],"")</f>
        <v/>
      </c>
      <c r="I1209" s="65" t="s">
        <v>4</v>
      </c>
      <c r="J1209" s="65" t="s">
        <v>4</v>
      </c>
      <c r="K1209" s="71" t="s">
        <v>4</v>
      </c>
      <c r="L1209" s="67"/>
      <c r="M1209" s="69" t="str">
        <f>IF(Main[[#This Row],[Tech Start Date]]&lt;1/1/1990,"",IF(Main[[#This Row],[Class]]="C",WORKDAY(Main[[#This Row],[Tech Start Date]],9),IF(Main[[#This Row],[Class]]="B", WORKDAY(Main[[#This Row],[Tech Start Date]],6),IF(Main[[#This Row],[Class]]="A",WORKDAY(Main[[#This Row],[Tech Start Date]],2),""))))</f>
        <v/>
      </c>
      <c r="N1209" s="69" t="str">
        <f>IF(Main[[#This Row],[Tech Start Date]]&lt;1/1/1990,"",IF(Main[[#This Row],[Class]]="C",WORKDAY(Main[[#This Row],[Tech Start Date]],19),IF(Main[[#This Row],[Class]]="B", WORKDAY(Main[[#This Row],[Tech Start Date]],12),IF(Main[[#This Row],[Class]]="A",WORKDAY(Main[[#This Row],[Tech Start Date]],4),""))))</f>
        <v/>
      </c>
      <c r="O1209" s="69" t="str">
        <f>IF(Main[[#This Row],[Tech Start Date]]&lt;1/1/1990,"",IF(Main[[#This Row],[Class]]="C",WORKDAY(Main[[#This Row],[Tech Start Date]],23),IF(Main[[#This Row],[Class]]="B", WORKDAY(Main[[#This Row],[Tech Start Date]],15),IF(Main[[#This Row],[Class]]="A",WORKDAY(Main[[#This Row],[Tech Start Date]],5),""))))</f>
        <v/>
      </c>
      <c r="P1209" s="69" t="str">
        <f>IF(Main[[#This Row],[Tech Start Date]]&lt;1/1/1990,"",IF(Main[[#This Row],[Class]]="C",WORKDAY(Main[[#This Row],[Tech Start Date]],28),IF(Main[[#This Row],[Class]]="B", WORKDAY(Main[[#This Row],[Tech Start Date]],19),IF(Main[[#This Row],[Class]]="A",WORKDAY(Main[[#This Row],[Tech Start Date]],9),""))))</f>
        <v/>
      </c>
      <c r="Q1209" s="67"/>
      <c r="R1209" s="67"/>
      <c r="S1209" s="65" t="s">
        <v>11</v>
      </c>
      <c r="T1209" s="70" t="s">
        <v>3507</v>
      </c>
      <c r="U1209" s="65" t="s">
        <v>14</v>
      </c>
      <c r="V1209" s="65" t="s">
        <v>1915</v>
      </c>
      <c r="W1209" s="65" t="s">
        <v>1919</v>
      </c>
      <c r="X1209" s="65" t="s">
        <v>2875</v>
      </c>
      <c r="Y1209" s="65" t="s">
        <v>3021</v>
      </c>
      <c r="Z1209" s="65" t="s">
        <v>4</v>
      </c>
      <c r="AA1209" s="65" t="s">
        <v>2875</v>
      </c>
    </row>
    <row r="1210" spans="1:27" ht="17.45" hidden="1" customHeight="1">
      <c r="A1210" s="100" t="str">
        <f>IF(priority(Main[[#This Row],[Comments]])&lt;&gt;0, priority(Main[[#This Row],[Comments]]),"")</f>
        <v/>
      </c>
      <c r="B1210" s="77" t="s">
        <v>3309</v>
      </c>
      <c r="C1210" s="65" t="s">
        <v>4</v>
      </c>
      <c r="D1210" s="66" t="s">
        <v>3310</v>
      </c>
      <c r="E1210" s="67">
        <v>40933.744606481479</v>
      </c>
      <c r="F1210" s="67"/>
      <c r="G1210" s="64" t="str">
        <f>IF(stdProdLT(Main[[#This Row],[Comments]])=0.1,"N/A",IF(stdProdLT(Main[[#This Row],[Comments]])=0,"",stdProdLT(Main[[#This Row],[Comments]])))</f>
        <v/>
      </c>
      <c r="H1210" s="68" t="str">
        <f>IF(AND(Main[[#This Row],[In Stock Date]]&lt;&gt;"",Main[[#This Row],[Revised Due Date]]&lt;&gt;""),Main[[#This Row],[In Stock Date]]-Main[[#This Row],[Revised Due Date]],"")</f>
        <v/>
      </c>
      <c r="I1210" s="65" t="s">
        <v>4</v>
      </c>
      <c r="J1210" s="65" t="s">
        <v>28</v>
      </c>
      <c r="K1210" s="65" t="s">
        <v>1923</v>
      </c>
      <c r="L1210" s="67"/>
      <c r="M1210" s="69" t="str">
        <f>IF(Main[[#This Row],[Tech Start Date]]&lt;1/1/1990,"",IF(Main[[#This Row],[Class]]="C",WORKDAY(Main[[#This Row],[Tech Start Date]],9),IF(Main[[#This Row],[Class]]="B", WORKDAY(Main[[#This Row],[Tech Start Date]],6),IF(Main[[#This Row],[Class]]="A",WORKDAY(Main[[#This Row],[Tech Start Date]],2),""))))</f>
        <v/>
      </c>
      <c r="N1210" s="69" t="str">
        <f>IF(Main[[#This Row],[Tech Start Date]]&lt;1/1/1990,"",IF(Main[[#This Row],[Class]]="C",WORKDAY(Main[[#This Row],[Tech Start Date]],19),IF(Main[[#This Row],[Class]]="B", WORKDAY(Main[[#This Row],[Tech Start Date]],12),IF(Main[[#This Row],[Class]]="A",WORKDAY(Main[[#This Row],[Tech Start Date]],4),""))))</f>
        <v/>
      </c>
      <c r="O1210" s="69" t="str">
        <f>IF(Main[[#This Row],[Tech Start Date]]&lt;1/1/1990,"",IF(Main[[#This Row],[Class]]="C",WORKDAY(Main[[#This Row],[Tech Start Date]],23),IF(Main[[#This Row],[Class]]="B", WORKDAY(Main[[#This Row],[Tech Start Date]],15),IF(Main[[#This Row],[Class]]="A",WORKDAY(Main[[#This Row],[Tech Start Date]],5),""))))</f>
        <v/>
      </c>
      <c r="P1210" s="69" t="str">
        <f>IF(Main[[#This Row],[Tech Start Date]]&lt;1/1/1990,"",IF(Main[[#This Row],[Class]]="C",WORKDAY(Main[[#This Row],[Tech Start Date]],28),IF(Main[[#This Row],[Class]]="B", WORKDAY(Main[[#This Row],[Tech Start Date]],19),IF(Main[[#This Row],[Class]]="A",WORKDAY(Main[[#This Row],[Tech Start Date]],9),""))))</f>
        <v/>
      </c>
      <c r="Q1210" s="67">
        <v>40934</v>
      </c>
      <c r="R1210" s="67"/>
      <c r="S1210" s="65" t="s">
        <v>6</v>
      </c>
      <c r="T1210" s="70" t="s">
        <v>4</v>
      </c>
      <c r="U1210" s="65" t="s">
        <v>29</v>
      </c>
      <c r="V1210" s="65" t="s">
        <v>1914</v>
      </c>
      <c r="W1210" s="65" t="s">
        <v>1918</v>
      </c>
      <c r="X1210" s="65" t="s">
        <v>2895</v>
      </c>
      <c r="Y1210" s="65" t="s">
        <v>3060</v>
      </c>
      <c r="Z1210" s="65" t="s">
        <v>4</v>
      </c>
      <c r="AA1210" s="65" t="s">
        <v>2895</v>
      </c>
    </row>
    <row r="1211" spans="1:27" ht="17.45" hidden="1" customHeight="1">
      <c r="A1211" s="100" t="str">
        <f>IF(priority(Main[[#This Row],[Comments]])&lt;&gt;0, priority(Main[[#This Row],[Comments]]),"")</f>
        <v/>
      </c>
      <c r="B1211" s="77" t="s">
        <v>3574</v>
      </c>
      <c r="C1211" s="65" t="s">
        <v>4</v>
      </c>
      <c r="D1211" s="66" t="s">
        <v>3723</v>
      </c>
      <c r="E1211" s="67">
        <v>40952.339131944442</v>
      </c>
      <c r="F1211" s="67"/>
      <c r="G1211" s="64" t="str">
        <f>IF(stdProdLT(Main[[#This Row],[Comments]])=0.1,"N/A",IF(stdProdLT(Main[[#This Row],[Comments]])=0,"",stdProdLT(Main[[#This Row],[Comments]])))</f>
        <v/>
      </c>
      <c r="H1211" s="68" t="str">
        <f>IF(AND(Main[[#This Row],[In Stock Date]]&lt;&gt;"",Main[[#This Row],[Revised Due Date]]&lt;&gt;""),Main[[#This Row],[In Stock Date]]-Main[[#This Row],[Revised Due Date]],"")</f>
        <v/>
      </c>
      <c r="I1211" s="65" t="s">
        <v>69</v>
      </c>
      <c r="J1211" s="65" t="s">
        <v>70</v>
      </c>
      <c r="K1211" s="65" t="s">
        <v>1923</v>
      </c>
      <c r="L1211" s="67"/>
      <c r="M1211" s="69" t="str">
        <f>IF(Main[[#This Row],[Tech Start Date]]&lt;1/1/1990,"",IF(Main[[#This Row],[Class]]="C",WORKDAY(Main[[#This Row],[Tech Start Date]],9),IF(Main[[#This Row],[Class]]="B", WORKDAY(Main[[#This Row],[Tech Start Date]],6),IF(Main[[#This Row],[Class]]="A",WORKDAY(Main[[#This Row],[Tech Start Date]],2),""))))</f>
        <v/>
      </c>
      <c r="N1211" s="69" t="str">
        <f>IF(Main[[#This Row],[Tech Start Date]]&lt;1/1/1990,"",IF(Main[[#This Row],[Class]]="C",WORKDAY(Main[[#This Row],[Tech Start Date]],19),IF(Main[[#This Row],[Class]]="B", WORKDAY(Main[[#This Row],[Tech Start Date]],12),IF(Main[[#This Row],[Class]]="A",WORKDAY(Main[[#This Row],[Tech Start Date]],4),""))))</f>
        <v/>
      </c>
      <c r="O1211" s="69" t="str">
        <f>IF(Main[[#This Row],[Tech Start Date]]&lt;1/1/1990,"",IF(Main[[#This Row],[Class]]="C",WORKDAY(Main[[#This Row],[Tech Start Date]],23),IF(Main[[#This Row],[Class]]="B", WORKDAY(Main[[#This Row],[Tech Start Date]],15),IF(Main[[#This Row],[Class]]="A",WORKDAY(Main[[#This Row],[Tech Start Date]],5),""))))</f>
        <v/>
      </c>
      <c r="P1211" s="69" t="str">
        <f>IF(Main[[#This Row],[Tech Start Date]]&lt;1/1/1990,"",IF(Main[[#This Row],[Class]]="C",WORKDAY(Main[[#This Row],[Tech Start Date]],28),IF(Main[[#This Row],[Class]]="B", WORKDAY(Main[[#This Row],[Tech Start Date]],19),IF(Main[[#This Row],[Class]]="A",WORKDAY(Main[[#This Row],[Tech Start Date]],9),""))))</f>
        <v/>
      </c>
      <c r="Q1211" s="67">
        <v>40984</v>
      </c>
      <c r="R1211" s="67"/>
      <c r="S1211" s="65" t="s">
        <v>6</v>
      </c>
      <c r="T1211" s="70" t="s">
        <v>4</v>
      </c>
      <c r="U1211" s="65" t="s">
        <v>29</v>
      </c>
      <c r="V1211" s="65" t="s">
        <v>1917</v>
      </c>
      <c r="W1211" s="65" t="s">
        <v>1918</v>
      </c>
      <c r="X1211" s="65" t="s">
        <v>2903</v>
      </c>
      <c r="Y1211" s="65" t="s">
        <v>3083</v>
      </c>
      <c r="Z1211" s="65" t="s">
        <v>30</v>
      </c>
      <c r="AA1211" s="65" t="s">
        <v>2903</v>
      </c>
    </row>
    <row r="1212" spans="1:27" ht="17.45" customHeight="1">
      <c r="A1212" s="100">
        <f>IF(priority(Main[[#This Row],[Comments]])&lt;&gt;0, priority(Main[[#This Row],[Comments]]),"")</f>
        <v>14.2</v>
      </c>
      <c r="B1212" s="77" t="s">
        <v>3909</v>
      </c>
      <c r="C1212" s="65" t="s">
        <v>3910</v>
      </c>
      <c r="D1212" s="66" t="s">
        <v>3911</v>
      </c>
      <c r="E1212" s="67">
        <v>40967.308171296296</v>
      </c>
      <c r="F1212" s="67">
        <v>41050</v>
      </c>
      <c r="G1212" s="64">
        <f>IF(stdProdLT(Main[[#This Row],[Comments]])=0.1,"N/A",IF(stdProdLT(Main[[#This Row],[Comments]])=0,"",stdProdLT(Main[[#This Row],[Comments]])))</f>
        <v>112</v>
      </c>
      <c r="H1212" s="68">
        <f>IF(AND(Main[[#This Row],[In Stock Date]]&lt;&gt;"",Main[[#This Row],[Revised Due Date]]&lt;&gt;""),Main[[#This Row],[In Stock Date]]-Main[[#This Row],[Revised Due Date]],"")</f>
        <v>73</v>
      </c>
      <c r="I1212" s="65" t="s">
        <v>561</v>
      </c>
      <c r="J1212" s="65" t="s">
        <v>28</v>
      </c>
      <c r="K1212" s="65" t="s">
        <v>1921</v>
      </c>
      <c r="L1212" s="67">
        <v>40967</v>
      </c>
      <c r="M1212" s="69">
        <f>IF(Main[[#This Row],[Tech Start Date]]&lt;1/1/1990,"",IF(Main[[#This Row],[Class]]="C",WORKDAY(Main[[#This Row],[Tech Start Date]],9),IF(Main[[#This Row],[Class]]="B", WORKDAY(Main[[#This Row],[Tech Start Date]],6),IF(Main[[#This Row],[Class]]="A",WORKDAY(Main[[#This Row],[Tech Start Date]],2),""))))</f>
        <v>40975</v>
      </c>
      <c r="N1212" s="69">
        <f>IF(Main[[#This Row],[Tech Start Date]]&lt;1/1/1990,"",IF(Main[[#This Row],[Class]]="C",WORKDAY(Main[[#This Row],[Tech Start Date]],19),IF(Main[[#This Row],[Class]]="B", WORKDAY(Main[[#This Row],[Tech Start Date]],12),IF(Main[[#This Row],[Class]]="A",WORKDAY(Main[[#This Row],[Tech Start Date]],4),""))))</f>
        <v>40983</v>
      </c>
      <c r="O1212" s="69">
        <f>IF(Main[[#This Row],[Tech Start Date]]&lt;1/1/1990,"",IF(Main[[#This Row],[Class]]="C",WORKDAY(Main[[#This Row],[Tech Start Date]],23),IF(Main[[#This Row],[Class]]="B", WORKDAY(Main[[#This Row],[Tech Start Date]],15),IF(Main[[#This Row],[Class]]="A",WORKDAY(Main[[#This Row],[Tech Start Date]],5),""))))</f>
        <v>40988</v>
      </c>
      <c r="P1212" s="69">
        <f>IF(Main[[#This Row],[Tech Start Date]]&lt;1/1/1990,"",IF(Main[[#This Row],[Class]]="C",WORKDAY(Main[[#This Row],[Tech Start Date]],28),IF(Main[[#This Row],[Class]]="B", WORKDAY(Main[[#This Row],[Tech Start Date]],19),IF(Main[[#This Row],[Class]]="A",WORKDAY(Main[[#This Row],[Tech Start Date]],9),""))))</f>
        <v>40994</v>
      </c>
      <c r="Q1212" s="67">
        <v>40973</v>
      </c>
      <c r="R1212" s="67">
        <v>40977</v>
      </c>
      <c r="S1212" s="65" t="s">
        <v>11</v>
      </c>
      <c r="T1212" s="70" t="s">
        <v>3912</v>
      </c>
      <c r="U1212" s="65" t="s">
        <v>29</v>
      </c>
      <c r="V1212" s="65" t="s">
        <v>1914</v>
      </c>
      <c r="W1212" s="65" t="s">
        <v>1922</v>
      </c>
      <c r="X1212" s="65" t="s">
        <v>2911</v>
      </c>
      <c r="Y1212" s="65" t="s">
        <v>4</v>
      </c>
      <c r="Z1212" s="65" t="s">
        <v>912</v>
      </c>
      <c r="AA1212" s="65" t="s">
        <v>3913</v>
      </c>
    </row>
    <row r="1213" spans="1:27" ht="17.45" hidden="1" customHeight="1">
      <c r="A1213" s="100" t="str">
        <f>IF(priority(Main[[#This Row],[Comments]])&lt;&gt;0, priority(Main[[#This Row],[Comments]]),"")</f>
        <v/>
      </c>
      <c r="B1213" s="77" t="s">
        <v>1848</v>
      </c>
      <c r="C1213" s="65" t="s">
        <v>4</v>
      </c>
      <c r="D1213" s="66" t="s">
        <v>904</v>
      </c>
      <c r="E1213" s="67">
        <v>39968.569513888891</v>
      </c>
      <c r="F1213" s="67">
        <v>40298</v>
      </c>
      <c r="G1213" s="64" t="str">
        <f>IF(stdProdLT(Main[[#This Row],[Comments]])=0.1,"N/A",IF(stdProdLT(Main[[#This Row],[Comments]])=0,"",stdProdLT(Main[[#This Row],[Comments]])))</f>
        <v/>
      </c>
      <c r="H1213" s="68">
        <f>IF(AND(Main[[#This Row],[In Stock Date]]&lt;&gt;"",Main[[#This Row],[Revised Due Date]]&lt;&gt;""),Main[[#This Row],[In Stock Date]]-Main[[#This Row],[Revised Due Date]],"")</f>
        <v>-704</v>
      </c>
      <c r="I1213" s="65" t="s">
        <v>974</v>
      </c>
      <c r="J1213" s="65" t="s">
        <v>4</v>
      </c>
      <c r="K1213" s="65" t="s">
        <v>1926</v>
      </c>
      <c r="L1213" s="67"/>
      <c r="M1213" s="69" t="str">
        <f>IF(Main[[#This Row],[Tech Start Date]]&lt;1/1/1990,"",IF(Main[[#This Row],[Class]]="C",WORKDAY(Main[[#This Row],[Tech Start Date]],9),IF(Main[[#This Row],[Class]]="B", WORKDAY(Main[[#This Row],[Tech Start Date]],6),IF(Main[[#This Row],[Class]]="A",WORKDAY(Main[[#This Row],[Tech Start Date]],2),""))))</f>
        <v/>
      </c>
      <c r="N1213" s="69" t="str">
        <f>IF(Main[[#This Row],[Tech Start Date]]&lt;1/1/1990,"",IF(Main[[#This Row],[Class]]="C",WORKDAY(Main[[#This Row],[Tech Start Date]],19),IF(Main[[#This Row],[Class]]="B", WORKDAY(Main[[#This Row],[Tech Start Date]],12),IF(Main[[#This Row],[Class]]="A",WORKDAY(Main[[#This Row],[Tech Start Date]],4),""))))</f>
        <v/>
      </c>
      <c r="O1213" s="69" t="str">
        <f>IF(Main[[#This Row],[Tech Start Date]]&lt;1/1/1990,"",IF(Main[[#This Row],[Class]]="C",WORKDAY(Main[[#This Row],[Tech Start Date]],23),IF(Main[[#This Row],[Class]]="B", WORKDAY(Main[[#This Row],[Tech Start Date]],15),IF(Main[[#This Row],[Class]]="A",WORKDAY(Main[[#This Row],[Tech Start Date]],5),""))))</f>
        <v/>
      </c>
      <c r="P1213" s="69" t="str">
        <f>IF(Main[[#This Row],[Tech Start Date]]&lt;1/1/1990,"",IF(Main[[#This Row],[Class]]="C",WORKDAY(Main[[#This Row],[Tech Start Date]],28),IF(Main[[#This Row],[Class]]="B", WORKDAY(Main[[#This Row],[Tech Start Date]],19),IF(Main[[#This Row],[Class]]="A",WORKDAY(Main[[#This Row],[Tech Start Date]],9),""))))</f>
        <v/>
      </c>
      <c r="Q1213" s="67">
        <v>40165</v>
      </c>
      <c r="R1213" s="67">
        <v>41002</v>
      </c>
      <c r="S1213" s="65" t="s">
        <v>17</v>
      </c>
      <c r="T1213" s="70" t="s">
        <v>4</v>
      </c>
      <c r="U1213" s="65" t="s">
        <v>29</v>
      </c>
      <c r="V1213" s="65" t="s">
        <v>1917</v>
      </c>
      <c r="W1213" s="65" t="s">
        <v>1919</v>
      </c>
      <c r="X1213" s="65" t="s">
        <v>968</v>
      </c>
      <c r="Y1213" s="65" t="s">
        <v>3115</v>
      </c>
      <c r="Z1213" s="65" t="s">
        <v>415</v>
      </c>
      <c r="AA1213" s="65" t="s">
        <v>968</v>
      </c>
    </row>
    <row r="1214" spans="1:27" ht="17.45" hidden="1" customHeight="1">
      <c r="A1214" s="100" t="str">
        <f>IF(priority(Main[[#This Row],[Comments]])&lt;&gt;0, priority(Main[[#This Row],[Comments]]),"")</f>
        <v/>
      </c>
      <c r="B1214" s="77" t="s">
        <v>1037</v>
      </c>
      <c r="C1214" s="65" t="s">
        <v>33</v>
      </c>
      <c r="D1214" s="66" t="s">
        <v>3726</v>
      </c>
      <c r="E1214" s="67">
        <v>40345.428090277775</v>
      </c>
      <c r="F1214" s="67"/>
      <c r="G1214" s="64" t="str">
        <f>IF(stdProdLT(Main[[#This Row],[Comments]])=0.1,"N/A",IF(stdProdLT(Main[[#This Row],[Comments]])=0,"",stdProdLT(Main[[#This Row],[Comments]])))</f>
        <v/>
      </c>
      <c r="H1214" s="68" t="str">
        <f>IF(AND(Main[[#This Row],[In Stock Date]]&lt;&gt;"",Main[[#This Row],[Revised Due Date]]&lt;&gt;""),Main[[#This Row],[In Stock Date]]-Main[[#This Row],[Revised Due Date]],"")</f>
        <v/>
      </c>
      <c r="I1214" s="65" t="s">
        <v>969</v>
      </c>
      <c r="J1214" s="65" t="s">
        <v>28</v>
      </c>
      <c r="K1214" s="65" t="s">
        <v>4</v>
      </c>
      <c r="L1214" s="67"/>
      <c r="M1214" s="69" t="str">
        <f>IF(Main[[#This Row],[Tech Start Date]]&lt;1/1/1990,"",IF(Main[[#This Row],[Class]]="C",WORKDAY(Main[[#This Row],[Tech Start Date]],9),IF(Main[[#This Row],[Class]]="B", WORKDAY(Main[[#This Row],[Tech Start Date]],6),IF(Main[[#This Row],[Class]]="A",WORKDAY(Main[[#This Row],[Tech Start Date]],2),""))))</f>
        <v/>
      </c>
      <c r="N1214" s="69" t="str">
        <f>IF(Main[[#This Row],[Tech Start Date]]&lt;1/1/1990,"",IF(Main[[#This Row],[Class]]="C",WORKDAY(Main[[#This Row],[Tech Start Date]],19),IF(Main[[#This Row],[Class]]="B", WORKDAY(Main[[#This Row],[Tech Start Date]],12),IF(Main[[#This Row],[Class]]="A",WORKDAY(Main[[#This Row],[Tech Start Date]],4),""))))</f>
        <v/>
      </c>
      <c r="O1214" s="69" t="str">
        <f>IF(Main[[#This Row],[Tech Start Date]]&lt;1/1/1990,"",IF(Main[[#This Row],[Class]]="C",WORKDAY(Main[[#This Row],[Tech Start Date]],23),IF(Main[[#This Row],[Class]]="B", WORKDAY(Main[[#This Row],[Tech Start Date]],15),IF(Main[[#This Row],[Class]]="A",WORKDAY(Main[[#This Row],[Tech Start Date]],5),""))))</f>
        <v/>
      </c>
      <c r="P1214" s="69" t="str">
        <f>IF(Main[[#This Row],[Tech Start Date]]&lt;1/1/1990,"",IF(Main[[#This Row],[Class]]="C",WORKDAY(Main[[#This Row],[Tech Start Date]],28),IF(Main[[#This Row],[Class]]="B", WORKDAY(Main[[#This Row],[Tech Start Date]],19),IF(Main[[#This Row],[Class]]="A",WORKDAY(Main[[#This Row],[Tech Start Date]],9),""))))</f>
        <v/>
      </c>
      <c r="Q1214" s="67">
        <v>40384</v>
      </c>
      <c r="R1214" s="67">
        <v>41029</v>
      </c>
      <c r="S1214" s="65" t="s">
        <v>17</v>
      </c>
      <c r="T1214" s="70" t="s">
        <v>2320</v>
      </c>
      <c r="U1214" s="65" t="s">
        <v>29</v>
      </c>
      <c r="V1214" s="65" t="s">
        <v>1914</v>
      </c>
      <c r="W1214" s="65" t="s">
        <v>1919</v>
      </c>
      <c r="X1214" s="65" t="s">
        <v>2875</v>
      </c>
      <c r="Y1214" s="65" t="s">
        <v>3021</v>
      </c>
      <c r="Z1214" s="65" t="s">
        <v>129</v>
      </c>
      <c r="AA1214" s="65" t="s">
        <v>2875</v>
      </c>
    </row>
    <row r="1215" spans="1:27" ht="17.45" hidden="1" customHeight="1">
      <c r="A1215" s="100" t="str">
        <f>IF(priority(Main[[#This Row],[Comments]])&lt;&gt;0, priority(Main[[#This Row],[Comments]]),"")</f>
        <v/>
      </c>
      <c r="B1215" s="77" t="s">
        <v>3274</v>
      </c>
      <c r="C1215" s="65" t="s">
        <v>4</v>
      </c>
      <c r="D1215" s="66" t="s">
        <v>3727</v>
      </c>
      <c r="E1215" s="67">
        <v>40932.302083333336</v>
      </c>
      <c r="F1215" s="67"/>
      <c r="G1215" s="64" t="str">
        <f>IF(stdProdLT(Main[[#This Row],[Comments]])=0.1,"N/A",IF(stdProdLT(Main[[#This Row],[Comments]])=0,"",stdProdLT(Main[[#This Row],[Comments]])))</f>
        <v/>
      </c>
      <c r="H1215" s="68" t="str">
        <f>IF(AND(Main[[#This Row],[In Stock Date]]&lt;&gt;"",Main[[#This Row],[Revised Due Date]]&lt;&gt;""),Main[[#This Row],[In Stock Date]]-Main[[#This Row],[Revised Due Date]],"")</f>
        <v/>
      </c>
      <c r="I1215" s="65" t="s">
        <v>69</v>
      </c>
      <c r="J1215" s="65" t="s">
        <v>70</v>
      </c>
      <c r="K1215" s="65" t="s">
        <v>1923</v>
      </c>
      <c r="L1215" s="67"/>
      <c r="M1215" s="69" t="str">
        <f>IF(Main[[#This Row],[Tech Start Date]]&lt;1/1/1990,"",IF(Main[[#This Row],[Class]]="C",WORKDAY(Main[[#This Row],[Tech Start Date]],9),IF(Main[[#This Row],[Class]]="B", WORKDAY(Main[[#This Row],[Tech Start Date]],6),IF(Main[[#This Row],[Class]]="A",WORKDAY(Main[[#This Row],[Tech Start Date]],2),""))))</f>
        <v/>
      </c>
      <c r="N1215" s="69" t="str">
        <f>IF(Main[[#This Row],[Tech Start Date]]&lt;1/1/1990,"",IF(Main[[#This Row],[Class]]="C",WORKDAY(Main[[#This Row],[Tech Start Date]],19),IF(Main[[#This Row],[Class]]="B", WORKDAY(Main[[#This Row],[Tech Start Date]],12),IF(Main[[#This Row],[Class]]="A",WORKDAY(Main[[#This Row],[Tech Start Date]],4),""))))</f>
        <v/>
      </c>
      <c r="O1215" s="69" t="str">
        <f>IF(Main[[#This Row],[Tech Start Date]]&lt;1/1/1990,"",IF(Main[[#This Row],[Class]]="C",WORKDAY(Main[[#This Row],[Tech Start Date]],23),IF(Main[[#This Row],[Class]]="B", WORKDAY(Main[[#This Row],[Tech Start Date]],15),IF(Main[[#This Row],[Class]]="A",WORKDAY(Main[[#This Row],[Tech Start Date]],5),""))))</f>
        <v/>
      </c>
      <c r="P1215" s="69" t="str">
        <f>IF(Main[[#This Row],[Tech Start Date]]&lt;1/1/1990,"",IF(Main[[#This Row],[Class]]="C",WORKDAY(Main[[#This Row],[Tech Start Date]],28),IF(Main[[#This Row],[Class]]="B", WORKDAY(Main[[#This Row],[Tech Start Date]],19),IF(Main[[#This Row],[Class]]="A",WORKDAY(Main[[#This Row],[Tech Start Date]],9),""))))</f>
        <v/>
      </c>
      <c r="Q1215" s="67">
        <v>40999</v>
      </c>
      <c r="R1215" s="67"/>
      <c r="S1215" s="65" t="s">
        <v>6</v>
      </c>
      <c r="T1215" s="70" t="s">
        <v>4</v>
      </c>
      <c r="U1215" s="65" t="s">
        <v>29</v>
      </c>
      <c r="V1215" s="65" t="s">
        <v>1917</v>
      </c>
      <c r="W1215" s="65" t="s">
        <v>1918</v>
      </c>
      <c r="X1215" s="65" t="s">
        <v>2903</v>
      </c>
      <c r="Y1215" s="65" t="s">
        <v>3083</v>
      </c>
      <c r="Z1215" s="65" t="s">
        <v>30</v>
      </c>
      <c r="AA1215" s="65" t="s">
        <v>2903</v>
      </c>
    </row>
    <row r="1216" spans="1:27" ht="17.45" hidden="1" customHeight="1">
      <c r="A1216" s="100" t="str">
        <f>IF(priority(Main[[#This Row],[Comments]])&lt;&gt;0, priority(Main[[#This Row],[Comments]]),"")</f>
        <v/>
      </c>
      <c r="B1216" s="77" t="s">
        <v>3728</v>
      </c>
      <c r="C1216" s="65" t="s">
        <v>4</v>
      </c>
      <c r="D1216" s="66" t="s">
        <v>3729</v>
      </c>
      <c r="E1216" s="67">
        <v>40961.570833333331</v>
      </c>
      <c r="F1216" s="67"/>
      <c r="G1216" s="64" t="str">
        <f>IF(stdProdLT(Main[[#This Row],[Comments]])=0.1,"N/A",IF(stdProdLT(Main[[#This Row],[Comments]])=0,"",stdProdLT(Main[[#This Row],[Comments]])))</f>
        <v/>
      </c>
      <c r="H1216" s="68" t="str">
        <f>IF(AND(Main[[#This Row],[In Stock Date]]&lt;&gt;"",Main[[#This Row],[Revised Due Date]]&lt;&gt;""),Main[[#This Row],[In Stock Date]]-Main[[#This Row],[Revised Due Date]],"")</f>
        <v/>
      </c>
      <c r="I1216" s="65" t="s">
        <v>2051</v>
      </c>
      <c r="J1216" s="65" t="s">
        <v>28</v>
      </c>
      <c r="K1216" s="65" t="s">
        <v>1923</v>
      </c>
      <c r="L1216" s="67"/>
      <c r="M1216" s="69" t="str">
        <f>IF(Main[[#This Row],[Tech Start Date]]&lt;1/1/1990,"",IF(Main[[#This Row],[Class]]="C",WORKDAY(Main[[#This Row],[Tech Start Date]],9),IF(Main[[#This Row],[Class]]="B", WORKDAY(Main[[#This Row],[Tech Start Date]],6),IF(Main[[#This Row],[Class]]="A",WORKDAY(Main[[#This Row],[Tech Start Date]],2),""))))</f>
        <v/>
      </c>
      <c r="N1216" s="69" t="str">
        <f>IF(Main[[#This Row],[Tech Start Date]]&lt;1/1/1990,"",IF(Main[[#This Row],[Class]]="C",WORKDAY(Main[[#This Row],[Tech Start Date]],19),IF(Main[[#This Row],[Class]]="B", WORKDAY(Main[[#This Row],[Tech Start Date]],12),IF(Main[[#This Row],[Class]]="A",WORKDAY(Main[[#This Row],[Tech Start Date]],4),""))))</f>
        <v/>
      </c>
      <c r="O1216" s="69" t="str">
        <f>IF(Main[[#This Row],[Tech Start Date]]&lt;1/1/1990,"",IF(Main[[#This Row],[Class]]="C",WORKDAY(Main[[#This Row],[Tech Start Date]],23),IF(Main[[#This Row],[Class]]="B", WORKDAY(Main[[#This Row],[Tech Start Date]],15),IF(Main[[#This Row],[Class]]="A",WORKDAY(Main[[#This Row],[Tech Start Date]],5),""))))</f>
        <v/>
      </c>
      <c r="P1216" s="69" t="str">
        <f>IF(Main[[#This Row],[Tech Start Date]]&lt;1/1/1990,"",IF(Main[[#This Row],[Class]]="C",WORKDAY(Main[[#This Row],[Tech Start Date]],28),IF(Main[[#This Row],[Class]]="B", WORKDAY(Main[[#This Row],[Tech Start Date]],19),IF(Main[[#This Row],[Class]]="A",WORKDAY(Main[[#This Row],[Tech Start Date]],9),""))))</f>
        <v/>
      </c>
      <c r="Q1216" s="67"/>
      <c r="R1216" s="67"/>
      <c r="S1216" s="65" t="s">
        <v>6</v>
      </c>
      <c r="T1216" s="70" t="s">
        <v>4</v>
      </c>
      <c r="U1216" s="65" t="s">
        <v>29</v>
      </c>
      <c r="V1216" s="65" t="s">
        <v>1917</v>
      </c>
      <c r="W1216" s="65" t="s">
        <v>1918</v>
      </c>
      <c r="X1216" s="65" t="s">
        <v>2841</v>
      </c>
      <c r="Y1216" s="65" t="s">
        <v>2971</v>
      </c>
      <c r="Z1216" s="65" t="s">
        <v>30</v>
      </c>
      <c r="AA1216" s="65" t="s">
        <v>2841</v>
      </c>
    </row>
    <row r="1217" spans="1:27" ht="17.45" hidden="1" customHeight="1">
      <c r="A1217" s="100" t="str">
        <f>IF(priority(Main[[#This Row],[Comments]])&lt;&gt;0, priority(Main[[#This Row],[Comments]]),"")</f>
        <v/>
      </c>
      <c r="B1217" s="77" t="s">
        <v>3282</v>
      </c>
      <c r="C1217" s="65" t="s">
        <v>4</v>
      </c>
      <c r="D1217" s="66" t="s">
        <v>3730</v>
      </c>
      <c r="E1217" s="67">
        <v>40932.643865740742</v>
      </c>
      <c r="F1217" s="67"/>
      <c r="G1217" s="64" t="str">
        <f>IF(stdProdLT(Main[[#This Row],[Comments]])=0.1,"N/A",IF(stdProdLT(Main[[#This Row],[Comments]])=0,"",stdProdLT(Main[[#This Row],[Comments]])))</f>
        <v/>
      </c>
      <c r="H1217" s="68" t="str">
        <f>IF(AND(Main[[#This Row],[In Stock Date]]&lt;&gt;"",Main[[#This Row],[Revised Due Date]]&lt;&gt;""),Main[[#This Row],[In Stock Date]]-Main[[#This Row],[Revised Due Date]],"")</f>
        <v/>
      </c>
      <c r="I1217" s="65" t="s">
        <v>69</v>
      </c>
      <c r="J1217" s="65" t="s">
        <v>4</v>
      </c>
      <c r="K1217" s="65" t="s">
        <v>4</v>
      </c>
      <c r="L1217" s="67"/>
      <c r="M1217" s="69" t="str">
        <f>IF(Main[[#This Row],[Tech Start Date]]&lt;1/1/1990,"",IF(Main[[#This Row],[Class]]="C",WORKDAY(Main[[#This Row],[Tech Start Date]],9),IF(Main[[#This Row],[Class]]="B", WORKDAY(Main[[#This Row],[Tech Start Date]],6),IF(Main[[#This Row],[Class]]="A",WORKDAY(Main[[#This Row],[Tech Start Date]],2),""))))</f>
        <v/>
      </c>
      <c r="N1217" s="69" t="str">
        <f>IF(Main[[#This Row],[Tech Start Date]]&lt;1/1/1990,"",IF(Main[[#This Row],[Class]]="C",WORKDAY(Main[[#This Row],[Tech Start Date]],19),IF(Main[[#This Row],[Class]]="B", WORKDAY(Main[[#This Row],[Tech Start Date]],12),IF(Main[[#This Row],[Class]]="A",WORKDAY(Main[[#This Row],[Tech Start Date]],4),""))))</f>
        <v/>
      </c>
      <c r="O1217" s="69" t="str">
        <f>IF(Main[[#This Row],[Tech Start Date]]&lt;1/1/1990,"",IF(Main[[#This Row],[Class]]="C",WORKDAY(Main[[#This Row],[Tech Start Date]],23),IF(Main[[#This Row],[Class]]="B", WORKDAY(Main[[#This Row],[Tech Start Date]],15),IF(Main[[#This Row],[Class]]="A",WORKDAY(Main[[#This Row],[Tech Start Date]],5),""))))</f>
        <v/>
      </c>
      <c r="P1217" s="69" t="str">
        <f>IF(Main[[#This Row],[Tech Start Date]]&lt;1/1/1990,"",IF(Main[[#This Row],[Class]]="C",WORKDAY(Main[[#This Row],[Tech Start Date]],28),IF(Main[[#This Row],[Class]]="B", WORKDAY(Main[[#This Row],[Tech Start Date]],19),IF(Main[[#This Row],[Class]]="A",WORKDAY(Main[[#This Row],[Tech Start Date]],9),""))))</f>
        <v/>
      </c>
      <c r="Q1217" s="67">
        <v>40968</v>
      </c>
      <c r="R1217" s="67"/>
      <c r="S1217" s="65" t="s">
        <v>6</v>
      </c>
      <c r="T1217" s="70" t="s">
        <v>4</v>
      </c>
      <c r="U1217" s="65" t="s">
        <v>29</v>
      </c>
      <c r="V1217" s="65" t="s">
        <v>1924</v>
      </c>
      <c r="W1217" s="65" t="s">
        <v>1918</v>
      </c>
      <c r="X1217" s="65" t="s">
        <v>2819</v>
      </c>
      <c r="Y1217" s="65" t="s">
        <v>2932</v>
      </c>
      <c r="Z1217" s="65" t="s">
        <v>30</v>
      </c>
      <c r="AA1217" s="65" t="s">
        <v>2819</v>
      </c>
    </row>
    <row r="1218" spans="1:27" ht="17.45" hidden="1" customHeight="1">
      <c r="A1218" s="100" t="str">
        <f>IF(priority(Main[[#This Row],[Comments]])&lt;&gt;0, priority(Main[[#This Row],[Comments]]),"")</f>
        <v/>
      </c>
      <c r="B1218" s="77" t="s">
        <v>3731</v>
      </c>
      <c r="C1218" s="65" t="s">
        <v>4</v>
      </c>
      <c r="D1218" s="66" t="s">
        <v>3732</v>
      </c>
      <c r="E1218" s="67">
        <v>40961.263599537036</v>
      </c>
      <c r="F1218" s="67"/>
      <c r="G1218" s="64" t="str">
        <f>IF(stdProdLT(Main[[#This Row],[Comments]])=0.1,"N/A",IF(stdProdLT(Main[[#This Row],[Comments]])=0,"",stdProdLT(Main[[#This Row],[Comments]])))</f>
        <v/>
      </c>
      <c r="H1218" s="68" t="str">
        <f>IF(AND(Main[[#This Row],[In Stock Date]]&lt;&gt;"",Main[[#This Row],[Revised Due Date]]&lt;&gt;""),Main[[#This Row],[In Stock Date]]-Main[[#This Row],[Revised Due Date]],"")</f>
        <v/>
      </c>
      <c r="I1218" s="65" t="s">
        <v>4</v>
      </c>
      <c r="J1218" s="65" t="s">
        <v>4</v>
      </c>
      <c r="K1218" s="65" t="s">
        <v>4</v>
      </c>
      <c r="L1218" s="67"/>
      <c r="M1218" s="69" t="str">
        <f>IF(Main[[#This Row],[Tech Start Date]]&lt;1/1/1990,"",IF(Main[[#This Row],[Class]]="C",WORKDAY(Main[[#This Row],[Tech Start Date]],9),IF(Main[[#This Row],[Class]]="B", WORKDAY(Main[[#This Row],[Tech Start Date]],6),IF(Main[[#This Row],[Class]]="A",WORKDAY(Main[[#This Row],[Tech Start Date]],2),""))))</f>
        <v/>
      </c>
      <c r="N1218" s="69" t="str">
        <f>IF(Main[[#This Row],[Tech Start Date]]&lt;1/1/1990,"",IF(Main[[#This Row],[Class]]="C",WORKDAY(Main[[#This Row],[Tech Start Date]],19),IF(Main[[#This Row],[Class]]="B", WORKDAY(Main[[#This Row],[Tech Start Date]],12),IF(Main[[#This Row],[Class]]="A",WORKDAY(Main[[#This Row],[Tech Start Date]],4),""))))</f>
        <v/>
      </c>
      <c r="O1218" s="69" t="str">
        <f>IF(Main[[#This Row],[Tech Start Date]]&lt;1/1/1990,"",IF(Main[[#This Row],[Class]]="C",WORKDAY(Main[[#This Row],[Tech Start Date]],23),IF(Main[[#This Row],[Class]]="B", WORKDAY(Main[[#This Row],[Tech Start Date]],15),IF(Main[[#This Row],[Class]]="A",WORKDAY(Main[[#This Row],[Tech Start Date]],5),""))))</f>
        <v/>
      </c>
      <c r="P1218" s="69" t="str">
        <f>IF(Main[[#This Row],[Tech Start Date]]&lt;1/1/1990,"",IF(Main[[#This Row],[Class]]="C",WORKDAY(Main[[#This Row],[Tech Start Date]],28),IF(Main[[#This Row],[Class]]="B", WORKDAY(Main[[#This Row],[Tech Start Date]],19),IF(Main[[#This Row],[Class]]="A",WORKDAY(Main[[#This Row],[Tech Start Date]],9),""))))</f>
        <v/>
      </c>
      <c r="Q1218" s="67">
        <v>40990</v>
      </c>
      <c r="R1218" s="67"/>
      <c r="S1218" s="65" t="s">
        <v>6</v>
      </c>
      <c r="T1218" s="70" t="s">
        <v>4</v>
      </c>
      <c r="U1218" s="65" t="s">
        <v>7</v>
      </c>
      <c r="V1218" s="65" t="s">
        <v>1914</v>
      </c>
      <c r="W1218" s="65" t="s">
        <v>4</v>
      </c>
      <c r="X1218" s="65" t="s">
        <v>2822</v>
      </c>
      <c r="Y1218" s="65" t="s">
        <v>2938</v>
      </c>
      <c r="Z1218" s="65" t="s">
        <v>4</v>
      </c>
      <c r="AA1218" s="65" t="s">
        <v>2822</v>
      </c>
    </row>
    <row r="1219" spans="1:27" ht="17.45" hidden="1" customHeight="1">
      <c r="A1219" s="100" t="str">
        <f>IF(priority(Main[[#This Row],[Comments]])&lt;&gt;0, priority(Main[[#This Row],[Comments]]),"")</f>
        <v/>
      </c>
      <c r="B1219" s="77" t="s">
        <v>2676</v>
      </c>
      <c r="C1219" s="65" t="s">
        <v>4</v>
      </c>
      <c r="D1219" s="66" t="s">
        <v>3733</v>
      </c>
      <c r="E1219" s="67">
        <v>40882.142546296294</v>
      </c>
      <c r="F1219" s="67"/>
      <c r="G1219" s="64" t="str">
        <f>IF(stdProdLT(Main[[#This Row],[Comments]])=0.1,"N/A",IF(stdProdLT(Main[[#This Row],[Comments]])=0,"",stdProdLT(Main[[#This Row],[Comments]])))</f>
        <v/>
      </c>
      <c r="H1219" s="68" t="str">
        <f>IF(AND(Main[[#This Row],[In Stock Date]]&lt;&gt;"",Main[[#This Row],[Revised Due Date]]&lt;&gt;""),Main[[#This Row],[In Stock Date]]-Main[[#This Row],[Revised Due Date]],"")</f>
        <v/>
      </c>
      <c r="I1219" s="65" t="s">
        <v>69</v>
      </c>
      <c r="J1219" s="65" t="s">
        <v>70</v>
      </c>
      <c r="K1219" s="71" t="s">
        <v>1923</v>
      </c>
      <c r="L1219" s="67"/>
      <c r="M1219" s="69" t="str">
        <f>IF(Main[[#This Row],[Tech Start Date]]&lt;1/1/1990,"",IF(Main[[#This Row],[Class]]="C",WORKDAY(Main[[#This Row],[Tech Start Date]],9),IF(Main[[#This Row],[Class]]="B", WORKDAY(Main[[#This Row],[Tech Start Date]],6),IF(Main[[#This Row],[Class]]="A",WORKDAY(Main[[#This Row],[Tech Start Date]],2),""))))</f>
        <v/>
      </c>
      <c r="N1219" s="69" t="str">
        <f>IF(Main[[#This Row],[Tech Start Date]]&lt;1/1/1990,"",IF(Main[[#This Row],[Class]]="C",WORKDAY(Main[[#This Row],[Tech Start Date]],19),IF(Main[[#This Row],[Class]]="B", WORKDAY(Main[[#This Row],[Tech Start Date]],12),IF(Main[[#This Row],[Class]]="A",WORKDAY(Main[[#This Row],[Tech Start Date]],4),""))))</f>
        <v/>
      </c>
      <c r="O1219" s="69" t="str">
        <f>IF(Main[[#This Row],[Tech Start Date]]&lt;1/1/1990,"",IF(Main[[#This Row],[Class]]="C",WORKDAY(Main[[#This Row],[Tech Start Date]],23),IF(Main[[#This Row],[Class]]="B", WORKDAY(Main[[#This Row],[Tech Start Date]],15),IF(Main[[#This Row],[Class]]="A",WORKDAY(Main[[#This Row],[Tech Start Date]],5),""))))</f>
        <v/>
      </c>
      <c r="P1219" s="69" t="str">
        <f>IF(Main[[#This Row],[Tech Start Date]]&lt;1/1/1990,"",IF(Main[[#This Row],[Class]]="C",WORKDAY(Main[[#This Row],[Tech Start Date]],28),IF(Main[[#This Row],[Class]]="B", WORKDAY(Main[[#This Row],[Tech Start Date]],19),IF(Main[[#This Row],[Class]]="A",WORKDAY(Main[[#This Row],[Tech Start Date]],9),""))))</f>
        <v/>
      </c>
      <c r="Q1219" s="67">
        <v>40913</v>
      </c>
      <c r="R1219" s="67"/>
      <c r="S1219" s="65" t="s">
        <v>6</v>
      </c>
      <c r="T1219" s="70" t="s">
        <v>4</v>
      </c>
      <c r="U1219" s="65" t="s">
        <v>29</v>
      </c>
      <c r="V1219" s="65" t="s">
        <v>1917</v>
      </c>
      <c r="W1219" s="65" t="s">
        <v>1918</v>
      </c>
      <c r="X1219" s="65" t="s">
        <v>2822</v>
      </c>
      <c r="Y1219" s="65" t="s">
        <v>2938</v>
      </c>
      <c r="Z1219" s="65" t="s">
        <v>30</v>
      </c>
      <c r="AA1219" s="65" t="s">
        <v>2822</v>
      </c>
    </row>
    <row r="1220" spans="1:27" ht="17.45" hidden="1" customHeight="1">
      <c r="A1220" s="100" t="str">
        <f>IF(priority(Main[[#This Row],[Comments]])&lt;&gt;0, priority(Main[[#This Row],[Comments]]),"")</f>
        <v/>
      </c>
      <c r="B1220" s="77" t="s">
        <v>2677</v>
      </c>
      <c r="C1220" s="65" t="s">
        <v>4</v>
      </c>
      <c r="D1220" s="66" t="s">
        <v>3734</v>
      </c>
      <c r="E1220" s="67">
        <v>40882.367037037038</v>
      </c>
      <c r="F1220" s="67"/>
      <c r="G1220" s="64" t="str">
        <f>IF(stdProdLT(Main[[#This Row],[Comments]])=0.1,"N/A",IF(stdProdLT(Main[[#This Row],[Comments]])=0,"",stdProdLT(Main[[#This Row],[Comments]])))</f>
        <v/>
      </c>
      <c r="H1220" s="68" t="str">
        <f>IF(AND(Main[[#This Row],[In Stock Date]]&lt;&gt;"",Main[[#This Row],[Revised Due Date]]&lt;&gt;""),Main[[#This Row],[In Stock Date]]-Main[[#This Row],[Revised Due Date]],"")</f>
        <v/>
      </c>
      <c r="I1220" s="65" t="s">
        <v>69</v>
      </c>
      <c r="J1220" s="65" t="s">
        <v>70</v>
      </c>
      <c r="K1220" s="65" t="s">
        <v>1923</v>
      </c>
      <c r="L1220" s="67"/>
      <c r="M1220" s="69" t="str">
        <f>IF(Main[[#This Row],[Tech Start Date]]&lt;1/1/1990,"",IF(Main[[#This Row],[Class]]="C",WORKDAY(Main[[#This Row],[Tech Start Date]],9),IF(Main[[#This Row],[Class]]="B", WORKDAY(Main[[#This Row],[Tech Start Date]],6),IF(Main[[#This Row],[Class]]="A",WORKDAY(Main[[#This Row],[Tech Start Date]],2),""))))</f>
        <v/>
      </c>
      <c r="N1220" s="69" t="str">
        <f>IF(Main[[#This Row],[Tech Start Date]]&lt;1/1/1990,"",IF(Main[[#This Row],[Class]]="C",WORKDAY(Main[[#This Row],[Tech Start Date]],19),IF(Main[[#This Row],[Class]]="B", WORKDAY(Main[[#This Row],[Tech Start Date]],12),IF(Main[[#This Row],[Class]]="A",WORKDAY(Main[[#This Row],[Tech Start Date]],4),""))))</f>
        <v/>
      </c>
      <c r="O1220" s="69" t="str">
        <f>IF(Main[[#This Row],[Tech Start Date]]&lt;1/1/1990,"",IF(Main[[#This Row],[Class]]="C",WORKDAY(Main[[#This Row],[Tech Start Date]],23),IF(Main[[#This Row],[Class]]="B", WORKDAY(Main[[#This Row],[Tech Start Date]],15),IF(Main[[#This Row],[Class]]="A",WORKDAY(Main[[#This Row],[Tech Start Date]],5),""))))</f>
        <v/>
      </c>
      <c r="P1220" s="69" t="str">
        <f>IF(Main[[#This Row],[Tech Start Date]]&lt;1/1/1990,"",IF(Main[[#This Row],[Class]]="C",WORKDAY(Main[[#This Row],[Tech Start Date]],28),IF(Main[[#This Row],[Class]]="B", WORKDAY(Main[[#This Row],[Tech Start Date]],19),IF(Main[[#This Row],[Class]]="A",WORKDAY(Main[[#This Row],[Tech Start Date]],9),""))))</f>
        <v/>
      </c>
      <c r="Q1220" s="67">
        <v>40928</v>
      </c>
      <c r="R1220" s="67"/>
      <c r="S1220" s="65" t="s">
        <v>6</v>
      </c>
      <c r="T1220" s="70" t="s">
        <v>4</v>
      </c>
      <c r="U1220" s="65" t="s">
        <v>29</v>
      </c>
      <c r="V1220" s="65" t="s">
        <v>1917</v>
      </c>
      <c r="W1220" s="65" t="s">
        <v>1918</v>
      </c>
      <c r="X1220" s="65" t="s">
        <v>2818</v>
      </c>
      <c r="Y1220" s="65" t="s">
        <v>2929</v>
      </c>
      <c r="Z1220" s="65" t="s">
        <v>30</v>
      </c>
      <c r="AA1220" s="65" t="s">
        <v>2818</v>
      </c>
    </row>
    <row r="1221" spans="1:27" ht="17.45" hidden="1" customHeight="1">
      <c r="A1221" s="100" t="str">
        <f>IF(priority(Main[[#This Row],[Comments]])&lt;&gt;0, priority(Main[[#This Row],[Comments]]),"")</f>
        <v/>
      </c>
      <c r="B1221" s="77" t="s">
        <v>3492</v>
      </c>
      <c r="C1221" s="65" t="s">
        <v>4</v>
      </c>
      <c r="D1221" s="66" t="s">
        <v>3493</v>
      </c>
      <c r="E1221" s="67"/>
      <c r="F1221" s="67"/>
      <c r="G1221" s="64" t="str">
        <f>IF(stdProdLT(Main[[#This Row],[Comments]])=0.1,"N/A",IF(stdProdLT(Main[[#This Row],[Comments]])=0,"",stdProdLT(Main[[#This Row],[Comments]])))</f>
        <v/>
      </c>
      <c r="H1221" s="68" t="str">
        <f>IF(AND(Main[[#This Row],[In Stock Date]]&lt;&gt;"",Main[[#This Row],[Revised Due Date]]&lt;&gt;""),Main[[#This Row],[In Stock Date]]-Main[[#This Row],[Revised Due Date]],"")</f>
        <v/>
      </c>
      <c r="I1221" s="65" t="s">
        <v>530</v>
      </c>
      <c r="J1221" s="65" t="s">
        <v>28</v>
      </c>
      <c r="K1221" s="65" t="s">
        <v>1923</v>
      </c>
      <c r="L1221" s="67"/>
      <c r="M1221" s="69" t="str">
        <f>IF(Main[[#This Row],[Tech Start Date]]&lt;1/1/1990,"",IF(Main[[#This Row],[Class]]="C",WORKDAY(Main[[#This Row],[Tech Start Date]],9),IF(Main[[#This Row],[Class]]="B", WORKDAY(Main[[#This Row],[Tech Start Date]],6),IF(Main[[#This Row],[Class]]="A",WORKDAY(Main[[#This Row],[Tech Start Date]],2),""))))</f>
        <v/>
      </c>
      <c r="N1221" s="69" t="str">
        <f>IF(Main[[#This Row],[Tech Start Date]]&lt;1/1/1990,"",IF(Main[[#This Row],[Class]]="C",WORKDAY(Main[[#This Row],[Tech Start Date]],19),IF(Main[[#This Row],[Class]]="B", WORKDAY(Main[[#This Row],[Tech Start Date]],12),IF(Main[[#This Row],[Class]]="A",WORKDAY(Main[[#This Row],[Tech Start Date]],4),""))))</f>
        <v/>
      </c>
      <c r="O1221" s="69" t="str">
        <f>IF(Main[[#This Row],[Tech Start Date]]&lt;1/1/1990,"",IF(Main[[#This Row],[Class]]="C",WORKDAY(Main[[#This Row],[Tech Start Date]],23),IF(Main[[#This Row],[Class]]="B", WORKDAY(Main[[#This Row],[Tech Start Date]],15),IF(Main[[#This Row],[Class]]="A",WORKDAY(Main[[#This Row],[Tech Start Date]],5),""))))</f>
        <v/>
      </c>
      <c r="P1221" s="69" t="str">
        <f>IF(Main[[#This Row],[Tech Start Date]]&lt;1/1/1990,"",IF(Main[[#This Row],[Class]]="C",WORKDAY(Main[[#This Row],[Tech Start Date]],28),IF(Main[[#This Row],[Class]]="B", WORKDAY(Main[[#This Row],[Tech Start Date]],19),IF(Main[[#This Row],[Class]]="A",WORKDAY(Main[[#This Row],[Tech Start Date]],9),""))))</f>
        <v/>
      </c>
      <c r="Q1221" s="67">
        <v>40970</v>
      </c>
      <c r="R1221" s="67"/>
      <c r="S1221" s="65" t="s">
        <v>6</v>
      </c>
      <c r="T1221" s="70" t="s">
        <v>4</v>
      </c>
      <c r="U1221" s="65" t="s">
        <v>14</v>
      </c>
      <c r="V1221" s="65" t="s">
        <v>1917</v>
      </c>
      <c r="W1221" s="65" t="s">
        <v>1918</v>
      </c>
      <c r="X1221" s="65" t="s">
        <v>2822</v>
      </c>
      <c r="Y1221" s="65" t="s">
        <v>2938</v>
      </c>
      <c r="Z1221" s="65" t="s">
        <v>30</v>
      </c>
      <c r="AA1221" s="65" t="s">
        <v>2822</v>
      </c>
    </row>
    <row r="1222" spans="1:27" ht="17.45" hidden="1" customHeight="1">
      <c r="A1222" s="100" t="str">
        <f>IF(priority(Main[[#This Row],[Comments]])&lt;&gt;0, priority(Main[[#This Row],[Comments]]),"")</f>
        <v/>
      </c>
      <c r="B1222" s="77" t="s">
        <v>2740</v>
      </c>
      <c r="C1222" s="65" t="s">
        <v>4</v>
      </c>
      <c r="D1222" s="66" t="s">
        <v>2741</v>
      </c>
      <c r="E1222" s="67">
        <v>40897.524594907409</v>
      </c>
      <c r="F1222" s="67"/>
      <c r="G1222" s="64" t="str">
        <f>IF(stdProdLT(Main[[#This Row],[Comments]])=0.1,"N/A",IF(stdProdLT(Main[[#This Row],[Comments]])=0,"",stdProdLT(Main[[#This Row],[Comments]])))</f>
        <v/>
      </c>
      <c r="H1222" s="68" t="str">
        <f>IF(AND(Main[[#This Row],[In Stock Date]]&lt;&gt;"",Main[[#This Row],[Revised Due Date]]&lt;&gt;""),Main[[#This Row],[In Stock Date]]-Main[[#This Row],[Revised Due Date]],"")</f>
        <v/>
      </c>
      <c r="I1222" s="65" t="s">
        <v>69</v>
      </c>
      <c r="J1222" s="65" t="s">
        <v>28</v>
      </c>
      <c r="K1222" s="65" t="s">
        <v>1923</v>
      </c>
      <c r="L1222" s="67"/>
      <c r="M1222" s="69" t="str">
        <f>IF(Main[[#This Row],[Tech Start Date]]&lt;1/1/1990,"",IF(Main[[#This Row],[Class]]="C",WORKDAY(Main[[#This Row],[Tech Start Date]],9),IF(Main[[#This Row],[Class]]="B", WORKDAY(Main[[#This Row],[Tech Start Date]],6),IF(Main[[#This Row],[Class]]="A",WORKDAY(Main[[#This Row],[Tech Start Date]],2),""))))</f>
        <v/>
      </c>
      <c r="N1222" s="69" t="str">
        <f>IF(Main[[#This Row],[Tech Start Date]]&lt;1/1/1990,"",IF(Main[[#This Row],[Class]]="C",WORKDAY(Main[[#This Row],[Tech Start Date]],19),IF(Main[[#This Row],[Class]]="B", WORKDAY(Main[[#This Row],[Tech Start Date]],12),IF(Main[[#This Row],[Class]]="A",WORKDAY(Main[[#This Row],[Tech Start Date]],4),""))))</f>
        <v/>
      </c>
      <c r="O1222" s="69" t="str">
        <f>IF(Main[[#This Row],[Tech Start Date]]&lt;1/1/1990,"",IF(Main[[#This Row],[Class]]="C",WORKDAY(Main[[#This Row],[Tech Start Date]],23),IF(Main[[#This Row],[Class]]="B", WORKDAY(Main[[#This Row],[Tech Start Date]],15),IF(Main[[#This Row],[Class]]="A",WORKDAY(Main[[#This Row],[Tech Start Date]],5),""))))</f>
        <v/>
      </c>
      <c r="P1222" s="69" t="str">
        <f>IF(Main[[#This Row],[Tech Start Date]]&lt;1/1/1990,"",IF(Main[[#This Row],[Class]]="C",WORKDAY(Main[[#This Row],[Tech Start Date]],28),IF(Main[[#This Row],[Class]]="B", WORKDAY(Main[[#This Row],[Tech Start Date]],19),IF(Main[[#This Row],[Class]]="A",WORKDAY(Main[[#This Row],[Tech Start Date]],9),""))))</f>
        <v/>
      </c>
      <c r="Q1222" s="67">
        <v>40966</v>
      </c>
      <c r="R1222" s="67"/>
      <c r="S1222" s="65" t="s">
        <v>6</v>
      </c>
      <c r="T1222" s="70" t="s">
        <v>4</v>
      </c>
      <c r="U1222" s="65" t="s">
        <v>29</v>
      </c>
      <c r="V1222" s="65" t="s">
        <v>1924</v>
      </c>
      <c r="W1222" s="65" t="s">
        <v>1918</v>
      </c>
      <c r="X1222" s="65" t="s">
        <v>2866</v>
      </c>
      <c r="Y1222" s="65" t="s">
        <v>3000</v>
      </c>
      <c r="Z1222" s="65" t="s">
        <v>30</v>
      </c>
      <c r="AA1222" s="65" t="s">
        <v>2866</v>
      </c>
    </row>
    <row r="1223" spans="1:27" ht="17.45" hidden="1" customHeight="1">
      <c r="A1223" s="100" t="str">
        <f>IF(priority(Main[[#This Row],[Comments]])&lt;&gt;0, priority(Main[[#This Row],[Comments]]),"")</f>
        <v/>
      </c>
      <c r="B1223" s="77" t="s">
        <v>3735</v>
      </c>
      <c r="C1223" s="65" t="s">
        <v>79</v>
      </c>
      <c r="D1223" s="66" t="s">
        <v>3736</v>
      </c>
      <c r="E1223" s="67"/>
      <c r="F1223" s="67">
        <v>41004</v>
      </c>
      <c r="G1223" s="64" t="str">
        <f>IF(stdProdLT(Main[[#This Row],[Comments]])=0.1,"N/A",IF(stdProdLT(Main[[#This Row],[Comments]])=0,"",stdProdLT(Main[[#This Row],[Comments]])))</f>
        <v/>
      </c>
      <c r="H1223" s="68" t="str">
        <f>IF(AND(Main[[#This Row],[In Stock Date]]&lt;&gt;"",Main[[#This Row],[Revised Due Date]]&lt;&gt;""),Main[[#This Row],[In Stock Date]]-Main[[#This Row],[Revised Due Date]],"")</f>
        <v/>
      </c>
      <c r="I1223" s="65" t="s">
        <v>4</v>
      </c>
      <c r="J1223" s="65" t="s">
        <v>4</v>
      </c>
      <c r="K1223" s="71" t="s">
        <v>4</v>
      </c>
      <c r="L1223" s="67"/>
      <c r="M1223" s="69" t="str">
        <f>IF(Main[[#This Row],[Tech Start Date]]&lt;1/1/1990,"",IF(Main[[#This Row],[Class]]="C",WORKDAY(Main[[#This Row],[Tech Start Date]],9),IF(Main[[#This Row],[Class]]="B", WORKDAY(Main[[#This Row],[Tech Start Date]],6),IF(Main[[#This Row],[Class]]="A",WORKDAY(Main[[#This Row],[Tech Start Date]],2),""))))</f>
        <v/>
      </c>
      <c r="N1223" s="69" t="str">
        <f>IF(Main[[#This Row],[Tech Start Date]]&lt;1/1/1990,"",IF(Main[[#This Row],[Class]]="C",WORKDAY(Main[[#This Row],[Tech Start Date]],19),IF(Main[[#This Row],[Class]]="B", WORKDAY(Main[[#This Row],[Tech Start Date]],12),IF(Main[[#This Row],[Class]]="A",WORKDAY(Main[[#This Row],[Tech Start Date]],4),""))))</f>
        <v/>
      </c>
      <c r="O1223" s="69" t="str">
        <f>IF(Main[[#This Row],[Tech Start Date]]&lt;1/1/1990,"",IF(Main[[#This Row],[Class]]="C",WORKDAY(Main[[#This Row],[Tech Start Date]],23),IF(Main[[#This Row],[Class]]="B", WORKDAY(Main[[#This Row],[Tech Start Date]],15),IF(Main[[#This Row],[Class]]="A",WORKDAY(Main[[#This Row],[Tech Start Date]],5),""))))</f>
        <v/>
      </c>
      <c r="P1223" s="69" t="str">
        <f>IF(Main[[#This Row],[Tech Start Date]]&lt;1/1/1990,"",IF(Main[[#This Row],[Class]]="C",WORKDAY(Main[[#This Row],[Tech Start Date]],28),IF(Main[[#This Row],[Class]]="B", WORKDAY(Main[[#This Row],[Tech Start Date]],19),IF(Main[[#This Row],[Class]]="A",WORKDAY(Main[[#This Row],[Tech Start Date]],9),""))))</f>
        <v/>
      </c>
      <c r="Q1223" s="67">
        <v>40960</v>
      </c>
      <c r="R1223" s="67"/>
      <c r="S1223" s="65" t="s">
        <v>11</v>
      </c>
      <c r="T1223" s="70" t="s">
        <v>4</v>
      </c>
      <c r="U1223" s="65" t="s">
        <v>12</v>
      </c>
      <c r="V1223" s="65" t="s">
        <v>1914</v>
      </c>
      <c r="W1223" s="65" t="s">
        <v>1920</v>
      </c>
      <c r="X1223" s="65" t="s">
        <v>2905</v>
      </c>
      <c r="Y1223" s="65" t="s">
        <v>2943</v>
      </c>
      <c r="Z1223" s="65" t="s">
        <v>4</v>
      </c>
      <c r="AA1223" s="65" t="s">
        <v>2824</v>
      </c>
    </row>
    <row r="1224" spans="1:27" ht="17.45" hidden="1" customHeight="1">
      <c r="A1224" s="100" t="str">
        <f>IF(priority(Main[[#This Row],[Comments]])&lt;&gt;0, priority(Main[[#This Row],[Comments]]),"")</f>
        <v/>
      </c>
      <c r="B1224" s="77" t="s">
        <v>2748</v>
      </c>
      <c r="C1224" s="65" t="s">
        <v>2749</v>
      </c>
      <c r="D1224" s="66" t="s">
        <v>3737</v>
      </c>
      <c r="E1224" s="67">
        <v>40883.362615740742</v>
      </c>
      <c r="F1224" s="67"/>
      <c r="G1224" s="64" t="str">
        <f>IF(stdProdLT(Main[[#This Row],[Comments]])=0.1,"N/A",IF(stdProdLT(Main[[#This Row],[Comments]])=0,"",stdProdLT(Main[[#This Row],[Comments]])))</f>
        <v/>
      </c>
      <c r="H1224" s="68" t="str">
        <f>IF(AND(Main[[#This Row],[In Stock Date]]&lt;&gt;"",Main[[#This Row],[Revised Due Date]]&lt;&gt;""),Main[[#This Row],[In Stock Date]]-Main[[#This Row],[Revised Due Date]],"")</f>
        <v/>
      </c>
      <c r="I1224" s="65" t="s">
        <v>4</v>
      </c>
      <c r="J1224" s="65" t="s">
        <v>4</v>
      </c>
      <c r="K1224" s="65" t="s">
        <v>4</v>
      </c>
      <c r="L1224" s="67"/>
      <c r="M1224" s="69" t="str">
        <f>IF(Main[[#This Row],[Tech Start Date]]&lt;1/1/1990,"",IF(Main[[#This Row],[Class]]="C",WORKDAY(Main[[#This Row],[Tech Start Date]],9),IF(Main[[#This Row],[Class]]="B", WORKDAY(Main[[#This Row],[Tech Start Date]],6),IF(Main[[#This Row],[Class]]="A",WORKDAY(Main[[#This Row],[Tech Start Date]],2),""))))</f>
        <v/>
      </c>
      <c r="N1224" s="69" t="str">
        <f>IF(Main[[#This Row],[Tech Start Date]]&lt;1/1/1990,"",IF(Main[[#This Row],[Class]]="C",WORKDAY(Main[[#This Row],[Tech Start Date]],19),IF(Main[[#This Row],[Class]]="B", WORKDAY(Main[[#This Row],[Tech Start Date]],12),IF(Main[[#This Row],[Class]]="A",WORKDAY(Main[[#This Row],[Tech Start Date]],4),""))))</f>
        <v/>
      </c>
      <c r="O1224" s="69" t="str">
        <f>IF(Main[[#This Row],[Tech Start Date]]&lt;1/1/1990,"",IF(Main[[#This Row],[Class]]="C",WORKDAY(Main[[#This Row],[Tech Start Date]],23),IF(Main[[#This Row],[Class]]="B", WORKDAY(Main[[#This Row],[Tech Start Date]],15),IF(Main[[#This Row],[Class]]="A",WORKDAY(Main[[#This Row],[Tech Start Date]],5),""))))</f>
        <v/>
      </c>
      <c r="P1224" s="69" t="str">
        <f>IF(Main[[#This Row],[Tech Start Date]]&lt;1/1/1990,"",IF(Main[[#This Row],[Class]]="C",WORKDAY(Main[[#This Row],[Tech Start Date]],28),IF(Main[[#This Row],[Class]]="B", WORKDAY(Main[[#This Row],[Tech Start Date]],19),IF(Main[[#This Row],[Class]]="A",WORKDAY(Main[[#This Row],[Tech Start Date]],9),""))))</f>
        <v/>
      </c>
      <c r="Q1224" s="67"/>
      <c r="R1224" s="67"/>
      <c r="S1224" s="65" t="s">
        <v>17</v>
      </c>
      <c r="T1224" s="70" t="s">
        <v>4</v>
      </c>
      <c r="U1224" s="65" t="s">
        <v>7</v>
      </c>
      <c r="V1224" s="65" t="s">
        <v>1917</v>
      </c>
      <c r="W1224" s="65" t="s">
        <v>1919</v>
      </c>
      <c r="X1224" s="65" t="s">
        <v>652</v>
      </c>
      <c r="Y1224" s="65" t="s">
        <v>3126</v>
      </c>
      <c r="Z1224" s="65" t="s">
        <v>4</v>
      </c>
      <c r="AA1224" s="65" t="s">
        <v>652</v>
      </c>
    </row>
    <row r="1225" spans="1:27" ht="17.45" hidden="1" customHeight="1">
      <c r="A1225" s="100" t="str">
        <f>IF(priority(Main[[#This Row],[Comments]])&lt;&gt;0, priority(Main[[#This Row],[Comments]]),"")</f>
        <v/>
      </c>
      <c r="B1225" s="77" t="s">
        <v>1605</v>
      </c>
      <c r="C1225" s="65" t="s">
        <v>4</v>
      </c>
      <c r="D1225" s="66" t="s">
        <v>3738</v>
      </c>
      <c r="E1225" s="67">
        <v>40666.673935185187</v>
      </c>
      <c r="F1225" s="67"/>
      <c r="G1225" s="64" t="str">
        <f>IF(stdProdLT(Main[[#This Row],[Comments]])=0.1,"N/A",IF(stdProdLT(Main[[#This Row],[Comments]])=0,"",stdProdLT(Main[[#This Row],[Comments]])))</f>
        <v/>
      </c>
      <c r="H1225" s="68" t="str">
        <f>IF(AND(Main[[#This Row],[In Stock Date]]&lt;&gt;"",Main[[#This Row],[Revised Due Date]]&lt;&gt;""),Main[[#This Row],[In Stock Date]]-Main[[#This Row],[Revised Due Date]],"")</f>
        <v/>
      </c>
      <c r="I1225" s="65" t="s">
        <v>2208</v>
      </c>
      <c r="J1225" s="65" t="s">
        <v>75</v>
      </c>
      <c r="K1225" s="65" t="s">
        <v>1923</v>
      </c>
      <c r="L1225" s="67"/>
      <c r="M1225" s="69" t="str">
        <f>IF(Main[[#This Row],[Tech Start Date]]&lt;1/1/1990,"",IF(Main[[#This Row],[Class]]="C",WORKDAY(Main[[#This Row],[Tech Start Date]],9),IF(Main[[#This Row],[Class]]="B", WORKDAY(Main[[#This Row],[Tech Start Date]],6),IF(Main[[#This Row],[Class]]="A",WORKDAY(Main[[#This Row],[Tech Start Date]],2),""))))</f>
        <v/>
      </c>
      <c r="N1225" s="69" t="str">
        <f>IF(Main[[#This Row],[Tech Start Date]]&lt;1/1/1990,"",IF(Main[[#This Row],[Class]]="C",WORKDAY(Main[[#This Row],[Tech Start Date]],19),IF(Main[[#This Row],[Class]]="B", WORKDAY(Main[[#This Row],[Tech Start Date]],12),IF(Main[[#This Row],[Class]]="A",WORKDAY(Main[[#This Row],[Tech Start Date]],4),""))))</f>
        <v/>
      </c>
      <c r="O1225" s="69" t="str">
        <f>IF(Main[[#This Row],[Tech Start Date]]&lt;1/1/1990,"",IF(Main[[#This Row],[Class]]="C",WORKDAY(Main[[#This Row],[Tech Start Date]],23),IF(Main[[#This Row],[Class]]="B", WORKDAY(Main[[#This Row],[Tech Start Date]],15),IF(Main[[#This Row],[Class]]="A",WORKDAY(Main[[#This Row],[Tech Start Date]],5),""))))</f>
        <v/>
      </c>
      <c r="P1225" s="69" t="str">
        <f>IF(Main[[#This Row],[Tech Start Date]]&lt;1/1/1990,"",IF(Main[[#This Row],[Class]]="C",WORKDAY(Main[[#This Row],[Tech Start Date]],28),IF(Main[[#This Row],[Class]]="B", WORKDAY(Main[[#This Row],[Tech Start Date]],19),IF(Main[[#This Row],[Class]]="A",WORKDAY(Main[[#This Row],[Tech Start Date]],9),""))))</f>
        <v/>
      </c>
      <c r="Q1225" s="67"/>
      <c r="R1225" s="67"/>
      <c r="S1225" s="65" t="s">
        <v>6</v>
      </c>
      <c r="T1225" s="70" t="s">
        <v>4</v>
      </c>
      <c r="U1225" s="65" t="s">
        <v>29</v>
      </c>
      <c r="V1225" s="65" t="s">
        <v>1917</v>
      </c>
      <c r="W1225" s="65" t="s">
        <v>1918</v>
      </c>
      <c r="X1225" s="65" t="s">
        <v>74</v>
      </c>
      <c r="Y1225" s="65" t="s">
        <v>3031</v>
      </c>
      <c r="Z1225" s="65" t="s">
        <v>415</v>
      </c>
      <c r="AA1225" s="65" t="s">
        <v>74</v>
      </c>
    </row>
    <row r="1226" spans="1:27" ht="17.45" hidden="1" customHeight="1">
      <c r="A1226" s="100" t="str">
        <f>IF(priority(Main[[#This Row],[Comments]])&lt;&gt;0, priority(Main[[#This Row],[Comments]]),"")</f>
        <v/>
      </c>
      <c r="B1226" s="77" t="s">
        <v>3739</v>
      </c>
      <c r="C1226" s="65" t="s">
        <v>2354</v>
      </c>
      <c r="D1226" s="66" t="s">
        <v>3740</v>
      </c>
      <c r="E1226" s="67"/>
      <c r="F1226" s="67">
        <v>41014</v>
      </c>
      <c r="G1226" s="64" t="str">
        <f>IF(stdProdLT(Main[[#This Row],[Comments]])=0.1,"N/A",IF(stdProdLT(Main[[#This Row],[Comments]])=0,"",stdProdLT(Main[[#This Row],[Comments]])))</f>
        <v/>
      </c>
      <c r="H1226" s="68" t="str">
        <f>IF(AND(Main[[#This Row],[In Stock Date]]&lt;&gt;"",Main[[#This Row],[Revised Due Date]]&lt;&gt;""),Main[[#This Row],[In Stock Date]]-Main[[#This Row],[Revised Due Date]],"")</f>
        <v/>
      </c>
      <c r="I1226" s="65" t="s">
        <v>4</v>
      </c>
      <c r="J1226" s="65" t="s">
        <v>4</v>
      </c>
      <c r="K1226" s="65" t="s">
        <v>4</v>
      </c>
      <c r="L1226" s="67"/>
      <c r="M1226" s="69" t="str">
        <f>IF(Main[[#This Row],[Tech Start Date]]&lt;1/1/1990,"",IF(Main[[#This Row],[Class]]="C",WORKDAY(Main[[#This Row],[Tech Start Date]],9),IF(Main[[#This Row],[Class]]="B", WORKDAY(Main[[#This Row],[Tech Start Date]],6),IF(Main[[#This Row],[Class]]="A",WORKDAY(Main[[#This Row],[Tech Start Date]],2),""))))</f>
        <v/>
      </c>
      <c r="N1226" s="69" t="str">
        <f>IF(Main[[#This Row],[Tech Start Date]]&lt;1/1/1990,"",IF(Main[[#This Row],[Class]]="C",WORKDAY(Main[[#This Row],[Tech Start Date]],19),IF(Main[[#This Row],[Class]]="B", WORKDAY(Main[[#This Row],[Tech Start Date]],12),IF(Main[[#This Row],[Class]]="A",WORKDAY(Main[[#This Row],[Tech Start Date]],4),""))))</f>
        <v/>
      </c>
      <c r="O1226" s="69" t="str">
        <f>IF(Main[[#This Row],[Tech Start Date]]&lt;1/1/1990,"",IF(Main[[#This Row],[Class]]="C",WORKDAY(Main[[#This Row],[Tech Start Date]],23),IF(Main[[#This Row],[Class]]="B", WORKDAY(Main[[#This Row],[Tech Start Date]],15),IF(Main[[#This Row],[Class]]="A",WORKDAY(Main[[#This Row],[Tech Start Date]],5),""))))</f>
        <v/>
      </c>
      <c r="P1226" s="69" t="str">
        <f>IF(Main[[#This Row],[Tech Start Date]]&lt;1/1/1990,"",IF(Main[[#This Row],[Class]]="C",WORKDAY(Main[[#This Row],[Tech Start Date]],28),IF(Main[[#This Row],[Class]]="B", WORKDAY(Main[[#This Row],[Tech Start Date]],19),IF(Main[[#This Row],[Class]]="A",WORKDAY(Main[[#This Row],[Tech Start Date]],9),""))))</f>
        <v/>
      </c>
      <c r="Q1226" s="67">
        <v>40916</v>
      </c>
      <c r="R1226" s="67"/>
      <c r="S1226" s="65" t="s">
        <v>11</v>
      </c>
      <c r="T1226" s="70" t="s">
        <v>4</v>
      </c>
      <c r="U1226" s="65" t="s">
        <v>12</v>
      </c>
      <c r="V1226" s="65" t="s">
        <v>1924</v>
      </c>
      <c r="W1226" s="65" t="s">
        <v>1922</v>
      </c>
      <c r="X1226" s="65" t="s">
        <v>2843</v>
      </c>
      <c r="Y1226" s="65" t="s">
        <v>4</v>
      </c>
      <c r="Z1226" s="65" t="s">
        <v>4</v>
      </c>
      <c r="AA1226" s="65" t="s">
        <v>2843</v>
      </c>
    </row>
    <row r="1227" spans="1:27" ht="17.45" hidden="1" customHeight="1">
      <c r="A1227" s="100" t="str">
        <f>IF(priority(Main[[#This Row],[Comments]])&lt;&gt;0, priority(Main[[#This Row],[Comments]]),"")</f>
        <v/>
      </c>
      <c r="B1227" s="77" t="s">
        <v>3741</v>
      </c>
      <c r="C1227" s="65" t="s">
        <v>2354</v>
      </c>
      <c r="D1227" s="66" t="s">
        <v>3742</v>
      </c>
      <c r="E1227" s="67"/>
      <c r="F1227" s="67">
        <v>41014</v>
      </c>
      <c r="G1227" s="64" t="str">
        <f>IF(stdProdLT(Main[[#This Row],[Comments]])=0.1,"N/A",IF(stdProdLT(Main[[#This Row],[Comments]])=0,"",stdProdLT(Main[[#This Row],[Comments]])))</f>
        <v/>
      </c>
      <c r="H1227" s="68" t="str">
        <f>IF(AND(Main[[#This Row],[In Stock Date]]&lt;&gt;"",Main[[#This Row],[Revised Due Date]]&lt;&gt;""),Main[[#This Row],[In Stock Date]]-Main[[#This Row],[Revised Due Date]],"")</f>
        <v/>
      </c>
      <c r="I1227" s="65" t="s">
        <v>4</v>
      </c>
      <c r="J1227" s="65" t="s">
        <v>4</v>
      </c>
      <c r="K1227" s="65" t="s">
        <v>4</v>
      </c>
      <c r="L1227" s="67"/>
      <c r="M1227" s="69" t="str">
        <f>IF(Main[[#This Row],[Tech Start Date]]&lt;1/1/1990,"",IF(Main[[#This Row],[Class]]="C",WORKDAY(Main[[#This Row],[Tech Start Date]],9),IF(Main[[#This Row],[Class]]="B", WORKDAY(Main[[#This Row],[Tech Start Date]],6),IF(Main[[#This Row],[Class]]="A",WORKDAY(Main[[#This Row],[Tech Start Date]],2),""))))</f>
        <v/>
      </c>
      <c r="N1227" s="69" t="str">
        <f>IF(Main[[#This Row],[Tech Start Date]]&lt;1/1/1990,"",IF(Main[[#This Row],[Class]]="C",WORKDAY(Main[[#This Row],[Tech Start Date]],19),IF(Main[[#This Row],[Class]]="B", WORKDAY(Main[[#This Row],[Tech Start Date]],12),IF(Main[[#This Row],[Class]]="A",WORKDAY(Main[[#This Row],[Tech Start Date]],4),""))))</f>
        <v/>
      </c>
      <c r="O1227" s="69" t="str">
        <f>IF(Main[[#This Row],[Tech Start Date]]&lt;1/1/1990,"",IF(Main[[#This Row],[Class]]="C",WORKDAY(Main[[#This Row],[Tech Start Date]],23),IF(Main[[#This Row],[Class]]="B", WORKDAY(Main[[#This Row],[Tech Start Date]],15),IF(Main[[#This Row],[Class]]="A",WORKDAY(Main[[#This Row],[Tech Start Date]],5),""))))</f>
        <v/>
      </c>
      <c r="P1227" s="69" t="str">
        <f>IF(Main[[#This Row],[Tech Start Date]]&lt;1/1/1990,"",IF(Main[[#This Row],[Class]]="C",WORKDAY(Main[[#This Row],[Tech Start Date]],28),IF(Main[[#This Row],[Class]]="B", WORKDAY(Main[[#This Row],[Tech Start Date]],19),IF(Main[[#This Row],[Class]]="A",WORKDAY(Main[[#This Row],[Tech Start Date]],9),""))))</f>
        <v/>
      </c>
      <c r="Q1227" s="67">
        <v>40916</v>
      </c>
      <c r="R1227" s="67"/>
      <c r="S1227" s="65" t="s">
        <v>11</v>
      </c>
      <c r="T1227" s="70" t="s">
        <v>4</v>
      </c>
      <c r="U1227" s="65" t="s">
        <v>12</v>
      </c>
      <c r="V1227" s="65" t="s">
        <v>1924</v>
      </c>
      <c r="W1227" s="65" t="s">
        <v>1919</v>
      </c>
      <c r="X1227" s="65" t="s">
        <v>2843</v>
      </c>
      <c r="Y1227" s="65" t="s">
        <v>4</v>
      </c>
      <c r="Z1227" s="65" t="s">
        <v>4</v>
      </c>
      <c r="AA1227" s="65" t="s">
        <v>2843</v>
      </c>
    </row>
    <row r="1228" spans="1:27" ht="17.45" hidden="1" customHeight="1">
      <c r="A1228" s="100" t="str">
        <f>IF(priority(Main[[#This Row],[Comments]])&lt;&gt;0, priority(Main[[#This Row],[Comments]]),"")</f>
        <v/>
      </c>
      <c r="B1228" s="77" t="s">
        <v>2543</v>
      </c>
      <c r="C1228" s="65" t="s">
        <v>4</v>
      </c>
      <c r="D1228" s="66" t="s">
        <v>2544</v>
      </c>
      <c r="E1228" s="67">
        <v>40834.332835648151</v>
      </c>
      <c r="F1228" s="67"/>
      <c r="G1228" s="64" t="str">
        <f>IF(stdProdLT(Main[[#This Row],[Comments]])=0.1,"N/A",IF(stdProdLT(Main[[#This Row],[Comments]])=0,"",stdProdLT(Main[[#This Row],[Comments]])))</f>
        <v/>
      </c>
      <c r="H1228" s="68" t="str">
        <f>IF(AND(Main[[#This Row],[In Stock Date]]&lt;&gt;"",Main[[#This Row],[Revised Due Date]]&lt;&gt;""),Main[[#This Row],[In Stock Date]]-Main[[#This Row],[Revised Due Date]],"")</f>
        <v/>
      </c>
      <c r="I1228" s="65" t="s">
        <v>883</v>
      </c>
      <c r="J1228" s="65" t="s">
        <v>51</v>
      </c>
      <c r="K1228" s="71" t="s">
        <v>4</v>
      </c>
      <c r="L1228" s="67"/>
      <c r="M1228" s="69" t="str">
        <f>IF(Main[[#This Row],[Tech Start Date]]&lt;1/1/1990,"",IF(Main[[#This Row],[Class]]="C",WORKDAY(Main[[#This Row],[Tech Start Date]],9),IF(Main[[#This Row],[Class]]="B", WORKDAY(Main[[#This Row],[Tech Start Date]],6),IF(Main[[#This Row],[Class]]="A",WORKDAY(Main[[#This Row],[Tech Start Date]],2),""))))</f>
        <v/>
      </c>
      <c r="N1228" s="69" t="str">
        <f>IF(Main[[#This Row],[Tech Start Date]]&lt;1/1/1990,"",IF(Main[[#This Row],[Class]]="C",WORKDAY(Main[[#This Row],[Tech Start Date]],19),IF(Main[[#This Row],[Class]]="B", WORKDAY(Main[[#This Row],[Tech Start Date]],12),IF(Main[[#This Row],[Class]]="A",WORKDAY(Main[[#This Row],[Tech Start Date]],4),""))))</f>
        <v/>
      </c>
      <c r="O1228" s="69" t="str">
        <f>IF(Main[[#This Row],[Tech Start Date]]&lt;1/1/1990,"",IF(Main[[#This Row],[Class]]="C",WORKDAY(Main[[#This Row],[Tech Start Date]],23),IF(Main[[#This Row],[Class]]="B", WORKDAY(Main[[#This Row],[Tech Start Date]],15),IF(Main[[#This Row],[Class]]="A",WORKDAY(Main[[#This Row],[Tech Start Date]],5),""))))</f>
        <v/>
      </c>
      <c r="P1228" s="69" t="str">
        <f>IF(Main[[#This Row],[Tech Start Date]]&lt;1/1/1990,"",IF(Main[[#This Row],[Class]]="C",WORKDAY(Main[[#This Row],[Tech Start Date]],28),IF(Main[[#This Row],[Class]]="B", WORKDAY(Main[[#This Row],[Tech Start Date]],19),IF(Main[[#This Row],[Class]]="A",WORKDAY(Main[[#This Row],[Tech Start Date]],9),""))))</f>
        <v/>
      </c>
      <c r="Q1228" s="67"/>
      <c r="R1228" s="67"/>
      <c r="S1228" s="65" t="s">
        <v>6</v>
      </c>
      <c r="T1228" s="70" t="s">
        <v>4</v>
      </c>
      <c r="U1228" s="65" t="s">
        <v>29</v>
      </c>
      <c r="V1228" s="65" t="s">
        <v>1917</v>
      </c>
      <c r="W1228" s="65" t="s">
        <v>1918</v>
      </c>
      <c r="X1228" s="65" t="s">
        <v>399</v>
      </c>
      <c r="Y1228" s="65" t="s">
        <v>4</v>
      </c>
      <c r="Z1228" s="65" t="s">
        <v>4</v>
      </c>
      <c r="AA1228" s="65" t="s">
        <v>306</v>
      </c>
    </row>
    <row r="1229" spans="1:27" ht="17.45" hidden="1" customHeight="1">
      <c r="A1229" s="100" t="str">
        <f>IF(priority(Main[[#This Row],[Comments]])&lt;&gt;0, priority(Main[[#This Row],[Comments]]),"")</f>
        <v/>
      </c>
      <c r="B1229" s="77" t="s">
        <v>3743</v>
      </c>
      <c r="C1229" s="65" t="s">
        <v>148</v>
      </c>
      <c r="D1229" s="66" t="s">
        <v>3744</v>
      </c>
      <c r="E1229" s="67">
        <v>40967.383240740739</v>
      </c>
      <c r="F1229" s="67">
        <v>41096</v>
      </c>
      <c r="G1229" s="64" t="str">
        <f>IF(stdProdLT(Main[[#This Row],[Comments]])=0.1,"N/A",IF(stdProdLT(Main[[#This Row],[Comments]])=0,"",stdProdLT(Main[[#This Row],[Comments]])))</f>
        <v/>
      </c>
      <c r="H1229" s="68" t="str">
        <f>IF(AND(Main[[#This Row],[In Stock Date]]&lt;&gt;"",Main[[#This Row],[Revised Due Date]]&lt;&gt;""),Main[[#This Row],[In Stock Date]]-Main[[#This Row],[Revised Due Date]],"")</f>
        <v/>
      </c>
      <c r="I1229" s="65" t="s">
        <v>4</v>
      </c>
      <c r="J1229" s="65" t="s">
        <v>4</v>
      </c>
      <c r="K1229" s="71" t="s">
        <v>4</v>
      </c>
      <c r="L1229" s="67"/>
      <c r="M1229" s="69" t="str">
        <f>IF(Main[[#This Row],[Tech Start Date]]&lt;1/1/1990,"",IF(Main[[#This Row],[Class]]="C",WORKDAY(Main[[#This Row],[Tech Start Date]],9),IF(Main[[#This Row],[Class]]="B", WORKDAY(Main[[#This Row],[Tech Start Date]],6),IF(Main[[#This Row],[Class]]="A",WORKDAY(Main[[#This Row],[Tech Start Date]],2),""))))</f>
        <v/>
      </c>
      <c r="N1229" s="69" t="str">
        <f>IF(Main[[#This Row],[Tech Start Date]]&lt;1/1/1990,"",IF(Main[[#This Row],[Class]]="C",WORKDAY(Main[[#This Row],[Tech Start Date]],19),IF(Main[[#This Row],[Class]]="B", WORKDAY(Main[[#This Row],[Tech Start Date]],12),IF(Main[[#This Row],[Class]]="A",WORKDAY(Main[[#This Row],[Tech Start Date]],4),""))))</f>
        <v/>
      </c>
      <c r="O1229" s="69" t="str">
        <f>IF(Main[[#This Row],[Tech Start Date]]&lt;1/1/1990,"",IF(Main[[#This Row],[Class]]="C",WORKDAY(Main[[#This Row],[Tech Start Date]],23),IF(Main[[#This Row],[Class]]="B", WORKDAY(Main[[#This Row],[Tech Start Date]],15),IF(Main[[#This Row],[Class]]="A",WORKDAY(Main[[#This Row],[Tech Start Date]],5),""))))</f>
        <v/>
      </c>
      <c r="P1229" s="69" t="str">
        <f>IF(Main[[#This Row],[Tech Start Date]]&lt;1/1/1990,"",IF(Main[[#This Row],[Class]]="C",WORKDAY(Main[[#This Row],[Tech Start Date]],28),IF(Main[[#This Row],[Class]]="B", WORKDAY(Main[[#This Row],[Tech Start Date]],19),IF(Main[[#This Row],[Class]]="A",WORKDAY(Main[[#This Row],[Tech Start Date]],9),""))))</f>
        <v/>
      </c>
      <c r="Q1229" s="67"/>
      <c r="R1229" s="67"/>
      <c r="S1229" s="65" t="s">
        <v>11</v>
      </c>
      <c r="T1229" s="70" t="s">
        <v>4</v>
      </c>
      <c r="U1229" s="65" t="s">
        <v>7</v>
      </c>
      <c r="V1229" s="65" t="s">
        <v>1917</v>
      </c>
      <c r="W1229" s="65" t="s">
        <v>1922</v>
      </c>
      <c r="X1229" s="65" t="s">
        <v>50</v>
      </c>
      <c r="Y1229" s="65" t="s">
        <v>3746</v>
      </c>
      <c r="Z1229" s="65" t="s">
        <v>4</v>
      </c>
      <c r="AA1229" s="65" t="s">
        <v>3745</v>
      </c>
    </row>
    <row r="1230" spans="1:27" ht="17.45" hidden="1" customHeight="1">
      <c r="A1230" s="100" t="str">
        <f>IF(priority(Main[[#This Row],[Comments]])&lt;&gt;0, priority(Main[[#This Row],[Comments]]),"")</f>
        <v/>
      </c>
      <c r="B1230" s="77" t="s">
        <v>2457</v>
      </c>
      <c r="C1230" s="65" t="s">
        <v>4</v>
      </c>
      <c r="D1230" s="66" t="s">
        <v>2458</v>
      </c>
      <c r="E1230" s="67">
        <v>40855.432083333333</v>
      </c>
      <c r="F1230" s="67">
        <v>40877</v>
      </c>
      <c r="G1230" s="64" t="str">
        <f>IF(stdProdLT(Main[[#This Row],[Comments]])=0.1,"N/A",IF(stdProdLT(Main[[#This Row],[Comments]])=0,"",stdProdLT(Main[[#This Row],[Comments]])))</f>
        <v/>
      </c>
      <c r="H1230" s="68" t="str">
        <f>IF(AND(Main[[#This Row],[In Stock Date]]&lt;&gt;"",Main[[#This Row],[Revised Due Date]]&lt;&gt;""),Main[[#This Row],[In Stock Date]]-Main[[#This Row],[Revised Due Date]],"")</f>
        <v/>
      </c>
      <c r="I1230" s="65" t="s">
        <v>4</v>
      </c>
      <c r="J1230" s="65" t="s">
        <v>4</v>
      </c>
      <c r="K1230" s="65" t="s">
        <v>4</v>
      </c>
      <c r="L1230" s="67"/>
      <c r="M1230" s="69" t="str">
        <f>IF(Main[[#This Row],[Tech Start Date]]&lt;1/1/1990,"",IF(Main[[#This Row],[Class]]="C",WORKDAY(Main[[#This Row],[Tech Start Date]],9),IF(Main[[#This Row],[Class]]="B", WORKDAY(Main[[#This Row],[Tech Start Date]],6),IF(Main[[#This Row],[Class]]="A",WORKDAY(Main[[#This Row],[Tech Start Date]],2),""))))</f>
        <v/>
      </c>
      <c r="N1230" s="69" t="str">
        <f>IF(Main[[#This Row],[Tech Start Date]]&lt;1/1/1990,"",IF(Main[[#This Row],[Class]]="C",WORKDAY(Main[[#This Row],[Tech Start Date]],19),IF(Main[[#This Row],[Class]]="B", WORKDAY(Main[[#This Row],[Tech Start Date]],12),IF(Main[[#This Row],[Class]]="A",WORKDAY(Main[[#This Row],[Tech Start Date]],4),""))))</f>
        <v/>
      </c>
      <c r="O1230" s="69" t="str">
        <f>IF(Main[[#This Row],[Tech Start Date]]&lt;1/1/1990,"",IF(Main[[#This Row],[Class]]="C",WORKDAY(Main[[#This Row],[Tech Start Date]],23),IF(Main[[#This Row],[Class]]="B", WORKDAY(Main[[#This Row],[Tech Start Date]],15),IF(Main[[#This Row],[Class]]="A",WORKDAY(Main[[#This Row],[Tech Start Date]],5),""))))</f>
        <v/>
      </c>
      <c r="P1230" s="69" t="str">
        <f>IF(Main[[#This Row],[Tech Start Date]]&lt;1/1/1990,"",IF(Main[[#This Row],[Class]]="C",WORKDAY(Main[[#This Row],[Tech Start Date]],28),IF(Main[[#This Row],[Class]]="B", WORKDAY(Main[[#This Row],[Tech Start Date]],19),IF(Main[[#This Row],[Class]]="A",WORKDAY(Main[[#This Row],[Tech Start Date]],9),""))))</f>
        <v/>
      </c>
      <c r="Q1230" s="67">
        <v>40865</v>
      </c>
      <c r="R1230" s="67"/>
      <c r="S1230" s="65" t="s">
        <v>11</v>
      </c>
      <c r="T1230" s="70" t="s">
        <v>4</v>
      </c>
      <c r="U1230" s="65" t="s">
        <v>7</v>
      </c>
      <c r="V1230" s="65" t="s">
        <v>2283</v>
      </c>
      <c r="W1230" s="65" t="s">
        <v>1922</v>
      </c>
      <c r="X1230" s="65" t="s">
        <v>2913</v>
      </c>
      <c r="Y1230" s="65" t="s">
        <v>3136</v>
      </c>
      <c r="Z1230" s="65" t="s">
        <v>4</v>
      </c>
      <c r="AA1230" s="65" t="s">
        <v>3467</v>
      </c>
    </row>
    <row r="1231" spans="1:27" ht="17.45" hidden="1" customHeight="1">
      <c r="A1231" s="100">
        <f>IF(priority(Main[[#This Row],[Comments]])&lt;&gt;0, priority(Main[[#This Row],[Comments]]),"")</f>
        <v>36</v>
      </c>
      <c r="B1231" s="77" t="s">
        <v>1208</v>
      </c>
      <c r="C1231" s="65" t="s">
        <v>4</v>
      </c>
      <c r="D1231" s="66" t="s">
        <v>267</v>
      </c>
      <c r="E1231" s="67">
        <v>40681.617800925924</v>
      </c>
      <c r="F1231" s="67"/>
      <c r="G1231" s="64" t="str">
        <f>IF(stdProdLT(Main[[#This Row],[Comments]])=0.1,"N/A",IF(stdProdLT(Main[[#This Row],[Comments]])=0,"",stdProdLT(Main[[#This Row],[Comments]])))</f>
        <v/>
      </c>
      <c r="H1231" s="68" t="str">
        <f>IF(AND(Main[[#This Row],[In Stock Date]]&lt;&gt;"",Main[[#This Row],[Revised Due Date]]&lt;&gt;""),Main[[#This Row],[In Stock Date]]-Main[[#This Row],[Revised Due Date]],"")</f>
        <v/>
      </c>
      <c r="I1231" s="65" t="s">
        <v>4</v>
      </c>
      <c r="J1231" s="65" t="s">
        <v>21</v>
      </c>
      <c r="K1231" s="71" t="s">
        <v>4</v>
      </c>
      <c r="L1231" s="67"/>
      <c r="M1231" s="69" t="str">
        <f>IF(Main[[#This Row],[Tech Start Date]]&lt;1/1/1990,"",IF(Main[[#This Row],[Class]]="C",WORKDAY(Main[[#This Row],[Tech Start Date]],9),IF(Main[[#This Row],[Class]]="B", WORKDAY(Main[[#This Row],[Tech Start Date]],6),IF(Main[[#This Row],[Class]]="A",WORKDAY(Main[[#This Row],[Tech Start Date]],2),""))))</f>
        <v/>
      </c>
      <c r="N1231" s="69" t="str">
        <f>IF(Main[[#This Row],[Tech Start Date]]&lt;1/1/1990,"",IF(Main[[#This Row],[Class]]="C",WORKDAY(Main[[#This Row],[Tech Start Date]],19),IF(Main[[#This Row],[Class]]="B", WORKDAY(Main[[#This Row],[Tech Start Date]],12),IF(Main[[#This Row],[Class]]="A",WORKDAY(Main[[#This Row],[Tech Start Date]],4),""))))</f>
        <v/>
      </c>
      <c r="O1231" s="69" t="str">
        <f>IF(Main[[#This Row],[Tech Start Date]]&lt;1/1/1990,"",IF(Main[[#This Row],[Class]]="C",WORKDAY(Main[[#This Row],[Tech Start Date]],23),IF(Main[[#This Row],[Class]]="B", WORKDAY(Main[[#This Row],[Tech Start Date]],15),IF(Main[[#This Row],[Class]]="A",WORKDAY(Main[[#This Row],[Tech Start Date]],5),""))))</f>
        <v/>
      </c>
      <c r="P1231" s="69" t="str">
        <f>IF(Main[[#This Row],[Tech Start Date]]&lt;1/1/1990,"",IF(Main[[#This Row],[Class]]="C",WORKDAY(Main[[#This Row],[Tech Start Date]],28),IF(Main[[#This Row],[Class]]="B", WORKDAY(Main[[#This Row],[Tech Start Date]],19),IF(Main[[#This Row],[Class]]="A",WORKDAY(Main[[#This Row],[Tech Start Date]],9),""))))</f>
        <v/>
      </c>
      <c r="Q1231" s="67">
        <v>40710</v>
      </c>
      <c r="R1231" s="67"/>
      <c r="S1231" s="65" t="s">
        <v>6</v>
      </c>
      <c r="T1231" s="70" t="s">
        <v>2270</v>
      </c>
      <c r="U1231" s="65" t="s">
        <v>534</v>
      </c>
      <c r="V1231" s="65" t="s">
        <v>1914</v>
      </c>
      <c r="W1231" s="65" t="s">
        <v>1925</v>
      </c>
      <c r="X1231" s="65" t="s">
        <v>970</v>
      </c>
      <c r="Y1231" s="65" t="s">
        <v>3097</v>
      </c>
      <c r="Z1231" s="65" t="s">
        <v>4</v>
      </c>
      <c r="AA1231" s="65" t="s">
        <v>970</v>
      </c>
    </row>
    <row r="1232" spans="1:27" ht="17.45" hidden="1" customHeight="1">
      <c r="A1232" s="100" t="str">
        <f>IF(priority(Main[[#This Row],[Comments]])&lt;&gt;0, priority(Main[[#This Row],[Comments]]),"")</f>
        <v/>
      </c>
      <c r="B1232" s="77" t="s">
        <v>2484</v>
      </c>
      <c r="C1232" s="65" t="s">
        <v>4</v>
      </c>
      <c r="D1232" s="66" t="s">
        <v>2485</v>
      </c>
      <c r="E1232" s="67">
        <v>40864.625219907408</v>
      </c>
      <c r="F1232" s="67"/>
      <c r="G1232" s="64" t="str">
        <f>IF(stdProdLT(Main[[#This Row],[Comments]])=0.1,"N/A",IF(stdProdLT(Main[[#This Row],[Comments]])=0,"",stdProdLT(Main[[#This Row],[Comments]])))</f>
        <v/>
      </c>
      <c r="H1232" s="68" t="str">
        <f>IF(AND(Main[[#This Row],[In Stock Date]]&lt;&gt;"",Main[[#This Row],[Revised Due Date]]&lt;&gt;""),Main[[#This Row],[In Stock Date]]-Main[[#This Row],[Revised Due Date]],"")</f>
        <v/>
      </c>
      <c r="I1232" s="65" t="s">
        <v>4</v>
      </c>
      <c r="J1232" s="65" t="s">
        <v>4</v>
      </c>
      <c r="K1232" s="65" t="s">
        <v>4</v>
      </c>
      <c r="L1232" s="67"/>
      <c r="M1232" s="69" t="str">
        <f>IF(Main[[#This Row],[Tech Start Date]]&lt;1/1/1990,"",IF(Main[[#This Row],[Class]]="C",WORKDAY(Main[[#This Row],[Tech Start Date]],9),IF(Main[[#This Row],[Class]]="B", WORKDAY(Main[[#This Row],[Tech Start Date]],6),IF(Main[[#This Row],[Class]]="A",WORKDAY(Main[[#This Row],[Tech Start Date]],2),""))))</f>
        <v/>
      </c>
      <c r="N1232" s="69" t="str">
        <f>IF(Main[[#This Row],[Tech Start Date]]&lt;1/1/1990,"",IF(Main[[#This Row],[Class]]="C",WORKDAY(Main[[#This Row],[Tech Start Date]],19),IF(Main[[#This Row],[Class]]="B", WORKDAY(Main[[#This Row],[Tech Start Date]],12),IF(Main[[#This Row],[Class]]="A",WORKDAY(Main[[#This Row],[Tech Start Date]],4),""))))</f>
        <v/>
      </c>
      <c r="O1232" s="69" t="str">
        <f>IF(Main[[#This Row],[Tech Start Date]]&lt;1/1/1990,"",IF(Main[[#This Row],[Class]]="C",WORKDAY(Main[[#This Row],[Tech Start Date]],23),IF(Main[[#This Row],[Class]]="B", WORKDAY(Main[[#This Row],[Tech Start Date]],15),IF(Main[[#This Row],[Class]]="A",WORKDAY(Main[[#This Row],[Tech Start Date]],5),""))))</f>
        <v/>
      </c>
      <c r="P1232" s="69" t="str">
        <f>IF(Main[[#This Row],[Tech Start Date]]&lt;1/1/1990,"",IF(Main[[#This Row],[Class]]="C",WORKDAY(Main[[#This Row],[Tech Start Date]],28),IF(Main[[#This Row],[Class]]="B", WORKDAY(Main[[#This Row],[Tech Start Date]],19),IF(Main[[#This Row],[Class]]="A",WORKDAY(Main[[#This Row],[Tech Start Date]],9),""))))</f>
        <v/>
      </c>
      <c r="Q1232" s="67"/>
      <c r="R1232" s="67"/>
      <c r="S1232" s="65" t="s">
        <v>17</v>
      </c>
      <c r="T1232" s="70" t="s">
        <v>4</v>
      </c>
      <c r="U1232" s="65" t="s">
        <v>7</v>
      </c>
      <c r="V1232" s="65" t="s">
        <v>1915</v>
      </c>
      <c r="W1232" s="65" t="s">
        <v>1918</v>
      </c>
      <c r="X1232" s="65" t="s">
        <v>2866</v>
      </c>
      <c r="Y1232" s="65" t="s">
        <v>3000</v>
      </c>
      <c r="Z1232" s="65" t="s">
        <v>4</v>
      </c>
      <c r="AA1232" s="65" t="s">
        <v>2866</v>
      </c>
    </row>
    <row r="1233" spans="1:27" ht="17.45" hidden="1" customHeight="1">
      <c r="A1233" s="100" t="str">
        <f>IF(priority(Main[[#This Row],[Comments]])&lt;&gt;0, priority(Main[[#This Row],[Comments]]),"")</f>
        <v/>
      </c>
      <c r="B1233" s="77" t="s">
        <v>2232</v>
      </c>
      <c r="C1233" s="65" t="s">
        <v>4</v>
      </c>
      <c r="D1233" s="66" t="s">
        <v>2571</v>
      </c>
      <c r="E1233" s="67">
        <v>40798.47016203704</v>
      </c>
      <c r="F1233" s="67"/>
      <c r="G1233" s="64" t="str">
        <f>IF(stdProdLT(Main[[#This Row],[Comments]])=0.1,"N/A",IF(stdProdLT(Main[[#This Row],[Comments]])=0,"",stdProdLT(Main[[#This Row],[Comments]])))</f>
        <v/>
      </c>
      <c r="H1233" s="68" t="str">
        <f>IF(AND(Main[[#This Row],[In Stock Date]]&lt;&gt;"",Main[[#This Row],[Revised Due Date]]&lt;&gt;""),Main[[#This Row],[In Stock Date]]-Main[[#This Row],[Revised Due Date]],"")</f>
        <v/>
      </c>
      <c r="I1233" s="65" t="s">
        <v>130</v>
      </c>
      <c r="J1233" s="65" t="s">
        <v>28</v>
      </c>
      <c r="K1233" s="65" t="s">
        <v>1923</v>
      </c>
      <c r="L1233" s="67"/>
      <c r="M1233" s="69" t="str">
        <f>IF(Main[[#This Row],[Tech Start Date]]&lt;1/1/1990,"",IF(Main[[#This Row],[Class]]="C",WORKDAY(Main[[#This Row],[Tech Start Date]],9),IF(Main[[#This Row],[Class]]="B", WORKDAY(Main[[#This Row],[Tech Start Date]],6),IF(Main[[#This Row],[Class]]="A",WORKDAY(Main[[#This Row],[Tech Start Date]],2),""))))</f>
        <v/>
      </c>
      <c r="N1233" s="69" t="str">
        <f>IF(Main[[#This Row],[Tech Start Date]]&lt;1/1/1990,"",IF(Main[[#This Row],[Class]]="C",WORKDAY(Main[[#This Row],[Tech Start Date]],19),IF(Main[[#This Row],[Class]]="B", WORKDAY(Main[[#This Row],[Tech Start Date]],12),IF(Main[[#This Row],[Class]]="A",WORKDAY(Main[[#This Row],[Tech Start Date]],4),""))))</f>
        <v/>
      </c>
      <c r="O1233" s="69" t="str">
        <f>IF(Main[[#This Row],[Tech Start Date]]&lt;1/1/1990,"",IF(Main[[#This Row],[Class]]="C",WORKDAY(Main[[#This Row],[Tech Start Date]],23),IF(Main[[#This Row],[Class]]="B", WORKDAY(Main[[#This Row],[Tech Start Date]],15),IF(Main[[#This Row],[Class]]="A",WORKDAY(Main[[#This Row],[Tech Start Date]],5),""))))</f>
        <v/>
      </c>
      <c r="P1233" s="69" t="str">
        <f>IF(Main[[#This Row],[Tech Start Date]]&lt;1/1/1990,"",IF(Main[[#This Row],[Class]]="C",WORKDAY(Main[[#This Row],[Tech Start Date]],28),IF(Main[[#This Row],[Class]]="B", WORKDAY(Main[[#This Row],[Tech Start Date]],19),IF(Main[[#This Row],[Class]]="A",WORKDAY(Main[[#This Row],[Tech Start Date]],9),""))))</f>
        <v/>
      </c>
      <c r="Q1233" s="67">
        <v>40847</v>
      </c>
      <c r="R1233" s="67"/>
      <c r="S1233" s="65" t="s">
        <v>6</v>
      </c>
      <c r="T1233" s="70" t="s">
        <v>4</v>
      </c>
      <c r="U1233" s="65" t="s">
        <v>29</v>
      </c>
      <c r="V1233" s="65" t="s">
        <v>1917</v>
      </c>
      <c r="W1233" s="65" t="s">
        <v>1918</v>
      </c>
      <c r="X1233" s="65" t="s">
        <v>30</v>
      </c>
      <c r="Y1233" s="65" t="s">
        <v>3137</v>
      </c>
      <c r="Z1233" s="65" t="s">
        <v>30</v>
      </c>
      <c r="AA1233" s="65" t="s">
        <v>3468</v>
      </c>
    </row>
    <row r="1234" spans="1:27" ht="17.45" hidden="1" customHeight="1">
      <c r="A1234" s="100" t="str">
        <f>IF(priority(Main[[#This Row],[Comments]])&lt;&gt;0, priority(Main[[#This Row],[Comments]]),"")</f>
        <v/>
      </c>
      <c r="B1234" s="77" t="s">
        <v>1601</v>
      </c>
      <c r="C1234" s="65" t="s">
        <v>275</v>
      </c>
      <c r="D1234" s="66" t="s">
        <v>676</v>
      </c>
      <c r="E1234" s="67">
        <v>40500.611724537041</v>
      </c>
      <c r="F1234" s="67">
        <v>40444</v>
      </c>
      <c r="G1234" s="64" t="str">
        <f>IF(stdProdLT(Main[[#This Row],[Comments]])=0.1,"N/A",IF(stdProdLT(Main[[#This Row],[Comments]])=0,"",stdProdLT(Main[[#This Row],[Comments]])))</f>
        <v/>
      </c>
      <c r="H1234" s="68">
        <f>IF(AND(Main[[#This Row],[In Stock Date]]&lt;&gt;"",Main[[#This Row],[Revised Due Date]]&lt;&gt;""),Main[[#This Row],[In Stock Date]]-Main[[#This Row],[Revised Due Date]],"")</f>
        <v>-349</v>
      </c>
      <c r="I1234" s="65" t="s">
        <v>4</v>
      </c>
      <c r="J1234" s="65" t="s">
        <v>4</v>
      </c>
      <c r="K1234" s="65" t="s">
        <v>4</v>
      </c>
      <c r="L1234" s="67"/>
      <c r="M1234" s="69" t="str">
        <f>IF(Main[[#This Row],[Tech Start Date]]&lt;1/1/1990,"",IF(Main[[#This Row],[Class]]="C",WORKDAY(Main[[#This Row],[Tech Start Date]],9),IF(Main[[#This Row],[Class]]="B", WORKDAY(Main[[#This Row],[Tech Start Date]],6),IF(Main[[#This Row],[Class]]="A",WORKDAY(Main[[#This Row],[Tech Start Date]],2),""))))</f>
        <v/>
      </c>
      <c r="N1234" s="69" t="str">
        <f>IF(Main[[#This Row],[Tech Start Date]]&lt;1/1/1990,"",IF(Main[[#This Row],[Class]]="C",WORKDAY(Main[[#This Row],[Tech Start Date]],19),IF(Main[[#This Row],[Class]]="B", WORKDAY(Main[[#This Row],[Tech Start Date]],12),IF(Main[[#This Row],[Class]]="A",WORKDAY(Main[[#This Row],[Tech Start Date]],4),""))))</f>
        <v/>
      </c>
      <c r="O1234" s="69" t="str">
        <f>IF(Main[[#This Row],[Tech Start Date]]&lt;1/1/1990,"",IF(Main[[#This Row],[Class]]="C",WORKDAY(Main[[#This Row],[Tech Start Date]],23),IF(Main[[#This Row],[Class]]="B", WORKDAY(Main[[#This Row],[Tech Start Date]],15),IF(Main[[#This Row],[Class]]="A",WORKDAY(Main[[#This Row],[Tech Start Date]],5),""))))</f>
        <v/>
      </c>
      <c r="P1234" s="69" t="str">
        <f>IF(Main[[#This Row],[Tech Start Date]]&lt;1/1/1990,"",IF(Main[[#This Row],[Class]]="C",WORKDAY(Main[[#This Row],[Tech Start Date]],28),IF(Main[[#This Row],[Class]]="B", WORKDAY(Main[[#This Row],[Tech Start Date]],19),IF(Main[[#This Row],[Class]]="A",WORKDAY(Main[[#This Row],[Tech Start Date]],9),""))))</f>
        <v/>
      </c>
      <c r="Q1234" s="67">
        <v>40262</v>
      </c>
      <c r="R1234" s="67">
        <v>40793</v>
      </c>
      <c r="S1234" s="65" t="s">
        <v>17</v>
      </c>
      <c r="T1234" s="70" t="s">
        <v>4</v>
      </c>
      <c r="U1234" s="65" t="s">
        <v>29</v>
      </c>
      <c r="V1234" s="65" t="s">
        <v>1917</v>
      </c>
      <c r="W1234" s="65" t="s">
        <v>1919</v>
      </c>
      <c r="X1234" s="65" t="s">
        <v>306</v>
      </c>
      <c r="Y1234" s="65" t="s">
        <v>4</v>
      </c>
      <c r="Z1234" s="65" t="s">
        <v>4</v>
      </c>
      <c r="AA1234" s="65" t="s">
        <v>65</v>
      </c>
    </row>
    <row r="1235" spans="1:27" ht="17.45" hidden="1" customHeight="1">
      <c r="A1235" s="100" t="str">
        <f>IF(priority(Main[[#This Row],[Comments]])&lt;&gt;0, priority(Main[[#This Row],[Comments]]),"")</f>
        <v/>
      </c>
      <c r="B1235" s="77" t="s">
        <v>2353</v>
      </c>
      <c r="C1235" s="65" t="s">
        <v>2354</v>
      </c>
      <c r="D1235" s="66" t="s">
        <v>2355</v>
      </c>
      <c r="E1235" s="67"/>
      <c r="F1235" s="67">
        <v>41008</v>
      </c>
      <c r="G1235" s="64" t="str">
        <f>IF(stdProdLT(Main[[#This Row],[Comments]])=0.1,"N/A",IF(stdProdLT(Main[[#This Row],[Comments]])=0,"",stdProdLT(Main[[#This Row],[Comments]])))</f>
        <v/>
      </c>
      <c r="H1235" s="68" t="str">
        <f>IF(AND(Main[[#This Row],[In Stock Date]]&lt;&gt;"",Main[[#This Row],[Revised Due Date]]&lt;&gt;""),Main[[#This Row],[In Stock Date]]-Main[[#This Row],[Revised Due Date]],"")</f>
        <v/>
      </c>
      <c r="I1235" s="65" t="s">
        <v>4</v>
      </c>
      <c r="J1235" s="65" t="s">
        <v>4</v>
      </c>
      <c r="K1235" s="65" t="s">
        <v>4</v>
      </c>
      <c r="L1235" s="67"/>
      <c r="M1235" s="69" t="str">
        <f>IF(Main[[#This Row],[Tech Start Date]]&lt;1/1/1990,"",IF(Main[[#This Row],[Class]]="C",WORKDAY(Main[[#This Row],[Tech Start Date]],9),IF(Main[[#This Row],[Class]]="B", WORKDAY(Main[[#This Row],[Tech Start Date]],6),IF(Main[[#This Row],[Class]]="A",WORKDAY(Main[[#This Row],[Tech Start Date]],2),""))))</f>
        <v/>
      </c>
      <c r="N1235" s="69" t="str">
        <f>IF(Main[[#This Row],[Tech Start Date]]&lt;1/1/1990,"",IF(Main[[#This Row],[Class]]="C",WORKDAY(Main[[#This Row],[Tech Start Date]],19),IF(Main[[#This Row],[Class]]="B", WORKDAY(Main[[#This Row],[Tech Start Date]],12),IF(Main[[#This Row],[Class]]="A",WORKDAY(Main[[#This Row],[Tech Start Date]],4),""))))</f>
        <v/>
      </c>
      <c r="O1235" s="69" t="str">
        <f>IF(Main[[#This Row],[Tech Start Date]]&lt;1/1/1990,"",IF(Main[[#This Row],[Class]]="C",WORKDAY(Main[[#This Row],[Tech Start Date]],23),IF(Main[[#This Row],[Class]]="B", WORKDAY(Main[[#This Row],[Tech Start Date]],15),IF(Main[[#This Row],[Class]]="A",WORKDAY(Main[[#This Row],[Tech Start Date]],5),""))))</f>
        <v/>
      </c>
      <c r="P1235" s="69" t="str">
        <f>IF(Main[[#This Row],[Tech Start Date]]&lt;1/1/1990,"",IF(Main[[#This Row],[Class]]="C",WORKDAY(Main[[#This Row],[Tech Start Date]],28),IF(Main[[#This Row],[Class]]="B", WORKDAY(Main[[#This Row],[Tech Start Date]],19),IF(Main[[#This Row],[Class]]="A",WORKDAY(Main[[#This Row],[Tech Start Date]],9),""))))</f>
        <v/>
      </c>
      <c r="Q1235" s="67">
        <v>40826</v>
      </c>
      <c r="R1235" s="67"/>
      <c r="S1235" s="65" t="s">
        <v>11</v>
      </c>
      <c r="T1235" s="70" t="s">
        <v>4</v>
      </c>
      <c r="U1235" s="65" t="s">
        <v>12</v>
      </c>
      <c r="V1235" s="65" t="s">
        <v>1917</v>
      </c>
      <c r="W1235" s="65" t="s">
        <v>1920</v>
      </c>
      <c r="X1235" s="65" t="s">
        <v>2843</v>
      </c>
      <c r="Y1235" s="65" t="s">
        <v>4</v>
      </c>
      <c r="Z1235" s="65" t="s">
        <v>4</v>
      </c>
      <c r="AA1235" s="65" t="s">
        <v>2843</v>
      </c>
    </row>
    <row r="1236" spans="1:27" ht="17.45" hidden="1" customHeight="1">
      <c r="A1236" s="100" t="str">
        <f>IF(priority(Main[[#This Row],[Comments]])&lt;&gt;0, priority(Main[[#This Row],[Comments]]),"")</f>
        <v/>
      </c>
      <c r="B1236" s="77" t="s">
        <v>2586</v>
      </c>
      <c r="C1236" s="65" t="s">
        <v>4</v>
      </c>
      <c r="D1236" s="66" t="s">
        <v>2587</v>
      </c>
      <c r="E1236" s="67">
        <v>40843.713865740741</v>
      </c>
      <c r="F1236" s="67"/>
      <c r="G1236" s="64" t="str">
        <f>IF(stdProdLT(Main[[#This Row],[Comments]])=0.1,"N/A",IF(stdProdLT(Main[[#This Row],[Comments]])=0,"",stdProdLT(Main[[#This Row],[Comments]])))</f>
        <v/>
      </c>
      <c r="H1236" s="68" t="str">
        <f>IF(AND(Main[[#This Row],[In Stock Date]]&lt;&gt;"",Main[[#This Row],[Revised Due Date]]&lt;&gt;""),Main[[#This Row],[In Stock Date]]-Main[[#This Row],[Revised Due Date]],"")</f>
        <v/>
      </c>
      <c r="I1236" s="65" t="s">
        <v>4</v>
      </c>
      <c r="J1236" s="65" t="s">
        <v>51</v>
      </c>
      <c r="K1236" s="65" t="s">
        <v>4</v>
      </c>
      <c r="L1236" s="67"/>
      <c r="M1236" s="69" t="str">
        <f>IF(Main[[#This Row],[Tech Start Date]]&lt;1/1/1990,"",IF(Main[[#This Row],[Class]]="C",WORKDAY(Main[[#This Row],[Tech Start Date]],9),IF(Main[[#This Row],[Class]]="B", WORKDAY(Main[[#This Row],[Tech Start Date]],6),IF(Main[[#This Row],[Class]]="A",WORKDAY(Main[[#This Row],[Tech Start Date]],2),""))))</f>
        <v/>
      </c>
      <c r="N1236" s="69" t="str">
        <f>IF(Main[[#This Row],[Tech Start Date]]&lt;1/1/1990,"",IF(Main[[#This Row],[Class]]="C",WORKDAY(Main[[#This Row],[Tech Start Date]],19),IF(Main[[#This Row],[Class]]="B", WORKDAY(Main[[#This Row],[Tech Start Date]],12),IF(Main[[#This Row],[Class]]="A",WORKDAY(Main[[#This Row],[Tech Start Date]],4),""))))</f>
        <v/>
      </c>
      <c r="O1236" s="69" t="str">
        <f>IF(Main[[#This Row],[Tech Start Date]]&lt;1/1/1990,"",IF(Main[[#This Row],[Class]]="C",WORKDAY(Main[[#This Row],[Tech Start Date]],23),IF(Main[[#This Row],[Class]]="B", WORKDAY(Main[[#This Row],[Tech Start Date]],15),IF(Main[[#This Row],[Class]]="A",WORKDAY(Main[[#This Row],[Tech Start Date]],5),""))))</f>
        <v/>
      </c>
      <c r="P1236" s="69" t="str">
        <f>IF(Main[[#This Row],[Tech Start Date]]&lt;1/1/1990,"",IF(Main[[#This Row],[Class]]="C",WORKDAY(Main[[#This Row],[Tech Start Date]],28),IF(Main[[#This Row],[Class]]="B", WORKDAY(Main[[#This Row],[Tech Start Date]],19),IF(Main[[#This Row],[Class]]="A",WORKDAY(Main[[#This Row],[Tech Start Date]],9),""))))</f>
        <v/>
      </c>
      <c r="Q1236" s="67"/>
      <c r="R1236" s="67"/>
      <c r="S1236" s="65" t="s">
        <v>6</v>
      </c>
      <c r="T1236" s="70" t="s">
        <v>2411</v>
      </c>
      <c r="U1236" s="65" t="s">
        <v>534</v>
      </c>
      <c r="V1236" s="65" t="s">
        <v>1914</v>
      </c>
      <c r="W1236" s="65" t="s">
        <v>1920</v>
      </c>
      <c r="X1236" s="65" t="s">
        <v>306</v>
      </c>
      <c r="Y1236" s="65" t="s">
        <v>4</v>
      </c>
      <c r="Z1236" s="65" t="s">
        <v>4</v>
      </c>
      <c r="AA1236" s="65" t="s">
        <v>2839</v>
      </c>
    </row>
    <row r="1237" spans="1:27" ht="17.45" hidden="1" customHeight="1">
      <c r="A1237" s="100" t="str">
        <f>IF(priority(Main[[#This Row],[Comments]])&lt;&gt;0, priority(Main[[#This Row],[Comments]]),"")</f>
        <v/>
      </c>
      <c r="B1237" s="77" t="s">
        <v>2295</v>
      </c>
      <c r="C1237" s="65" t="s">
        <v>4</v>
      </c>
      <c r="D1237" s="66" t="s">
        <v>2296</v>
      </c>
      <c r="E1237" s="67">
        <v>40815.373611111114</v>
      </c>
      <c r="F1237" s="67"/>
      <c r="G1237" s="64" t="str">
        <f>IF(stdProdLT(Main[[#This Row],[Comments]])=0.1,"N/A",IF(stdProdLT(Main[[#This Row],[Comments]])=0,"",stdProdLT(Main[[#This Row],[Comments]])))</f>
        <v/>
      </c>
      <c r="H1237" s="68" t="str">
        <f>IF(AND(Main[[#This Row],[In Stock Date]]&lt;&gt;"",Main[[#This Row],[Revised Due Date]]&lt;&gt;""),Main[[#This Row],[In Stock Date]]-Main[[#This Row],[Revised Due Date]],"")</f>
        <v/>
      </c>
      <c r="I1237" s="65" t="s">
        <v>4</v>
      </c>
      <c r="J1237" s="65" t="s">
        <v>4</v>
      </c>
      <c r="K1237" s="65" t="s">
        <v>4</v>
      </c>
      <c r="L1237" s="67"/>
      <c r="M1237" s="69" t="str">
        <f>IF(Main[[#This Row],[Tech Start Date]]&lt;1/1/1990,"",IF(Main[[#This Row],[Class]]="C",WORKDAY(Main[[#This Row],[Tech Start Date]],9),IF(Main[[#This Row],[Class]]="B", WORKDAY(Main[[#This Row],[Tech Start Date]],6),IF(Main[[#This Row],[Class]]="A",WORKDAY(Main[[#This Row],[Tech Start Date]],2),""))))</f>
        <v/>
      </c>
      <c r="N1237" s="69" t="str">
        <f>IF(Main[[#This Row],[Tech Start Date]]&lt;1/1/1990,"",IF(Main[[#This Row],[Class]]="C",WORKDAY(Main[[#This Row],[Tech Start Date]],19),IF(Main[[#This Row],[Class]]="B", WORKDAY(Main[[#This Row],[Tech Start Date]],12),IF(Main[[#This Row],[Class]]="A",WORKDAY(Main[[#This Row],[Tech Start Date]],4),""))))</f>
        <v/>
      </c>
      <c r="O1237" s="69" t="str">
        <f>IF(Main[[#This Row],[Tech Start Date]]&lt;1/1/1990,"",IF(Main[[#This Row],[Class]]="C",WORKDAY(Main[[#This Row],[Tech Start Date]],23),IF(Main[[#This Row],[Class]]="B", WORKDAY(Main[[#This Row],[Tech Start Date]],15),IF(Main[[#This Row],[Class]]="A",WORKDAY(Main[[#This Row],[Tech Start Date]],5),""))))</f>
        <v/>
      </c>
      <c r="P1237" s="69" t="str">
        <f>IF(Main[[#This Row],[Tech Start Date]]&lt;1/1/1990,"",IF(Main[[#This Row],[Class]]="C",WORKDAY(Main[[#This Row],[Tech Start Date]],28),IF(Main[[#This Row],[Class]]="B", WORKDAY(Main[[#This Row],[Tech Start Date]],19),IF(Main[[#This Row],[Class]]="A",WORKDAY(Main[[#This Row],[Tech Start Date]],9),""))))</f>
        <v/>
      </c>
      <c r="Q1237" s="67"/>
      <c r="R1237" s="67"/>
      <c r="S1237" s="65" t="s">
        <v>6</v>
      </c>
      <c r="T1237" s="70" t="s">
        <v>4</v>
      </c>
      <c r="U1237" s="65" t="s">
        <v>29</v>
      </c>
      <c r="V1237" s="65" t="s">
        <v>1917</v>
      </c>
      <c r="W1237" s="65" t="s">
        <v>1918</v>
      </c>
      <c r="X1237" s="65" t="s">
        <v>102</v>
      </c>
      <c r="Y1237" s="65" t="s">
        <v>3138</v>
      </c>
      <c r="Z1237" s="65" t="s">
        <v>4</v>
      </c>
      <c r="AA1237" s="65" t="s">
        <v>3415</v>
      </c>
    </row>
    <row r="1238" spans="1:27" ht="17.45" hidden="1" customHeight="1">
      <c r="A1238" s="100" t="str">
        <f>IF(priority(Main[[#This Row],[Comments]])&lt;&gt;0, priority(Main[[#This Row],[Comments]]),"")</f>
        <v/>
      </c>
      <c r="B1238" s="77" t="s">
        <v>2728</v>
      </c>
      <c r="C1238" s="65" t="s">
        <v>4</v>
      </c>
      <c r="D1238" s="66" t="s">
        <v>2729</v>
      </c>
      <c r="E1238" s="67"/>
      <c r="F1238" s="67"/>
      <c r="G1238" s="64" t="str">
        <f>IF(stdProdLT(Main[[#This Row],[Comments]])=0.1,"N/A",IF(stdProdLT(Main[[#This Row],[Comments]])=0,"",stdProdLT(Main[[#This Row],[Comments]])))</f>
        <v/>
      </c>
      <c r="H1238" s="68" t="str">
        <f>IF(AND(Main[[#This Row],[In Stock Date]]&lt;&gt;"",Main[[#This Row],[Revised Due Date]]&lt;&gt;""),Main[[#This Row],[In Stock Date]]-Main[[#This Row],[Revised Due Date]],"")</f>
        <v/>
      </c>
      <c r="I1238" s="65" t="s">
        <v>4</v>
      </c>
      <c r="J1238" s="65" t="s">
        <v>4</v>
      </c>
      <c r="K1238" s="65" t="s">
        <v>4</v>
      </c>
      <c r="L1238" s="67"/>
      <c r="M1238" s="69" t="str">
        <f>IF(Main[[#This Row],[Tech Start Date]]&lt;1/1/1990,"",IF(Main[[#This Row],[Class]]="C",WORKDAY(Main[[#This Row],[Tech Start Date]],9),IF(Main[[#This Row],[Class]]="B", WORKDAY(Main[[#This Row],[Tech Start Date]],6),IF(Main[[#This Row],[Class]]="A",WORKDAY(Main[[#This Row],[Tech Start Date]],2),""))))</f>
        <v/>
      </c>
      <c r="N1238" s="69" t="str">
        <f>IF(Main[[#This Row],[Tech Start Date]]&lt;1/1/1990,"",IF(Main[[#This Row],[Class]]="C",WORKDAY(Main[[#This Row],[Tech Start Date]],19),IF(Main[[#This Row],[Class]]="B", WORKDAY(Main[[#This Row],[Tech Start Date]],12),IF(Main[[#This Row],[Class]]="A",WORKDAY(Main[[#This Row],[Tech Start Date]],4),""))))</f>
        <v/>
      </c>
      <c r="O1238" s="69" t="str">
        <f>IF(Main[[#This Row],[Tech Start Date]]&lt;1/1/1990,"",IF(Main[[#This Row],[Class]]="C",WORKDAY(Main[[#This Row],[Tech Start Date]],23),IF(Main[[#This Row],[Class]]="B", WORKDAY(Main[[#This Row],[Tech Start Date]],15),IF(Main[[#This Row],[Class]]="A",WORKDAY(Main[[#This Row],[Tech Start Date]],5),""))))</f>
        <v/>
      </c>
      <c r="P1238" s="69" t="str">
        <f>IF(Main[[#This Row],[Tech Start Date]]&lt;1/1/1990,"",IF(Main[[#This Row],[Class]]="C",WORKDAY(Main[[#This Row],[Tech Start Date]],28),IF(Main[[#This Row],[Class]]="B", WORKDAY(Main[[#This Row],[Tech Start Date]],19),IF(Main[[#This Row],[Class]]="A",WORKDAY(Main[[#This Row],[Tech Start Date]],9),""))))</f>
        <v/>
      </c>
      <c r="Q1238" s="67"/>
      <c r="R1238" s="67"/>
      <c r="S1238" s="65" t="s">
        <v>6</v>
      </c>
      <c r="T1238" s="70" t="s">
        <v>4</v>
      </c>
      <c r="U1238" s="65" t="s">
        <v>14</v>
      </c>
      <c r="V1238" s="65" t="s">
        <v>1914</v>
      </c>
      <c r="W1238" s="65" t="s">
        <v>1918</v>
      </c>
      <c r="X1238" s="65" t="s">
        <v>2902</v>
      </c>
      <c r="Y1238" s="65" t="s">
        <v>3081</v>
      </c>
      <c r="Z1238" s="65" t="s">
        <v>4</v>
      </c>
      <c r="AA1238" s="65" t="s">
        <v>2902</v>
      </c>
    </row>
    <row r="1239" spans="1:27" ht="17.45" hidden="1" customHeight="1">
      <c r="A1239" s="100" t="str">
        <f>IF(priority(Main[[#This Row],[Comments]])&lt;&gt;0, priority(Main[[#This Row],[Comments]]),"")</f>
        <v/>
      </c>
      <c r="B1239" s="77" t="s">
        <v>2782</v>
      </c>
      <c r="C1239" s="65" t="s">
        <v>4</v>
      </c>
      <c r="D1239" s="66" t="s">
        <v>2783</v>
      </c>
      <c r="E1239" s="67">
        <v>40913.323819444442</v>
      </c>
      <c r="F1239" s="67"/>
      <c r="G1239" s="64" t="str">
        <f>IF(stdProdLT(Main[[#This Row],[Comments]])=0.1,"N/A",IF(stdProdLT(Main[[#This Row],[Comments]])=0,"",stdProdLT(Main[[#This Row],[Comments]])))</f>
        <v/>
      </c>
      <c r="H1239" s="68" t="str">
        <f>IF(AND(Main[[#This Row],[In Stock Date]]&lt;&gt;"",Main[[#This Row],[Revised Due Date]]&lt;&gt;""),Main[[#This Row],[In Stock Date]]-Main[[#This Row],[Revised Due Date]],"")</f>
        <v/>
      </c>
      <c r="I1239" s="65" t="s">
        <v>4</v>
      </c>
      <c r="J1239" s="65" t="s">
        <v>4</v>
      </c>
      <c r="K1239" s="65" t="s">
        <v>4</v>
      </c>
      <c r="L1239" s="67"/>
      <c r="M1239" s="69" t="str">
        <f>IF(Main[[#This Row],[Tech Start Date]]&lt;1/1/1990,"",IF(Main[[#This Row],[Class]]="C",WORKDAY(Main[[#This Row],[Tech Start Date]],9),IF(Main[[#This Row],[Class]]="B", WORKDAY(Main[[#This Row],[Tech Start Date]],6),IF(Main[[#This Row],[Class]]="A",WORKDAY(Main[[#This Row],[Tech Start Date]],2),""))))</f>
        <v/>
      </c>
      <c r="N1239" s="69" t="str">
        <f>IF(Main[[#This Row],[Tech Start Date]]&lt;1/1/1990,"",IF(Main[[#This Row],[Class]]="C",WORKDAY(Main[[#This Row],[Tech Start Date]],19),IF(Main[[#This Row],[Class]]="B", WORKDAY(Main[[#This Row],[Tech Start Date]],12),IF(Main[[#This Row],[Class]]="A",WORKDAY(Main[[#This Row],[Tech Start Date]],4),""))))</f>
        <v/>
      </c>
      <c r="O1239" s="69" t="str">
        <f>IF(Main[[#This Row],[Tech Start Date]]&lt;1/1/1990,"",IF(Main[[#This Row],[Class]]="C",WORKDAY(Main[[#This Row],[Tech Start Date]],23),IF(Main[[#This Row],[Class]]="B", WORKDAY(Main[[#This Row],[Tech Start Date]],15),IF(Main[[#This Row],[Class]]="A",WORKDAY(Main[[#This Row],[Tech Start Date]],5),""))))</f>
        <v/>
      </c>
      <c r="P1239" s="69" t="str">
        <f>IF(Main[[#This Row],[Tech Start Date]]&lt;1/1/1990,"",IF(Main[[#This Row],[Class]]="C",WORKDAY(Main[[#This Row],[Tech Start Date]],28),IF(Main[[#This Row],[Class]]="B", WORKDAY(Main[[#This Row],[Tech Start Date]],19),IF(Main[[#This Row],[Class]]="A",WORKDAY(Main[[#This Row],[Tech Start Date]],9),""))))</f>
        <v/>
      </c>
      <c r="Q1239" s="67">
        <v>40945</v>
      </c>
      <c r="R1239" s="67"/>
      <c r="S1239" s="65" t="s">
        <v>6</v>
      </c>
      <c r="T1239" s="70" t="s">
        <v>4</v>
      </c>
      <c r="U1239" s="65" t="s">
        <v>7</v>
      </c>
      <c r="V1239" s="65" t="s">
        <v>1914</v>
      </c>
      <c r="W1239" s="65" t="s">
        <v>4</v>
      </c>
      <c r="X1239" s="65" t="s">
        <v>2819</v>
      </c>
      <c r="Y1239" s="65" t="s">
        <v>2932</v>
      </c>
      <c r="Z1239" s="65" t="s">
        <v>4</v>
      </c>
      <c r="AA1239" s="65" t="s">
        <v>2819</v>
      </c>
    </row>
    <row r="1240" spans="1:27" ht="17.45" hidden="1" customHeight="1">
      <c r="A1240" s="100" t="str">
        <f>IF(priority(Main[[#This Row],[Comments]])&lt;&gt;0, priority(Main[[#This Row],[Comments]]),"")</f>
        <v/>
      </c>
      <c r="B1240" s="77" t="s">
        <v>2314</v>
      </c>
      <c r="C1240" s="65" t="s">
        <v>2302</v>
      </c>
      <c r="D1240" s="66" t="s">
        <v>2303</v>
      </c>
      <c r="E1240" s="67"/>
      <c r="F1240" s="67">
        <v>40544</v>
      </c>
      <c r="G1240" s="64" t="str">
        <f>IF(stdProdLT(Main[[#This Row],[Comments]])=0.1,"N/A",IF(stdProdLT(Main[[#This Row],[Comments]])=0,"",stdProdLT(Main[[#This Row],[Comments]])))</f>
        <v/>
      </c>
      <c r="H1240" s="68" t="str">
        <f>IF(AND(Main[[#This Row],[In Stock Date]]&lt;&gt;"",Main[[#This Row],[Revised Due Date]]&lt;&gt;""),Main[[#This Row],[In Stock Date]]-Main[[#This Row],[Revised Due Date]],"")</f>
        <v/>
      </c>
      <c r="I1240" s="65" t="s">
        <v>4</v>
      </c>
      <c r="J1240" s="65" t="s">
        <v>4</v>
      </c>
      <c r="K1240" s="65" t="s">
        <v>4</v>
      </c>
      <c r="L1240" s="67"/>
      <c r="M1240" s="69" t="str">
        <f>IF(Main[[#This Row],[Tech Start Date]]&lt;1/1/1990,"",IF(Main[[#This Row],[Class]]="C",WORKDAY(Main[[#This Row],[Tech Start Date]],9),IF(Main[[#This Row],[Class]]="B", WORKDAY(Main[[#This Row],[Tech Start Date]],6),IF(Main[[#This Row],[Class]]="A",WORKDAY(Main[[#This Row],[Tech Start Date]],2),""))))</f>
        <v/>
      </c>
      <c r="N1240" s="69" t="str">
        <f>IF(Main[[#This Row],[Tech Start Date]]&lt;1/1/1990,"",IF(Main[[#This Row],[Class]]="C",WORKDAY(Main[[#This Row],[Tech Start Date]],19),IF(Main[[#This Row],[Class]]="B", WORKDAY(Main[[#This Row],[Tech Start Date]],12),IF(Main[[#This Row],[Class]]="A",WORKDAY(Main[[#This Row],[Tech Start Date]],4),""))))</f>
        <v/>
      </c>
      <c r="O1240" s="69" t="str">
        <f>IF(Main[[#This Row],[Tech Start Date]]&lt;1/1/1990,"",IF(Main[[#This Row],[Class]]="C",WORKDAY(Main[[#This Row],[Tech Start Date]],23),IF(Main[[#This Row],[Class]]="B", WORKDAY(Main[[#This Row],[Tech Start Date]],15),IF(Main[[#This Row],[Class]]="A",WORKDAY(Main[[#This Row],[Tech Start Date]],5),""))))</f>
        <v/>
      </c>
      <c r="P1240" s="69" t="str">
        <f>IF(Main[[#This Row],[Tech Start Date]]&lt;1/1/1990,"",IF(Main[[#This Row],[Class]]="C",WORKDAY(Main[[#This Row],[Tech Start Date]],28),IF(Main[[#This Row],[Class]]="B", WORKDAY(Main[[#This Row],[Tech Start Date]],19),IF(Main[[#This Row],[Class]]="A",WORKDAY(Main[[#This Row],[Tech Start Date]],9),""))))</f>
        <v/>
      </c>
      <c r="Q1240" s="67"/>
      <c r="R1240" s="67"/>
      <c r="S1240" s="65" t="s">
        <v>11</v>
      </c>
      <c r="T1240" s="70" t="s">
        <v>4</v>
      </c>
      <c r="U1240" s="65" t="s">
        <v>12</v>
      </c>
      <c r="V1240" s="65" t="s">
        <v>1917</v>
      </c>
      <c r="W1240" s="65" t="s">
        <v>1922</v>
      </c>
      <c r="X1240" s="65" t="s">
        <v>2912</v>
      </c>
      <c r="Y1240" s="65" t="s">
        <v>3135</v>
      </c>
      <c r="Z1240" s="65" t="s">
        <v>4</v>
      </c>
      <c r="AA1240" s="65" t="s">
        <v>3466</v>
      </c>
    </row>
    <row r="1241" spans="1:27" ht="17.45" hidden="1" customHeight="1">
      <c r="A1241" s="100" t="str">
        <f>IF(priority(Main[[#This Row],[Comments]])&lt;&gt;0, priority(Main[[#This Row],[Comments]]),"")</f>
        <v/>
      </c>
      <c r="B1241" s="77" t="s">
        <v>1092</v>
      </c>
      <c r="C1241" s="65" t="s">
        <v>4</v>
      </c>
      <c r="D1241" s="66" t="s">
        <v>3747</v>
      </c>
      <c r="E1241" s="67">
        <v>40086.707800925928</v>
      </c>
      <c r="F1241" s="67"/>
      <c r="G1241" s="64" t="str">
        <f>IF(stdProdLT(Main[[#This Row],[Comments]])=0.1,"N/A",IF(stdProdLT(Main[[#This Row],[Comments]])=0,"",stdProdLT(Main[[#This Row],[Comments]])))</f>
        <v/>
      </c>
      <c r="H1241" s="68" t="str">
        <f>IF(AND(Main[[#This Row],[In Stock Date]]&lt;&gt;"",Main[[#This Row],[Revised Due Date]]&lt;&gt;""),Main[[#This Row],[In Stock Date]]-Main[[#This Row],[Revised Due Date]],"")</f>
        <v/>
      </c>
      <c r="I1241" s="65" t="s">
        <v>907</v>
      </c>
      <c r="J1241" s="65" t="s">
        <v>4</v>
      </c>
      <c r="K1241" s="71" t="s">
        <v>1926</v>
      </c>
      <c r="L1241" s="67"/>
      <c r="M1241" s="69" t="str">
        <f>IF(Main[[#This Row],[Tech Start Date]]&lt;1/1/1990,"",IF(Main[[#This Row],[Class]]="C",WORKDAY(Main[[#This Row],[Tech Start Date]],9),IF(Main[[#This Row],[Class]]="B", WORKDAY(Main[[#This Row],[Tech Start Date]],6),IF(Main[[#This Row],[Class]]="A",WORKDAY(Main[[#This Row],[Tech Start Date]],2),""))))</f>
        <v/>
      </c>
      <c r="N1241" s="69" t="str">
        <f>IF(Main[[#This Row],[Tech Start Date]]&lt;1/1/1990,"",IF(Main[[#This Row],[Class]]="C",WORKDAY(Main[[#This Row],[Tech Start Date]],19),IF(Main[[#This Row],[Class]]="B", WORKDAY(Main[[#This Row],[Tech Start Date]],12),IF(Main[[#This Row],[Class]]="A",WORKDAY(Main[[#This Row],[Tech Start Date]],4),""))))</f>
        <v/>
      </c>
      <c r="O1241" s="69" t="str">
        <f>IF(Main[[#This Row],[Tech Start Date]]&lt;1/1/1990,"",IF(Main[[#This Row],[Class]]="C",WORKDAY(Main[[#This Row],[Tech Start Date]],23),IF(Main[[#This Row],[Class]]="B", WORKDAY(Main[[#This Row],[Tech Start Date]],15),IF(Main[[#This Row],[Class]]="A",WORKDAY(Main[[#This Row],[Tech Start Date]],5),""))))</f>
        <v/>
      </c>
      <c r="P1241" s="69" t="str">
        <f>IF(Main[[#This Row],[Tech Start Date]]&lt;1/1/1990,"",IF(Main[[#This Row],[Class]]="C",WORKDAY(Main[[#This Row],[Tech Start Date]],28),IF(Main[[#This Row],[Class]]="B", WORKDAY(Main[[#This Row],[Tech Start Date]],19),IF(Main[[#This Row],[Class]]="A",WORKDAY(Main[[#This Row],[Tech Start Date]],9),""))))</f>
        <v/>
      </c>
      <c r="Q1241" s="67">
        <v>41005</v>
      </c>
      <c r="R1241" s="67">
        <v>41005</v>
      </c>
      <c r="S1241" s="65" t="s">
        <v>17</v>
      </c>
      <c r="T1241" s="70" t="s">
        <v>4</v>
      </c>
      <c r="U1241" s="65" t="s">
        <v>29</v>
      </c>
      <c r="V1241" s="65" t="s">
        <v>1914</v>
      </c>
      <c r="W1241" s="65" t="s">
        <v>1919</v>
      </c>
      <c r="X1241" s="65" t="s">
        <v>129</v>
      </c>
      <c r="Y1241" s="65" t="s">
        <v>2933</v>
      </c>
      <c r="Z1241" s="65" t="s">
        <v>877</v>
      </c>
      <c r="AA1241" s="65" t="s">
        <v>129</v>
      </c>
    </row>
    <row r="1242" spans="1:27" ht="17.45" hidden="1" customHeight="1">
      <c r="A1242" s="100" t="str">
        <f>IF(priority(Main[[#This Row],[Comments]])&lt;&gt;0, priority(Main[[#This Row],[Comments]]),"")</f>
        <v/>
      </c>
      <c r="B1242" s="77" t="s">
        <v>3748</v>
      </c>
      <c r="C1242" s="65" t="s">
        <v>4</v>
      </c>
      <c r="D1242" s="66" t="s">
        <v>3749</v>
      </c>
      <c r="E1242" s="67">
        <v>40967.414942129632</v>
      </c>
      <c r="F1242" s="67"/>
      <c r="G1242" s="64" t="str">
        <f>IF(stdProdLT(Main[[#This Row],[Comments]])=0.1,"N/A",IF(stdProdLT(Main[[#This Row],[Comments]])=0,"",stdProdLT(Main[[#This Row],[Comments]])))</f>
        <v/>
      </c>
      <c r="H1242" s="68" t="str">
        <f>IF(AND(Main[[#This Row],[In Stock Date]]&lt;&gt;"",Main[[#This Row],[Revised Due Date]]&lt;&gt;""),Main[[#This Row],[In Stock Date]]-Main[[#This Row],[Revised Due Date]],"")</f>
        <v/>
      </c>
      <c r="I1242" s="65" t="s">
        <v>4</v>
      </c>
      <c r="J1242" s="65" t="s">
        <v>4</v>
      </c>
      <c r="K1242" s="71" t="s">
        <v>4</v>
      </c>
      <c r="L1242" s="67"/>
      <c r="M1242" s="69" t="str">
        <f>IF(Main[[#This Row],[Tech Start Date]]&lt;1/1/1990,"",IF(Main[[#This Row],[Class]]="C",WORKDAY(Main[[#This Row],[Tech Start Date]],9),IF(Main[[#This Row],[Class]]="B", WORKDAY(Main[[#This Row],[Tech Start Date]],6),IF(Main[[#This Row],[Class]]="A",WORKDAY(Main[[#This Row],[Tech Start Date]],2),""))))</f>
        <v/>
      </c>
      <c r="N1242" s="69" t="str">
        <f>IF(Main[[#This Row],[Tech Start Date]]&lt;1/1/1990,"",IF(Main[[#This Row],[Class]]="C",WORKDAY(Main[[#This Row],[Tech Start Date]],19),IF(Main[[#This Row],[Class]]="B", WORKDAY(Main[[#This Row],[Tech Start Date]],12),IF(Main[[#This Row],[Class]]="A",WORKDAY(Main[[#This Row],[Tech Start Date]],4),""))))</f>
        <v/>
      </c>
      <c r="O1242" s="69" t="str">
        <f>IF(Main[[#This Row],[Tech Start Date]]&lt;1/1/1990,"",IF(Main[[#This Row],[Class]]="C",WORKDAY(Main[[#This Row],[Tech Start Date]],23),IF(Main[[#This Row],[Class]]="B", WORKDAY(Main[[#This Row],[Tech Start Date]],15),IF(Main[[#This Row],[Class]]="A",WORKDAY(Main[[#This Row],[Tech Start Date]],5),""))))</f>
        <v/>
      </c>
      <c r="P1242" s="69" t="str">
        <f>IF(Main[[#This Row],[Tech Start Date]]&lt;1/1/1990,"",IF(Main[[#This Row],[Class]]="C",WORKDAY(Main[[#This Row],[Tech Start Date]],28),IF(Main[[#This Row],[Class]]="B", WORKDAY(Main[[#This Row],[Tech Start Date]],19),IF(Main[[#This Row],[Class]]="A",WORKDAY(Main[[#This Row],[Tech Start Date]],9),""))))</f>
        <v/>
      </c>
      <c r="Q1242" s="67">
        <v>40977</v>
      </c>
      <c r="R1242" s="67"/>
      <c r="S1242" s="65" t="s">
        <v>6</v>
      </c>
      <c r="T1242" s="70" t="s">
        <v>4</v>
      </c>
      <c r="U1242" s="65" t="s">
        <v>7</v>
      </c>
      <c r="V1242" s="65" t="s">
        <v>1917</v>
      </c>
      <c r="W1242" s="65" t="s">
        <v>1918</v>
      </c>
      <c r="X1242" s="65" t="s">
        <v>2903</v>
      </c>
      <c r="Y1242" s="65" t="s">
        <v>3083</v>
      </c>
      <c r="Z1242" s="65" t="s">
        <v>4</v>
      </c>
      <c r="AA1242" s="65" t="s">
        <v>2903</v>
      </c>
    </row>
    <row r="1243" spans="1:27" ht="17.45" customHeight="1">
      <c r="A1243" s="100">
        <f>IF(priority(Main[[#This Row],[Comments]])&lt;&gt;0, priority(Main[[#This Row],[Comments]]),"")</f>
        <v>14.3</v>
      </c>
      <c r="B1243" s="77" t="s">
        <v>3660</v>
      </c>
      <c r="C1243" s="65" t="s">
        <v>4</v>
      </c>
      <c r="D1243" s="66" t="s">
        <v>3661</v>
      </c>
      <c r="E1243" s="67">
        <v>40961.53570601852</v>
      </c>
      <c r="F1243" s="67"/>
      <c r="G1243" s="64" t="str">
        <f>IF(stdProdLT(Main[[#This Row],[Comments]])=0.1,"N/A",IF(stdProdLT(Main[[#This Row],[Comments]])=0,"",stdProdLT(Main[[#This Row],[Comments]])))</f>
        <v>N/A</v>
      </c>
      <c r="H1243" s="68" t="str">
        <f>IF(AND(Main[[#This Row],[In Stock Date]]&lt;&gt;"",Main[[#This Row],[Revised Due Date]]&lt;&gt;""),Main[[#This Row],[In Stock Date]]-Main[[#This Row],[Revised Due Date]],"")</f>
        <v/>
      </c>
      <c r="I1243" s="65" t="s">
        <v>4</v>
      </c>
      <c r="J1243" s="65" t="s">
        <v>4</v>
      </c>
      <c r="K1243" s="65" t="s">
        <v>4</v>
      </c>
      <c r="L1243" s="67"/>
      <c r="M1243" s="69" t="str">
        <f>IF(Main[[#This Row],[Tech Start Date]]&lt;1/1/1990,"",IF(Main[[#This Row],[Class]]="C",WORKDAY(Main[[#This Row],[Tech Start Date]],9),IF(Main[[#This Row],[Class]]="B", WORKDAY(Main[[#This Row],[Tech Start Date]],6),IF(Main[[#This Row],[Class]]="A",WORKDAY(Main[[#This Row],[Tech Start Date]],2),""))))</f>
        <v/>
      </c>
      <c r="N1243" s="69" t="str">
        <f>IF(Main[[#This Row],[Tech Start Date]]&lt;1/1/1990,"",IF(Main[[#This Row],[Class]]="C",WORKDAY(Main[[#This Row],[Tech Start Date]],19),IF(Main[[#This Row],[Class]]="B", WORKDAY(Main[[#This Row],[Tech Start Date]],12),IF(Main[[#This Row],[Class]]="A",WORKDAY(Main[[#This Row],[Tech Start Date]],4),""))))</f>
        <v/>
      </c>
      <c r="O1243" s="69" t="str">
        <f>IF(Main[[#This Row],[Tech Start Date]]&lt;1/1/1990,"",IF(Main[[#This Row],[Class]]="C",WORKDAY(Main[[#This Row],[Tech Start Date]],23),IF(Main[[#This Row],[Class]]="B", WORKDAY(Main[[#This Row],[Tech Start Date]],15),IF(Main[[#This Row],[Class]]="A",WORKDAY(Main[[#This Row],[Tech Start Date]],5),""))))</f>
        <v/>
      </c>
      <c r="P1243" s="69" t="str">
        <f>IF(Main[[#This Row],[Tech Start Date]]&lt;1/1/1990,"",IF(Main[[#This Row],[Class]]="C",WORKDAY(Main[[#This Row],[Tech Start Date]],28),IF(Main[[#This Row],[Class]]="B", WORKDAY(Main[[#This Row],[Tech Start Date]],19),IF(Main[[#This Row],[Class]]="A",WORKDAY(Main[[#This Row],[Tech Start Date]],9),""))))</f>
        <v/>
      </c>
      <c r="Q1243" s="67">
        <v>40984</v>
      </c>
      <c r="R1243" s="67"/>
      <c r="S1243" s="65" t="s">
        <v>11</v>
      </c>
      <c r="T1243" s="70" t="s">
        <v>3662</v>
      </c>
      <c r="U1243" s="65" t="s">
        <v>7</v>
      </c>
      <c r="V1243" s="65" t="s">
        <v>1914</v>
      </c>
      <c r="W1243" s="65" t="s">
        <v>1928</v>
      </c>
      <c r="X1243" s="65" t="s">
        <v>2821</v>
      </c>
      <c r="Y1243" s="65" t="s">
        <v>2936</v>
      </c>
      <c r="Z1243" s="65" t="s">
        <v>4</v>
      </c>
      <c r="AA1243" s="65" t="s">
        <v>2821</v>
      </c>
    </row>
    <row r="1244" spans="1:27" ht="17.45" hidden="1" customHeight="1">
      <c r="A1244" s="100" t="str">
        <f>IF(priority(Main[[#This Row],[Comments]])&lt;&gt;0, priority(Main[[#This Row],[Comments]]),"")</f>
        <v/>
      </c>
      <c r="B1244" s="77" t="s">
        <v>2588</v>
      </c>
      <c r="C1244" s="65" t="s">
        <v>4</v>
      </c>
      <c r="D1244" s="66" t="s">
        <v>2589</v>
      </c>
      <c r="E1244" s="67"/>
      <c r="F1244" s="67"/>
      <c r="G1244" s="64" t="str">
        <f>IF(stdProdLT(Main[[#This Row],[Comments]])=0.1,"N/A",IF(stdProdLT(Main[[#This Row],[Comments]])=0,"",stdProdLT(Main[[#This Row],[Comments]])))</f>
        <v/>
      </c>
      <c r="H1244" s="68" t="str">
        <f>IF(AND(Main[[#This Row],[In Stock Date]]&lt;&gt;"",Main[[#This Row],[Revised Due Date]]&lt;&gt;""),Main[[#This Row],[In Stock Date]]-Main[[#This Row],[Revised Due Date]],"")</f>
        <v/>
      </c>
      <c r="I1244" s="65" t="s">
        <v>4</v>
      </c>
      <c r="J1244" s="65" t="s">
        <v>4</v>
      </c>
      <c r="K1244" s="65" t="s">
        <v>4</v>
      </c>
      <c r="L1244" s="67"/>
      <c r="M1244" s="69" t="str">
        <f>IF(Main[[#This Row],[Tech Start Date]]&lt;1/1/1990,"",IF(Main[[#This Row],[Class]]="C",WORKDAY(Main[[#This Row],[Tech Start Date]],9),IF(Main[[#This Row],[Class]]="B", WORKDAY(Main[[#This Row],[Tech Start Date]],6),IF(Main[[#This Row],[Class]]="A",WORKDAY(Main[[#This Row],[Tech Start Date]],2),""))))</f>
        <v/>
      </c>
      <c r="N1244" s="69" t="str">
        <f>IF(Main[[#This Row],[Tech Start Date]]&lt;1/1/1990,"",IF(Main[[#This Row],[Class]]="C",WORKDAY(Main[[#This Row],[Tech Start Date]],19),IF(Main[[#This Row],[Class]]="B", WORKDAY(Main[[#This Row],[Tech Start Date]],12),IF(Main[[#This Row],[Class]]="A",WORKDAY(Main[[#This Row],[Tech Start Date]],4),""))))</f>
        <v/>
      </c>
      <c r="O1244" s="69" t="str">
        <f>IF(Main[[#This Row],[Tech Start Date]]&lt;1/1/1990,"",IF(Main[[#This Row],[Class]]="C",WORKDAY(Main[[#This Row],[Tech Start Date]],23),IF(Main[[#This Row],[Class]]="B", WORKDAY(Main[[#This Row],[Tech Start Date]],15),IF(Main[[#This Row],[Class]]="A",WORKDAY(Main[[#This Row],[Tech Start Date]],5),""))))</f>
        <v/>
      </c>
      <c r="P1244" s="69" t="str">
        <f>IF(Main[[#This Row],[Tech Start Date]]&lt;1/1/1990,"",IF(Main[[#This Row],[Class]]="C",WORKDAY(Main[[#This Row],[Tech Start Date]],28),IF(Main[[#This Row],[Class]]="B", WORKDAY(Main[[#This Row],[Tech Start Date]],19),IF(Main[[#This Row],[Class]]="A",WORKDAY(Main[[#This Row],[Tech Start Date]],9),""))))</f>
        <v/>
      </c>
      <c r="Q1244" s="67"/>
      <c r="R1244" s="67"/>
      <c r="S1244" s="65" t="s">
        <v>11</v>
      </c>
      <c r="T1244" s="70" t="s">
        <v>4</v>
      </c>
      <c r="U1244" s="65" t="s">
        <v>14</v>
      </c>
      <c r="V1244" s="65" t="s">
        <v>1917</v>
      </c>
      <c r="W1244" s="65" t="s">
        <v>1922</v>
      </c>
      <c r="X1244" s="65" t="s">
        <v>306</v>
      </c>
      <c r="Y1244" s="65" t="s">
        <v>4</v>
      </c>
      <c r="Z1244" s="65" t="s">
        <v>4</v>
      </c>
      <c r="AA1244" s="65" t="s">
        <v>4</v>
      </c>
    </row>
    <row r="1245" spans="1:27" ht="17.45" hidden="1" customHeight="1">
      <c r="A1245" s="100" t="str">
        <f>IF(priority(Main[[#This Row],[Comments]])&lt;&gt;0, priority(Main[[#This Row],[Comments]]),"")</f>
        <v/>
      </c>
      <c r="B1245" s="77" t="s">
        <v>2284</v>
      </c>
      <c r="C1245" s="65" t="s">
        <v>67</v>
      </c>
      <c r="D1245" s="66" t="s">
        <v>2285</v>
      </c>
      <c r="E1245" s="67"/>
      <c r="F1245" s="67">
        <v>41075</v>
      </c>
      <c r="G1245" s="64" t="str">
        <f>IF(stdProdLT(Main[[#This Row],[Comments]])=0.1,"N/A",IF(stdProdLT(Main[[#This Row],[Comments]])=0,"",stdProdLT(Main[[#This Row],[Comments]])))</f>
        <v/>
      </c>
      <c r="H1245" s="68" t="str">
        <f>IF(AND(Main[[#This Row],[In Stock Date]]&lt;&gt;"",Main[[#This Row],[Revised Due Date]]&lt;&gt;""),Main[[#This Row],[In Stock Date]]-Main[[#This Row],[Revised Due Date]],"")</f>
        <v/>
      </c>
      <c r="I1245" s="65" t="s">
        <v>4</v>
      </c>
      <c r="J1245" s="65" t="s">
        <v>4</v>
      </c>
      <c r="K1245" s="65" t="s">
        <v>4</v>
      </c>
      <c r="L1245" s="67"/>
      <c r="M1245" s="69" t="str">
        <f>IF(Main[[#This Row],[Tech Start Date]]&lt;1/1/1990,"",IF(Main[[#This Row],[Class]]="C",WORKDAY(Main[[#This Row],[Tech Start Date]],9),IF(Main[[#This Row],[Class]]="B", WORKDAY(Main[[#This Row],[Tech Start Date]],6),IF(Main[[#This Row],[Class]]="A",WORKDAY(Main[[#This Row],[Tech Start Date]],2),""))))</f>
        <v/>
      </c>
      <c r="N1245" s="69" t="str">
        <f>IF(Main[[#This Row],[Tech Start Date]]&lt;1/1/1990,"",IF(Main[[#This Row],[Class]]="C",WORKDAY(Main[[#This Row],[Tech Start Date]],19),IF(Main[[#This Row],[Class]]="B", WORKDAY(Main[[#This Row],[Tech Start Date]],12),IF(Main[[#This Row],[Class]]="A",WORKDAY(Main[[#This Row],[Tech Start Date]],4),""))))</f>
        <v/>
      </c>
      <c r="O1245" s="69" t="str">
        <f>IF(Main[[#This Row],[Tech Start Date]]&lt;1/1/1990,"",IF(Main[[#This Row],[Class]]="C",WORKDAY(Main[[#This Row],[Tech Start Date]],23),IF(Main[[#This Row],[Class]]="B", WORKDAY(Main[[#This Row],[Tech Start Date]],15),IF(Main[[#This Row],[Class]]="A",WORKDAY(Main[[#This Row],[Tech Start Date]],5),""))))</f>
        <v/>
      </c>
      <c r="P1245" s="69" t="str">
        <f>IF(Main[[#This Row],[Tech Start Date]]&lt;1/1/1990,"",IF(Main[[#This Row],[Class]]="C",WORKDAY(Main[[#This Row],[Tech Start Date]],28),IF(Main[[#This Row],[Class]]="B", WORKDAY(Main[[#This Row],[Tech Start Date]],19),IF(Main[[#This Row],[Class]]="A",WORKDAY(Main[[#This Row],[Tech Start Date]],9),""))))</f>
        <v/>
      </c>
      <c r="Q1245" s="67">
        <v>40908</v>
      </c>
      <c r="R1245" s="67"/>
      <c r="S1245" s="65" t="s">
        <v>17</v>
      </c>
      <c r="T1245" s="70" t="s">
        <v>4</v>
      </c>
      <c r="U1245" s="65" t="s">
        <v>14</v>
      </c>
      <c r="V1245" s="65" t="s">
        <v>1924</v>
      </c>
      <c r="W1245" s="65" t="s">
        <v>1925</v>
      </c>
      <c r="X1245" s="65" t="s">
        <v>553</v>
      </c>
      <c r="Y1245" s="65" t="s">
        <v>2952</v>
      </c>
      <c r="Z1245" s="65" t="s">
        <v>4</v>
      </c>
      <c r="AA1245" s="65" t="s">
        <v>553</v>
      </c>
    </row>
    <row r="1246" spans="1:27" ht="17.45" hidden="1" customHeight="1">
      <c r="A1246" s="100" t="str">
        <f>IF(priority(Main[[#This Row],[Comments]])&lt;&gt;0, priority(Main[[#This Row],[Comments]]),"")</f>
        <v/>
      </c>
      <c r="B1246" s="77" t="s">
        <v>2598</v>
      </c>
      <c r="C1246" s="65" t="s">
        <v>4</v>
      </c>
      <c r="D1246" s="66" t="s">
        <v>2599</v>
      </c>
      <c r="E1246" s="67">
        <v>40877.273229166669</v>
      </c>
      <c r="F1246" s="67"/>
      <c r="G1246" s="64" t="str">
        <f>IF(stdProdLT(Main[[#This Row],[Comments]])=0.1,"N/A",IF(stdProdLT(Main[[#This Row],[Comments]])=0,"",stdProdLT(Main[[#This Row],[Comments]])))</f>
        <v/>
      </c>
      <c r="H1246" s="68" t="str">
        <f>IF(AND(Main[[#This Row],[In Stock Date]]&lt;&gt;"",Main[[#This Row],[Revised Due Date]]&lt;&gt;""),Main[[#This Row],[In Stock Date]]-Main[[#This Row],[Revised Due Date]],"")</f>
        <v/>
      </c>
      <c r="I1246" s="65" t="s">
        <v>69</v>
      </c>
      <c r="J1246" s="65" t="s">
        <v>70</v>
      </c>
      <c r="K1246" s="65" t="s">
        <v>1923</v>
      </c>
      <c r="L1246" s="67"/>
      <c r="M1246" s="69" t="str">
        <f>IF(Main[[#This Row],[Tech Start Date]]&lt;1/1/1990,"",IF(Main[[#This Row],[Class]]="C",WORKDAY(Main[[#This Row],[Tech Start Date]],9),IF(Main[[#This Row],[Class]]="B", WORKDAY(Main[[#This Row],[Tech Start Date]],6),IF(Main[[#This Row],[Class]]="A",WORKDAY(Main[[#This Row],[Tech Start Date]],2),""))))</f>
        <v/>
      </c>
      <c r="N1246" s="69" t="str">
        <f>IF(Main[[#This Row],[Tech Start Date]]&lt;1/1/1990,"",IF(Main[[#This Row],[Class]]="C",WORKDAY(Main[[#This Row],[Tech Start Date]],19),IF(Main[[#This Row],[Class]]="B", WORKDAY(Main[[#This Row],[Tech Start Date]],12),IF(Main[[#This Row],[Class]]="A",WORKDAY(Main[[#This Row],[Tech Start Date]],4),""))))</f>
        <v/>
      </c>
      <c r="O1246" s="69" t="str">
        <f>IF(Main[[#This Row],[Tech Start Date]]&lt;1/1/1990,"",IF(Main[[#This Row],[Class]]="C",WORKDAY(Main[[#This Row],[Tech Start Date]],23),IF(Main[[#This Row],[Class]]="B", WORKDAY(Main[[#This Row],[Tech Start Date]],15),IF(Main[[#This Row],[Class]]="A",WORKDAY(Main[[#This Row],[Tech Start Date]],5),""))))</f>
        <v/>
      </c>
      <c r="P1246" s="69" t="str">
        <f>IF(Main[[#This Row],[Tech Start Date]]&lt;1/1/1990,"",IF(Main[[#This Row],[Class]]="C",WORKDAY(Main[[#This Row],[Tech Start Date]],28),IF(Main[[#This Row],[Class]]="B", WORKDAY(Main[[#This Row],[Tech Start Date]],19),IF(Main[[#This Row],[Class]]="A",WORKDAY(Main[[#This Row],[Tech Start Date]],9),""))))</f>
        <v/>
      </c>
      <c r="Q1246" s="67">
        <v>40906</v>
      </c>
      <c r="R1246" s="67"/>
      <c r="S1246" s="65" t="s">
        <v>6</v>
      </c>
      <c r="T1246" s="70" t="s">
        <v>4</v>
      </c>
      <c r="U1246" s="65" t="s">
        <v>29</v>
      </c>
      <c r="V1246" s="65" t="s">
        <v>1917</v>
      </c>
      <c r="W1246" s="65" t="s">
        <v>1918</v>
      </c>
      <c r="X1246" s="65" t="s">
        <v>30</v>
      </c>
      <c r="Y1246" s="65" t="s">
        <v>3139</v>
      </c>
      <c r="Z1246" s="65" t="s">
        <v>30</v>
      </c>
      <c r="AA1246" s="65" t="s">
        <v>3469</v>
      </c>
    </row>
    <row r="1247" spans="1:27" ht="17.45" hidden="1" customHeight="1">
      <c r="A1247" s="100" t="str">
        <f>IF(priority(Main[[#This Row],[Comments]])&lt;&gt;0, priority(Main[[#This Row],[Comments]]),"")</f>
        <v/>
      </c>
      <c r="B1247" s="77" t="s">
        <v>2719</v>
      </c>
      <c r="C1247" s="65" t="s">
        <v>4</v>
      </c>
      <c r="D1247" s="66" t="s">
        <v>3237</v>
      </c>
      <c r="E1247" s="67"/>
      <c r="F1247" s="67"/>
      <c r="G1247" s="64" t="str">
        <f>IF(stdProdLT(Main[[#This Row],[Comments]])=0.1,"N/A",IF(stdProdLT(Main[[#This Row],[Comments]])=0,"",stdProdLT(Main[[#This Row],[Comments]])))</f>
        <v/>
      </c>
      <c r="H1247" s="68" t="str">
        <f>IF(AND(Main[[#This Row],[In Stock Date]]&lt;&gt;"",Main[[#This Row],[Revised Due Date]]&lt;&gt;""),Main[[#This Row],[In Stock Date]]-Main[[#This Row],[Revised Due Date]],"")</f>
        <v/>
      </c>
      <c r="I1247" s="65" t="s">
        <v>2208</v>
      </c>
      <c r="J1247" s="65" t="s">
        <v>75</v>
      </c>
      <c r="K1247" s="65" t="s">
        <v>1923</v>
      </c>
      <c r="L1247" s="67"/>
      <c r="M1247" s="69" t="str">
        <f>IF(Main[[#This Row],[Tech Start Date]]&lt;1/1/1990,"",IF(Main[[#This Row],[Class]]="C",WORKDAY(Main[[#This Row],[Tech Start Date]],9),IF(Main[[#This Row],[Class]]="B", WORKDAY(Main[[#This Row],[Tech Start Date]],6),IF(Main[[#This Row],[Class]]="A",WORKDAY(Main[[#This Row],[Tech Start Date]],2),""))))</f>
        <v/>
      </c>
      <c r="N1247" s="69" t="str">
        <f>IF(Main[[#This Row],[Tech Start Date]]&lt;1/1/1990,"",IF(Main[[#This Row],[Class]]="C",WORKDAY(Main[[#This Row],[Tech Start Date]],19),IF(Main[[#This Row],[Class]]="B", WORKDAY(Main[[#This Row],[Tech Start Date]],12),IF(Main[[#This Row],[Class]]="A",WORKDAY(Main[[#This Row],[Tech Start Date]],4),""))))</f>
        <v/>
      </c>
      <c r="O1247" s="69" t="str">
        <f>IF(Main[[#This Row],[Tech Start Date]]&lt;1/1/1990,"",IF(Main[[#This Row],[Class]]="C",WORKDAY(Main[[#This Row],[Tech Start Date]],23),IF(Main[[#This Row],[Class]]="B", WORKDAY(Main[[#This Row],[Tech Start Date]],15),IF(Main[[#This Row],[Class]]="A",WORKDAY(Main[[#This Row],[Tech Start Date]],5),""))))</f>
        <v/>
      </c>
      <c r="P1247" s="69" t="str">
        <f>IF(Main[[#This Row],[Tech Start Date]]&lt;1/1/1990,"",IF(Main[[#This Row],[Class]]="C",WORKDAY(Main[[#This Row],[Tech Start Date]],28),IF(Main[[#This Row],[Class]]="B", WORKDAY(Main[[#This Row],[Tech Start Date]],19),IF(Main[[#This Row],[Class]]="A",WORKDAY(Main[[#This Row],[Tech Start Date]],9),""))))</f>
        <v/>
      </c>
      <c r="Q1247" s="67">
        <v>40939</v>
      </c>
      <c r="R1247" s="67"/>
      <c r="S1247" s="65" t="s">
        <v>6</v>
      </c>
      <c r="T1247" s="70" t="s">
        <v>4</v>
      </c>
      <c r="U1247" s="65" t="s">
        <v>14</v>
      </c>
      <c r="V1247" s="65" t="s">
        <v>1917</v>
      </c>
      <c r="W1247" s="65" t="s">
        <v>1918</v>
      </c>
      <c r="X1247" s="65" t="s">
        <v>2819</v>
      </c>
      <c r="Y1247" s="65" t="s">
        <v>2932</v>
      </c>
      <c r="Z1247" s="65" t="s">
        <v>30</v>
      </c>
      <c r="AA1247" s="65" t="s">
        <v>2819</v>
      </c>
    </row>
    <row r="1248" spans="1:27" ht="17.45" hidden="1" customHeight="1">
      <c r="A1248" s="100" t="str">
        <f>IF(priority(Main[[#This Row],[Comments]])&lt;&gt;0, priority(Main[[#This Row],[Comments]]),"")</f>
        <v/>
      </c>
      <c r="B1248" s="77" t="s">
        <v>3297</v>
      </c>
      <c r="C1248" s="65" t="s">
        <v>4</v>
      </c>
      <c r="D1248" s="66" t="s">
        <v>3298</v>
      </c>
      <c r="E1248" s="67"/>
      <c r="F1248" s="67"/>
      <c r="G1248" s="64" t="str">
        <f>IF(stdProdLT(Main[[#This Row],[Comments]])=0.1,"N/A",IF(stdProdLT(Main[[#This Row],[Comments]])=0,"",stdProdLT(Main[[#This Row],[Comments]])))</f>
        <v/>
      </c>
      <c r="H1248" s="68" t="str">
        <f>IF(AND(Main[[#This Row],[In Stock Date]]&lt;&gt;"",Main[[#This Row],[Revised Due Date]]&lt;&gt;""),Main[[#This Row],[In Stock Date]]-Main[[#This Row],[Revised Due Date]],"")</f>
        <v/>
      </c>
      <c r="I1248" s="65" t="s">
        <v>4</v>
      </c>
      <c r="J1248" s="65" t="s">
        <v>4</v>
      </c>
      <c r="K1248" s="65" t="s">
        <v>4</v>
      </c>
      <c r="L1248" s="67"/>
      <c r="M1248" s="69" t="str">
        <f>IF(Main[[#This Row],[Tech Start Date]]&lt;1/1/1990,"",IF(Main[[#This Row],[Class]]="C",WORKDAY(Main[[#This Row],[Tech Start Date]],9),IF(Main[[#This Row],[Class]]="B", WORKDAY(Main[[#This Row],[Tech Start Date]],6),IF(Main[[#This Row],[Class]]="A",WORKDAY(Main[[#This Row],[Tech Start Date]],2),""))))</f>
        <v/>
      </c>
      <c r="N1248" s="69" t="str">
        <f>IF(Main[[#This Row],[Tech Start Date]]&lt;1/1/1990,"",IF(Main[[#This Row],[Class]]="C",WORKDAY(Main[[#This Row],[Tech Start Date]],19),IF(Main[[#This Row],[Class]]="B", WORKDAY(Main[[#This Row],[Tech Start Date]],12),IF(Main[[#This Row],[Class]]="A",WORKDAY(Main[[#This Row],[Tech Start Date]],4),""))))</f>
        <v/>
      </c>
      <c r="O1248" s="69" t="str">
        <f>IF(Main[[#This Row],[Tech Start Date]]&lt;1/1/1990,"",IF(Main[[#This Row],[Class]]="C",WORKDAY(Main[[#This Row],[Tech Start Date]],23),IF(Main[[#This Row],[Class]]="B", WORKDAY(Main[[#This Row],[Tech Start Date]],15),IF(Main[[#This Row],[Class]]="A",WORKDAY(Main[[#This Row],[Tech Start Date]],5),""))))</f>
        <v/>
      </c>
      <c r="P1248" s="69" t="str">
        <f>IF(Main[[#This Row],[Tech Start Date]]&lt;1/1/1990,"",IF(Main[[#This Row],[Class]]="C",WORKDAY(Main[[#This Row],[Tech Start Date]],28),IF(Main[[#This Row],[Class]]="B", WORKDAY(Main[[#This Row],[Tech Start Date]],19),IF(Main[[#This Row],[Class]]="A",WORKDAY(Main[[#This Row],[Tech Start Date]],9),""))))</f>
        <v/>
      </c>
      <c r="Q1248" s="67">
        <v>40969</v>
      </c>
      <c r="R1248" s="67"/>
      <c r="S1248" s="65" t="s">
        <v>11</v>
      </c>
      <c r="T1248" s="70" t="s">
        <v>4</v>
      </c>
      <c r="U1248" s="65" t="s">
        <v>14</v>
      </c>
      <c r="V1248" s="65" t="s">
        <v>1917</v>
      </c>
      <c r="W1248" s="65" t="s">
        <v>1919</v>
      </c>
      <c r="X1248" s="65" t="s">
        <v>553</v>
      </c>
      <c r="Y1248" s="65" t="s">
        <v>2952</v>
      </c>
      <c r="Z1248" s="65" t="s">
        <v>4</v>
      </c>
      <c r="AA1248" s="65" t="s">
        <v>553</v>
      </c>
    </row>
    <row r="1249" spans="1:27" ht="17.45" hidden="1" customHeight="1">
      <c r="A1249" s="100" t="str">
        <f>IF(priority(Main[[#This Row],[Comments]])&lt;&gt;0, priority(Main[[#This Row],[Comments]]),"")</f>
        <v/>
      </c>
      <c r="B1249" s="77" t="s">
        <v>1477</v>
      </c>
      <c r="C1249" s="65" t="s">
        <v>4</v>
      </c>
      <c r="D1249" s="66" t="s">
        <v>358</v>
      </c>
      <c r="E1249" s="67">
        <v>40926.591666666667</v>
      </c>
      <c r="F1249" s="67"/>
      <c r="G1249" s="64" t="str">
        <f>IF(stdProdLT(Main[[#This Row],[Comments]])=0.1,"N/A",IF(stdProdLT(Main[[#This Row],[Comments]])=0,"",stdProdLT(Main[[#This Row],[Comments]])))</f>
        <v/>
      </c>
      <c r="H1249" s="68" t="str">
        <f>IF(AND(Main[[#This Row],[In Stock Date]]&lt;&gt;"",Main[[#This Row],[Revised Due Date]]&lt;&gt;""),Main[[#This Row],[In Stock Date]]-Main[[#This Row],[Revised Due Date]],"")</f>
        <v/>
      </c>
      <c r="I1249" s="65" t="s">
        <v>530</v>
      </c>
      <c r="J1249" s="65" t="s">
        <v>28</v>
      </c>
      <c r="K1249" s="71" t="s">
        <v>1923</v>
      </c>
      <c r="L1249" s="67"/>
      <c r="M1249" s="69" t="str">
        <f>IF(Main[[#This Row],[Tech Start Date]]&lt;1/1/1990,"",IF(Main[[#This Row],[Class]]="C",WORKDAY(Main[[#This Row],[Tech Start Date]],9),IF(Main[[#This Row],[Class]]="B", WORKDAY(Main[[#This Row],[Tech Start Date]],6),IF(Main[[#This Row],[Class]]="A",WORKDAY(Main[[#This Row],[Tech Start Date]],2),""))))</f>
        <v/>
      </c>
      <c r="N1249" s="69" t="str">
        <f>IF(Main[[#This Row],[Tech Start Date]]&lt;1/1/1990,"",IF(Main[[#This Row],[Class]]="C",WORKDAY(Main[[#This Row],[Tech Start Date]],19),IF(Main[[#This Row],[Class]]="B", WORKDAY(Main[[#This Row],[Tech Start Date]],12),IF(Main[[#This Row],[Class]]="A",WORKDAY(Main[[#This Row],[Tech Start Date]],4),""))))</f>
        <v/>
      </c>
      <c r="O1249" s="69" t="str">
        <f>IF(Main[[#This Row],[Tech Start Date]]&lt;1/1/1990,"",IF(Main[[#This Row],[Class]]="C",WORKDAY(Main[[#This Row],[Tech Start Date]],23),IF(Main[[#This Row],[Class]]="B", WORKDAY(Main[[#This Row],[Tech Start Date]],15),IF(Main[[#This Row],[Class]]="A",WORKDAY(Main[[#This Row],[Tech Start Date]],5),""))))</f>
        <v/>
      </c>
      <c r="P1249" s="69" t="str">
        <f>IF(Main[[#This Row],[Tech Start Date]]&lt;1/1/1990,"",IF(Main[[#This Row],[Class]]="C",WORKDAY(Main[[#This Row],[Tech Start Date]],28),IF(Main[[#This Row],[Class]]="B", WORKDAY(Main[[#This Row],[Tech Start Date]],19),IF(Main[[#This Row],[Class]]="A",WORKDAY(Main[[#This Row],[Tech Start Date]],9),""))))</f>
        <v/>
      </c>
      <c r="Q1249" s="67">
        <v>40746</v>
      </c>
      <c r="R1249" s="67"/>
      <c r="S1249" s="65" t="s">
        <v>6</v>
      </c>
      <c r="T1249" s="70" t="s">
        <v>4</v>
      </c>
      <c r="U1249" s="65" t="s">
        <v>29</v>
      </c>
      <c r="V1249" s="65" t="s">
        <v>1917</v>
      </c>
      <c r="W1249" s="65" t="s">
        <v>1918</v>
      </c>
      <c r="X1249" s="65" t="s">
        <v>2819</v>
      </c>
      <c r="Y1249" s="65" t="s">
        <v>2932</v>
      </c>
      <c r="Z1249" s="65" t="s">
        <v>30</v>
      </c>
      <c r="AA1249" s="65" t="s">
        <v>2819</v>
      </c>
    </row>
    <row r="1250" spans="1:27" ht="17.45" hidden="1" customHeight="1">
      <c r="A1250" s="100" t="str">
        <f>IF(priority(Main[[#This Row],[Comments]])&lt;&gt;0, priority(Main[[#This Row],[Comments]]),"")</f>
        <v/>
      </c>
      <c r="B1250" s="77" t="s">
        <v>2809</v>
      </c>
      <c r="C1250" s="65" t="s">
        <v>4</v>
      </c>
      <c r="D1250" s="66" t="s">
        <v>2810</v>
      </c>
      <c r="E1250" s="67">
        <v>40918.365578703706</v>
      </c>
      <c r="F1250" s="67"/>
      <c r="G1250" s="64" t="str">
        <f>IF(stdProdLT(Main[[#This Row],[Comments]])=0.1,"N/A",IF(stdProdLT(Main[[#This Row],[Comments]])=0,"",stdProdLT(Main[[#This Row],[Comments]])))</f>
        <v/>
      </c>
      <c r="H1250" s="68" t="str">
        <f>IF(AND(Main[[#This Row],[In Stock Date]]&lt;&gt;"",Main[[#This Row],[Revised Due Date]]&lt;&gt;""),Main[[#This Row],[In Stock Date]]-Main[[#This Row],[Revised Due Date]],"")</f>
        <v/>
      </c>
      <c r="I1250" s="65" t="s">
        <v>4</v>
      </c>
      <c r="J1250" s="65" t="s">
        <v>4</v>
      </c>
      <c r="K1250" s="65" t="s">
        <v>4</v>
      </c>
      <c r="L1250" s="67"/>
      <c r="M1250" s="69" t="str">
        <f>IF(Main[[#This Row],[Tech Start Date]]&lt;1/1/1990,"",IF(Main[[#This Row],[Class]]="C",WORKDAY(Main[[#This Row],[Tech Start Date]],9),IF(Main[[#This Row],[Class]]="B", WORKDAY(Main[[#This Row],[Tech Start Date]],6),IF(Main[[#This Row],[Class]]="A",WORKDAY(Main[[#This Row],[Tech Start Date]],2),""))))</f>
        <v/>
      </c>
      <c r="N1250" s="69" t="str">
        <f>IF(Main[[#This Row],[Tech Start Date]]&lt;1/1/1990,"",IF(Main[[#This Row],[Class]]="C",WORKDAY(Main[[#This Row],[Tech Start Date]],19),IF(Main[[#This Row],[Class]]="B", WORKDAY(Main[[#This Row],[Tech Start Date]],12),IF(Main[[#This Row],[Class]]="A",WORKDAY(Main[[#This Row],[Tech Start Date]],4),""))))</f>
        <v/>
      </c>
      <c r="O1250" s="69" t="str">
        <f>IF(Main[[#This Row],[Tech Start Date]]&lt;1/1/1990,"",IF(Main[[#This Row],[Class]]="C",WORKDAY(Main[[#This Row],[Tech Start Date]],23),IF(Main[[#This Row],[Class]]="B", WORKDAY(Main[[#This Row],[Tech Start Date]],15),IF(Main[[#This Row],[Class]]="A",WORKDAY(Main[[#This Row],[Tech Start Date]],5),""))))</f>
        <v/>
      </c>
      <c r="P1250" s="69" t="str">
        <f>IF(Main[[#This Row],[Tech Start Date]]&lt;1/1/1990,"",IF(Main[[#This Row],[Class]]="C",WORKDAY(Main[[#This Row],[Tech Start Date]],28),IF(Main[[#This Row],[Class]]="B", WORKDAY(Main[[#This Row],[Tech Start Date]],19),IF(Main[[#This Row],[Class]]="A",WORKDAY(Main[[#This Row],[Tech Start Date]],9),""))))</f>
        <v/>
      </c>
      <c r="Q1250" s="67">
        <v>40925</v>
      </c>
      <c r="R1250" s="67"/>
      <c r="S1250" s="65" t="s">
        <v>6</v>
      </c>
      <c r="T1250" s="70" t="s">
        <v>4</v>
      </c>
      <c r="U1250" s="65" t="s">
        <v>7</v>
      </c>
      <c r="V1250" s="65" t="s">
        <v>1914</v>
      </c>
      <c r="W1250" s="65" t="s">
        <v>4</v>
      </c>
      <c r="X1250" s="65" t="s">
        <v>2819</v>
      </c>
      <c r="Y1250" s="65" t="s">
        <v>2932</v>
      </c>
      <c r="Z1250" s="65" t="s">
        <v>4</v>
      </c>
      <c r="AA1250" s="65" t="s">
        <v>2819</v>
      </c>
    </row>
    <row r="1251" spans="1:27" ht="17.45" hidden="1" customHeight="1">
      <c r="A1251" s="100" t="str">
        <f>IF(priority(Main[[#This Row],[Comments]])&lt;&gt;0, priority(Main[[#This Row],[Comments]]),"")</f>
        <v/>
      </c>
      <c r="B1251" s="77" t="s">
        <v>3189</v>
      </c>
      <c r="C1251" s="65" t="s">
        <v>31</v>
      </c>
      <c r="D1251" s="66" t="s">
        <v>3190</v>
      </c>
      <c r="E1251" s="67"/>
      <c r="F1251" s="67">
        <v>41122</v>
      </c>
      <c r="G1251" s="64" t="str">
        <f>IF(stdProdLT(Main[[#This Row],[Comments]])=0.1,"N/A",IF(stdProdLT(Main[[#This Row],[Comments]])=0,"",stdProdLT(Main[[#This Row],[Comments]])))</f>
        <v/>
      </c>
      <c r="H1251" s="68" t="str">
        <f>IF(AND(Main[[#This Row],[In Stock Date]]&lt;&gt;"",Main[[#This Row],[Revised Due Date]]&lt;&gt;""),Main[[#This Row],[In Stock Date]]-Main[[#This Row],[Revised Due Date]],"")</f>
        <v/>
      </c>
      <c r="I1251" s="65" t="s">
        <v>4</v>
      </c>
      <c r="J1251" s="65" t="s">
        <v>4</v>
      </c>
      <c r="K1251" s="65" t="s">
        <v>4</v>
      </c>
      <c r="L1251" s="67"/>
      <c r="M1251" s="69" t="str">
        <f>IF(Main[[#This Row],[Tech Start Date]]&lt;1/1/1990,"",IF(Main[[#This Row],[Class]]="C",WORKDAY(Main[[#This Row],[Tech Start Date]],9),IF(Main[[#This Row],[Class]]="B", WORKDAY(Main[[#This Row],[Tech Start Date]],6),IF(Main[[#This Row],[Class]]="A",WORKDAY(Main[[#This Row],[Tech Start Date]],2),""))))</f>
        <v/>
      </c>
      <c r="N1251" s="69" t="str">
        <f>IF(Main[[#This Row],[Tech Start Date]]&lt;1/1/1990,"",IF(Main[[#This Row],[Class]]="C",WORKDAY(Main[[#This Row],[Tech Start Date]],19),IF(Main[[#This Row],[Class]]="B", WORKDAY(Main[[#This Row],[Tech Start Date]],12),IF(Main[[#This Row],[Class]]="A",WORKDAY(Main[[#This Row],[Tech Start Date]],4),""))))</f>
        <v/>
      </c>
      <c r="O1251" s="69" t="str">
        <f>IF(Main[[#This Row],[Tech Start Date]]&lt;1/1/1990,"",IF(Main[[#This Row],[Class]]="C",WORKDAY(Main[[#This Row],[Tech Start Date]],23),IF(Main[[#This Row],[Class]]="B", WORKDAY(Main[[#This Row],[Tech Start Date]],15),IF(Main[[#This Row],[Class]]="A",WORKDAY(Main[[#This Row],[Tech Start Date]],5),""))))</f>
        <v/>
      </c>
      <c r="P1251" s="69" t="str">
        <f>IF(Main[[#This Row],[Tech Start Date]]&lt;1/1/1990,"",IF(Main[[#This Row],[Class]]="C",WORKDAY(Main[[#This Row],[Tech Start Date]],28),IF(Main[[#This Row],[Class]]="B", WORKDAY(Main[[#This Row],[Tech Start Date]],19),IF(Main[[#This Row],[Class]]="A",WORKDAY(Main[[#This Row],[Tech Start Date]],9),""))))</f>
        <v/>
      </c>
      <c r="Q1251" s="67">
        <v>40940</v>
      </c>
      <c r="R1251" s="67"/>
      <c r="S1251" s="65" t="s">
        <v>11</v>
      </c>
      <c r="T1251" s="70" t="s">
        <v>4</v>
      </c>
      <c r="U1251" s="65" t="s">
        <v>12</v>
      </c>
      <c r="V1251" s="65" t="s">
        <v>1917</v>
      </c>
      <c r="W1251" s="65" t="s">
        <v>1925</v>
      </c>
      <c r="X1251" s="65" t="s">
        <v>2846</v>
      </c>
      <c r="Y1251" s="65" t="s">
        <v>4</v>
      </c>
      <c r="Z1251" s="65" t="s">
        <v>4</v>
      </c>
      <c r="AA1251" s="65" t="s">
        <v>2846</v>
      </c>
    </row>
    <row r="1252" spans="1:27" ht="17.45" hidden="1" customHeight="1">
      <c r="A1252" s="100" t="str">
        <f>IF(priority(Main[[#This Row],[Comments]])&lt;&gt;0, priority(Main[[#This Row],[Comments]]),"")</f>
        <v/>
      </c>
      <c r="B1252" s="77" t="s">
        <v>3210</v>
      </c>
      <c r="C1252" s="65" t="s">
        <v>4</v>
      </c>
      <c r="D1252" s="66" t="s">
        <v>3366</v>
      </c>
      <c r="E1252" s="67">
        <v>40921.54005787037</v>
      </c>
      <c r="F1252" s="67"/>
      <c r="G1252" s="64" t="str">
        <f>IF(stdProdLT(Main[[#This Row],[Comments]])=0.1,"N/A",IF(stdProdLT(Main[[#This Row],[Comments]])=0,"",stdProdLT(Main[[#This Row],[Comments]])))</f>
        <v/>
      </c>
      <c r="H1252" s="68" t="str">
        <f>IF(AND(Main[[#This Row],[In Stock Date]]&lt;&gt;"",Main[[#This Row],[Revised Due Date]]&lt;&gt;""),Main[[#This Row],[In Stock Date]]-Main[[#This Row],[Revised Due Date]],"")</f>
        <v/>
      </c>
      <c r="I1252" s="65" t="s">
        <v>912</v>
      </c>
      <c r="J1252" s="65" t="s">
        <v>52</v>
      </c>
      <c r="K1252" s="65" t="s">
        <v>4</v>
      </c>
      <c r="L1252" s="67"/>
      <c r="M1252" s="69" t="str">
        <f>IF(Main[[#This Row],[Tech Start Date]]&lt;1/1/1990,"",IF(Main[[#This Row],[Class]]="C",WORKDAY(Main[[#This Row],[Tech Start Date]],9),IF(Main[[#This Row],[Class]]="B", WORKDAY(Main[[#This Row],[Tech Start Date]],6),IF(Main[[#This Row],[Class]]="A",WORKDAY(Main[[#This Row],[Tech Start Date]],2),""))))</f>
        <v/>
      </c>
      <c r="N1252" s="69" t="str">
        <f>IF(Main[[#This Row],[Tech Start Date]]&lt;1/1/1990,"",IF(Main[[#This Row],[Class]]="C",WORKDAY(Main[[#This Row],[Tech Start Date]],19),IF(Main[[#This Row],[Class]]="B", WORKDAY(Main[[#This Row],[Tech Start Date]],12),IF(Main[[#This Row],[Class]]="A",WORKDAY(Main[[#This Row],[Tech Start Date]],4),""))))</f>
        <v/>
      </c>
      <c r="O1252" s="69" t="str">
        <f>IF(Main[[#This Row],[Tech Start Date]]&lt;1/1/1990,"",IF(Main[[#This Row],[Class]]="C",WORKDAY(Main[[#This Row],[Tech Start Date]],23),IF(Main[[#This Row],[Class]]="B", WORKDAY(Main[[#This Row],[Tech Start Date]],15),IF(Main[[#This Row],[Class]]="A",WORKDAY(Main[[#This Row],[Tech Start Date]],5),""))))</f>
        <v/>
      </c>
      <c r="P1252" s="69" t="str">
        <f>IF(Main[[#This Row],[Tech Start Date]]&lt;1/1/1990,"",IF(Main[[#This Row],[Class]]="C",WORKDAY(Main[[#This Row],[Tech Start Date]],28),IF(Main[[#This Row],[Class]]="B", WORKDAY(Main[[#This Row],[Tech Start Date]],19),IF(Main[[#This Row],[Class]]="A",WORKDAY(Main[[#This Row],[Tech Start Date]],9),""))))</f>
        <v/>
      </c>
      <c r="Q1252" s="67"/>
      <c r="R1252" s="67"/>
      <c r="S1252" s="65" t="s">
        <v>6</v>
      </c>
      <c r="T1252" s="70" t="s">
        <v>4</v>
      </c>
      <c r="U1252" s="65" t="s">
        <v>29</v>
      </c>
      <c r="V1252" s="65" t="s">
        <v>1914</v>
      </c>
      <c r="W1252" s="65" t="s">
        <v>1918</v>
      </c>
      <c r="X1252" s="65" t="s">
        <v>937</v>
      </c>
      <c r="Y1252" s="65" t="s">
        <v>2984</v>
      </c>
      <c r="Z1252" s="65" t="s">
        <v>4</v>
      </c>
      <c r="AA1252" s="65" t="s">
        <v>937</v>
      </c>
    </row>
    <row r="1253" spans="1:27" ht="17.45" hidden="1" customHeight="1">
      <c r="A1253" s="100" t="str">
        <f>IF(priority(Main[[#This Row],[Comments]])&lt;&gt;0, priority(Main[[#This Row],[Comments]]),"")</f>
        <v/>
      </c>
      <c r="B1253" s="77" t="s">
        <v>3761</v>
      </c>
      <c r="C1253" s="65" t="s">
        <v>47</v>
      </c>
      <c r="D1253" s="66" t="s">
        <v>3762</v>
      </c>
      <c r="E1253" s="67">
        <v>40961.495104166665</v>
      </c>
      <c r="F1253" s="67"/>
      <c r="G1253" s="64" t="str">
        <f>IF(stdProdLT(Main[[#This Row],[Comments]])=0.1,"N/A",IF(stdProdLT(Main[[#This Row],[Comments]])=0,"",stdProdLT(Main[[#This Row],[Comments]])))</f>
        <v/>
      </c>
      <c r="H1253" s="68" t="str">
        <f>IF(AND(Main[[#This Row],[In Stock Date]]&lt;&gt;"",Main[[#This Row],[Revised Due Date]]&lt;&gt;""),Main[[#This Row],[In Stock Date]]-Main[[#This Row],[Revised Due Date]],"")</f>
        <v/>
      </c>
      <c r="I1253" s="65" t="s">
        <v>4</v>
      </c>
      <c r="J1253" s="65" t="s">
        <v>4</v>
      </c>
      <c r="K1253" s="65" t="s">
        <v>4</v>
      </c>
      <c r="L1253" s="67"/>
      <c r="M1253" s="69" t="str">
        <f>IF(Main[[#This Row],[Tech Start Date]]&lt;1/1/1990,"",IF(Main[[#This Row],[Class]]="C",WORKDAY(Main[[#This Row],[Tech Start Date]],9),IF(Main[[#This Row],[Class]]="B", WORKDAY(Main[[#This Row],[Tech Start Date]],6),IF(Main[[#This Row],[Class]]="A",WORKDAY(Main[[#This Row],[Tech Start Date]],2),""))))</f>
        <v/>
      </c>
      <c r="N1253" s="69" t="str">
        <f>IF(Main[[#This Row],[Tech Start Date]]&lt;1/1/1990,"",IF(Main[[#This Row],[Class]]="C",WORKDAY(Main[[#This Row],[Tech Start Date]],19),IF(Main[[#This Row],[Class]]="B", WORKDAY(Main[[#This Row],[Tech Start Date]],12),IF(Main[[#This Row],[Class]]="A",WORKDAY(Main[[#This Row],[Tech Start Date]],4),""))))</f>
        <v/>
      </c>
      <c r="O1253" s="69" t="str">
        <f>IF(Main[[#This Row],[Tech Start Date]]&lt;1/1/1990,"",IF(Main[[#This Row],[Class]]="C",WORKDAY(Main[[#This Row],[Tech Start Date]],23),IF(Main[[#This Row],[Class]]="B", WORKDAY(Main[[#This Row],[Tech Start Date]],15),IF(Main[[#This Row],[Class]]="A",WORKDAY(Main[[#This Row],[Tech Start Date]],5),""))))</f>
        <v/>
      </c>
      <c r="P1253" s="69" t="str">
        <f>IF(Main[[#This Row],[Tech Start Date]]&lt;1/1/1990,"",IF(Main[[#This Row],[Class]]="C",WORKDAY(Main[[#This Row],[Tech Start Date]],28),IF(Main[[#This Row],[Class]]="B", WORKDAY(Main[[#This Row],[Tech Start Date]],19),IF(Main[[#This Row],[Class]]="A",WORKDAY(Main[[#This Row],[Tech Start Date]],9),""))))</f>
        <v/>
      </c>
      <c r="Q1253" s="67"/>
      <c r="R1253" s="67"/>
      <c r="S1253" s="65" t="s">
        <v>6</v>
      </c>
      <c r="T1253" s="70" t="s">
        <v>4</v>
      </c>
      <c r="U1253" s="65" t="s">
        <v>29</v>
      </c>
      <c r="V1253" s="65" t="s">
        <v>2283</v>
      </c>
      <c r="W1253" s="65" t="s">
        <v>1918</v>
      </c>
      <c r="X1253" s="65" t="s">
        <v>2841</v>
      </c>
      <c r="Y1253" s="65" t="s">
        <v>2971</v>
      </c>
      <c r="Z1253" s="65" t="s">
        <v>4</v>
      </c>
      <c r="AA1253" s="65" t="s">
        <v>2841</v>
      </c>
    </row>
    <row r="1254" spans="1:27" ht="17.45" hidden="1" customHeight="1">
      <c r="A1254" s="100" t="str">
        <f>IF(priority(Main[[#This Row],[Comments]])&lt;&gt;0, priority(Main[[#This Row],[Comments]]),"")</f>
        <v/>
      </c>
      <c r="B1254" s="77" t="s">
        <v>2300</v>
      </c>
      <c r="C1254" s="65" t="s">
        <v>4</v>
      </c>
      <c r="D1254" s="66" t="s">
        <v>2592</v>
      </c>
      <c r="E1254" s="67">
        <v>40820.42082175926</v>
      </c>
      <c r="F1254" s="67"/>
      <c r="G1254" s="64" t="str">
        <f>IF(stdProdLT(Main[[#This Row],[Comments]])=0.1,"N/A",IF(stdProdLT(Main[[#This Row],[Comments]])=0,"",stdProdLT(Main[[#This Row],[Comments]])))</f>
        <v/>
      </c>
      <c r="H1254" s="68" t="str">
        <f>IF(AND(Main[[#This Row],[In Stock Date]]&lt;&gt;"",Main[[#This Row],[Revised Due Date]]&lt;&gt;""),Main[[#This Row],[In Stock Date]]-Main[[#This Row],[Revised Due Date]],"")</f>
        <v/>
      </c>
      <c r="I1254" s="65" t="s">
        <v>561</v>
      </c>
      <c r="J1254" s="65" t="s">
        <v>21</v>
      </c>
      <c r="K1254" s="65" t="s">
        <v>4</v>
      </c>
      <c r="L1254" s="67"/>
      <c r="M1254" s="69" t="str">
        <f>IF(Main[[#This Row],[Tech Start Date]]&lt;1/1/1990,"",IF(Main[[#This Row],[Class]]="C",WORKDAY(Main[[#This Row],[Tech Start Date]],9),IF(Main[[#This Row],[Class]]="B", WORKDAY(Main[[#This Row],[Tech Start Date]],6),IF(Main[[#This Row],[Class]]="A",WORKDAY(Main[[#This Row],[Tech Start Date]],2),""))))</f>
        <v/>
      </c>
      <c r="N1254" s="69" t="str">
        <f>IF(Main[[#This Row],[Tech Start Date]]&lt;1/1/1990,"",IF(Main[[#This Row],[Class]]="C",WORKDAY(Main[[#This Row],[Tech Start Date]],19),IF(Main[[#This Row],[Class]]="B", WORKDAY(Main[[#This Row],[Tech Start Date]],12),IF(Main[[#This Row],[Class]]="A",WORKDAY(Main[[#This Row],[Tech Start Date]],4),""))))</f>
        <v/>
      </c>
      <c r="O1254" s="69" t="str">
        <f>IF(Main[[#This Row],[Tech Start Date]]&lt;1/1/1990,"",IF(Main[[#This Row],[Class]]="C",WORKDAY(Main[[#This Row],[Tech Start Date]],23),IF(Main[[#This Row],[Class]]="B", WORKDAY(Main[[#This Row],[Tech Start Date]],15),IF(Main[[#This Row],[Class]]="A",WORKDAY(Main[[#This Row],[Tech Start Date]],5),""))))</f>
        <v/>
      </c>
      <c r="P1254" s="69" t="str">
        <f>IF(Main[[#This Row],[Tech Start Date]]&lt;1/1/1990,"",IF(Main[[#This Row],[Class]]="C",WORKDAY(Main[[#This Row],[Tech Start Date]],28),IF(Main[[#This Row],[Class]]="B", WORKDAY(Main[[#This Row],[Tech Start Date]],19),IF(Main[[#This Row],[Class]]="A",WORKDAY(Main[[#This Row],[Tech Start Date]],9),""))))</f>
        <v/>
      </c>
      <c r="Q1254" s="67"/>
      <c r="R1254" s="67">
        <v>40840</v>
      </c>
      <c r="S1254" s="65" t="s">
        <v>6</v>
      </c>
      <c r="T1254" s="70" t="s">
        <v>4</v>
      </c>
      <c r="U1254" s="65" t="s">
        <v>29</v>
      </c>
      <c r="V1254" s="65" t="s">
        <v>1914</v>
      </c>
      <c r="W1254" s="65" t="s">
        <v>1922</v>
      </c>
      <c r="X1254" s="65" t="s">
        <v>50</v>
      </c>
      <c r="Y1254" s="65" t="s">
        <v>2959</v>
      </c>
      <c r="Z1254" s="65" t="s">
        <v>4</v>
      </c>
      <c r="AA1254" s="65" t="s">
        <v>2828</v>
      </c>
    </row>
    <row r="1255" spans="1:27" ht="17.45" hidden="1" customHeight="1">
      <c r="A1255" s="100" t="str">
        <f>IF(priority(Main[[#This Row],[Comments]])&lt;&gt;0, priority(Main[[#This Row],[Comments]]),"")</f>
        <v/>
      </c>
      <c r="B1255" s="77" t="s">
        <v>3556</v>
      </c>
      <c r="C1255" s="65" t="s">
        <v>4</v>
      </c>
      <c r="D1255" s="66" t="s">
        <v>3557</v>
      </c>
      <c r="E1255" s="67">
        <v>40945.679675925923</v>
      </c>
      <c r="F1255" s="67"/>
      <c r="G1255" s="64" t="str">
        <f>IF(stdProdLT(Main[[#This Row],[Comments]])=0.1,"N/A",IF(stdProdLT(Main[[#This Row],[Comments]])=0,"",stdProdLT(Main[[#This Row],[Comments]])))</f>
        <v/>
      </c>
      <c r="H1255" s="68" t="str">
        <f>IF(AND(Main[[#This Row],[In Stock Date]]&lt;&gt;"",Main[[#This Row],[Revised Due Date]]&lt;&gt;""),Main[[#This Row],[In Stock Date]]-Main[[#This Row],[Revised Due Date]],"")</f>
        <v/>
      </c>
      <c r="I1255" s="65" t="s">
        <v>4</v>
      </c>
      <c r="J1255" s="65" t="s">
        <v>4</v>
      </c>
      <c r="K1255" s="65" t="s">
        <v>4</v>
      </c>
      <c r="L1255" s="67"/>
      <c r="M1255" s="69" t="str">
        <f>IF(Main[[#This Row],[Tech Start Date]]&lt;1/1/1990,"",IF(Main[[#This Row],[Class]]="C",WORKDAY(Main[[#This Row],[Tech Start Date]],9),IF(Main[[#This Row],[Class]]="B", WORKDAY(Main[[#This Row],[Tech Start Date]],6),IF(Main[[#This Row],[Class]]="A",WORKDAY(Main[[#This Row],[Tech Start Date]],2),""))))</f>
        <v/>
      </c>
      <c r="N1255" s="69" t="str">
        <f>IF(Main[[#This Row],[Tech Start Date]]&lt;1/1/1990,"",IF(Main[[#This Row],[Class]]="C",WORKDAY(Main[[#This Row],[Tech Start Date]],19),IF(Main[[#This Row],[Class]]="B", WORKDAY(Main[[#This Row],[Tech Start Date]],12),IF(Main[[#This Row],[Class]]="A",WORKDAY(Main[[#This Row],[Tech Start Date]],4),""))))</f>
        <v/>
      </c>
      <c r="O1255" s="69" t="str">
        <f>IF(Main[[#This Row],[Tech Start Date]]&lt;1/1/1990,"",IF(Main[[#This Row],[Class]]="C",WORKDAY(Main[[#This Row],[Tech Start Date]],23),IF(Main[[#This Row],[Class]]="B", WORKDAY(Main[[#This Row],[Tech Start Date]],15),IF(Main[[#This Row],[Class]]="A",WORKDAY(Main[[#This Row],[Tech Start Date]],5),""))))</f>
        <v/>
      </c>
      <c r="P1255" s="69" t="str">
        <f>IF(Main[[#This Row],[Tech Start Date]]&lt;1/1/1990,"",IF(Main[[#This Row],[Class]]="C",WORKDAY(Main[[#This Row],[Tech Start Date]],28),IF(Main[[#This Row],[Class]]="B", WORKDAY(Main[[#This Row],[Tech Start Date]],19),IF(Main[[#This Row],[Class]]="A",WORKDAY(Main[[#This Row],[Tech Start Date]],9),""))))</f>
        <v/>
      </c>
      <c r="Q1255" s="67"/>
      <c r="R1255" s="67"/>
      <c r="S1255" s="65" t="s">
        <v>4</v>
      </c>
      <c r="T1255" s="70" t="s">
        <v>4</v>
      </c>
      <c r="U1255" s="65" t="s">
        <v>7</v>
      </c>
      <c r="V1255" s="65" t="s">
        <v>1914</v>
      </c>
      <c r="W1255" s="65" t="s">
        <v>4</v>
      </c>
      <c r="X1255" s="65" t="s">
        <v>3558</v>
      </c>
      <c r="Y1255" s="65" t="s">
        <v>3559</v>
      </c>
      <c r="Z1255" s="65" t="s">
        <v>4</v>
      </c>
      <c r="AA1255" s="65" t="s">
        <v>3558</v>
      </c>
    </row>
    <row r="1256" spans="1:27" ht="17.45" hidden="1" customHeight="1">
      <c r="A1256" s="100" t="str">
        <f>IF(priority(Main[[#This Row],[Comments]])&lt;&gt;0, priority(Main[[#This Row],[Comments]]),"")</f>
        <v/>
      </c>
      <c r="B1256" s="77" t="s">
        <v>3273</v>
      </c>
      <c r="C1256" s="65" t="s">
        <v>4</v>
      </c>
      <c r="D1256" s="66" t="s">
        <v>3763</v>
      </c>
      <c r="E1256" s="67">
        <v>40935.663275462961</v>
      </c>
      <c r="F1256" s="67"/>
      <c r="G1256" s="64" t="str">
        <f>IF(stdProdLT(Main[[#This Row],[Comments]])=0.1,"N/A",IF(stdProdLT(Main[[#This Row],[Comments]])=0,"",stdProdLT(Main[[#This Row],[Comments]])))</f>
        <v/>
      </c>
      <c r="H1256" s="68" t="str">
        <f>IF(AND(Main[[#This Row],[In Stock Date]]&lt;&gt;"",Main[[#This Row],[Revised Due Date]]&lt;&gt;""),Main[[#This Row],[In Stock Date]]-Main[[#This Row],[Revised Due Date]],"")</f>
        <v/>
      </c>
      <c r="I1256" s="65" t="s">
        <v>2051</v>
      </c>
      <c r="J1256" s="65" t="s">
        <v>28</v>
      </c>
      <c r="K1256" s="71" t="s">
        <v>1923</v>
      </c>
      <c r="L1256" s="67"/>
      <c r="M1256" s="69" t="str">
        <f>IF(Main[[#This Row],[Tech Start Date]]&lt;1/1/1990,"",IF(Main[[#This Row],[Class]]="C",WORKDAY(Main[[#This Row],[Tech Start Date]],9),IF(Main[[#This Row],[Class]]="B", WORKDAY(Main[[#This Row],[Tech Start Date]],6),IF(Main[[#This Row],[Class]]="A",WORKDAY(Main[[#This Row],[Tech Start Date]],2),""))))</f>
        <v/>
      </c>
      <c r="N1256" s="69" t="str">
        <f>IF(Main[[#This Row],[Tech Start Date]]&lt;1/1/1990,"",IF(Main[[#This Row],[Class]]="C",WORKDAY(Main[[#This Row],[Tech Start Date]],19),IF(Main[[#This Row],[Class]]="B", WORKDAY(Main[[#This Row],[Tech Start Date]],12),IF(Main[[#This Row],[Class]]="A",WORKDAY(Main[[#This Row],[Tech Start Date]],4),""))))</f>
        <v/>
      </c>
      <c r="O1256" s="69" t="str">
        <f>IF(Main[[#This Row],[Tech Start Date]]&lt;1/1/1990,"",IF(Main[[#This Row],[Class]]="C",WORKDAY(Main[[#This Row],[Tech Start Date]],23),IF(Main[[#This Row],[Class]]="B", WORKDAY(Main[[#This Row],[Tech Start Date]],15),IF(Main[[#This Row],[Class]]="A",WORKDAY(Main[[#This Row],[Tech Start Date]],5),""))))</f>
        <v/>
      </c>
      <c r="P1256" s="69" t="str">
        <f>IF(Main[[#This Row],[Tech Start Date]]&lt;1/1/1990,"",IF(Main[[#This Row],[Class]]="C",WORKDAY(Main[[#This Row],[Tech Start Date]],28),IF(Main[[#This Row],[Class]]="B", WORKDAY(Main[[#This Row],[Tech Start Date]],19),IF(Main[[#This Row],[Class]]="A",WORKDAY(Main[[#This Row],[Tech Start Date]],9),""))))</f>
        <v/>
      </c>
      <c r="Q1256" s="67">
        <v>41015</v>
      </c>
      <c r="R1256" s="67"/>
      <c r="S1256" s="65" t="s">
        <v>6</v>
      </c>
      <c r="T1256" s="70" t="s">
        <v>4</v>
      </c>
      <c r="U1256" s="65" t="s">
        <v>29</v>
      </c>
      <c r="V1256" s="65" t="s">
        <v>1917</v>
      </c>
      <c r="W1256" s="65" t="s">
        <v>1918</v>
      </c>
      <c r="X1256" s="65" t="s">
        <v>2841</v>
      </c>
      <c r="Y1256" s="65" t="s">
        <v>2971</v>
      </c>
      <c r="Z1256" s="65" t="s">
        <v>30</v>
      </c>
      <c r="AA1256" s="65" t="s">
        <v>2841</v>
      </c>
    </row>
    <row r="1257" spans="1:27" ht="17.45" hidden="1" customHeight="1">
      <c r="A1257" s="100" t="str">
        <f>IF(priority(Main[[#This Row],[Comments]])&lt;&gt;0, priority(Main[[#This Row],[Comments]]),"")</f>
        <v/>
      </c>
      <c r="B1257" s="77" t="s">
        <v>3536</v>
      </c>
      <c r="C1257" s="65" t="s">
        <v>53</v>
      </c>
      <c r="D1257" s="66" t="s">
        <v>3537</v>
      </c>
      <c r="E1257" s="67">
        <v>40960.929155092592</v>
      </c>
      <c r="F1257" s="67"/>
      <c r="G1257" s="64">
        <f>IF(stdProdLT(Main[[#This Row],[Comments]])=0.1,"N/A",IF(stdProdLT(Main[[#This Row],[Comments]])=0,"",stdProdLT(Main[[#This Row],[Comments]])))</f>
        <v>112</v>
      </c>
      <c r="H1257" s="68" t="str">
        <f>IF(AND(Main[[#This Row],[In Stock Date]]&lt;&gt;"",Main[[#This Row],[Revised Due Date]]&lt;&gt;""),Main[[#This Row],[In Stock Date]]-Main[[#This Row],[Revised Due Date]],"")</f>
        <v/>
      </c>
      <c r="I1257" s="65" t="s">
        <v>4</v>
      </c>
      <c r="J1257" s="65" t="s">
        <v>4</v>
      </c>
      <c r="K1257" s="65" t="s">
        <v>4</v>
      </c>
      <c r="L1257" s="67"/>
      <c r="M1257" s="69" t="str">
        <f>IF(Main[[#This Row],[Tech Start Date]]&lt;1/1/1990,"",IF(Main[[#This Row],[Class]]="C",WORKDAY(Main[[#This Row],[Tech Start Date]],9),IF(Main[[#This Row],[Class]]="B", WORKDAY(Main[[#This Row],[Tech Start Date]],6),IF(Main[[#This Row],[Class]]="A",WORKDAY(Main[[#This Row],[Tech Start Date]],2),""))))</f>
        <v/>
      </c>
      <c r="N1257" s="69" t="str">
        <f>IF(Main[[#This Row],[Tech Start Date]]&lt;1/1/1990,"",IF(Main[[#This Row],[Class]]="C",WORKDAY(Main[[#This Row],[Tech Start Date]],19),IF(Main[[#This Row],[Class]]="B", WORKDAY(Main[[#This Row],[Tech Start Date]],12),IF(Main[[#This Row],[Class]]="A",WORKDAY(Main[[#This Row],[Tech Start Date]],4),""))))</f>
        <v/>
      </c>
      <c r="O1257" s="69" t="str">
        <f>IF(Main[[#This Row],[Tech Start Date]]&lt;1/1/1990,"",IF(Main[[#This Row],[Class]]="C",WORKDAY(Main[[#This Row],[Tech Start Date]],23),IF(Main[[#This Row],[Class]]="B", WORKDAY(Main[[#This Row],[Tech Start Date]],15),IF(Main[[#This Row],[Class]]="A",WORKDAY(Main[[#This Row],[Tech Start Date]],5),""))))</f>
        <v/>
      </c>
      <c r="P1257" s="69" t="str">
        <f>IF(Main[[#This Row],[Tech Start Date]]&lt;1/1/1990,"",IF(Main[[#This Row],[Class]]="C",WORKDAY(Main[[#This Row],[Tech Start Date]],28),IF(Main[[#This Row],[Class]]="B", WORKDAY(Main[[#This Row],[Tech Start Date]],19),IF(Main[[#This Row],[Class]]="A",WORKDAY(Main[[#This Row],[Tech Start Date]],9),""))))</f>
        <v/>
      </c>
      <c r="Q1257" s="67">
        <v>40956</v>
      </c>
      <c r="R1257" s="67"/>
      <c r="S1257" s="65" t="s">
        <v>11</v>
      </c>
      <c r="T1257" s="70" t="s">
        <v>3764</v>
      </c>
      <c r="U1257" s="65" t="s">
        <v>694</v>
      </c>
      <c r="V1257" s="65" t="s">
        <v>1917</v>
      </c>
      <c r="W1257" s="65" t="s">
        <v>1916</v>
      </c>
      <c r="X1257" s="65" t="s">
        <v>3538</v>
      </c>
      <c r="Y1257" s="65" t="s">
        <v>4</v>
      </c>
      <c r="Z1257" s="65" t="s">
        <v>4</v>
      </c>
      <c r="AA1257" s="65" t="s">
        <v>3538</v>
      </c>
    </row>
    <row r="1258" spans="1:27" ht="17.45" hidden="1" customHeight="1">
      <c r="A1258" s="100" t="str">
        <f>IF(priority(Main[[#This Row],[Comments]])&lt;&gt;0, priority(Main[[#This Row],[Comments]]),"")</f>
        <v/>
      </c>
      <c r="B1258" s="77" t="s">
        <v>3371</v>
      </c>
      <c r="C1258" s="65" t="s">
        <v>4</v>
      </c>
      <c r="D1258" s="66" t="s">
        <v>3765</v>
      </c>
      <c r="E1258" s="67">
        <v>40940.228032407409</v>
      </c>
      <c r="F1258" s="67"/>
      <c r="G1258" s="64" t="str">
        <f>IF(stdProdLT(Main[[#This Row],[Comments]])=0.1,"N/A",IF(stdProdLT(Main[[#This Row],[Comments]])=0,"",stdProdLT(Main[[#This Row],[Comments]])))</f>
        <v/>
      </c>
      <c r="H1258" s="68" t="str">
        <f>IF(AND(Main[[#This Row],[In Stock Date]]&lt;&gt;"",Main[[#This Row],[Revised Due Date]]&lt;&gt;""),Main[[#This Row],[In Stock Date]]-Main[[#This Row],[Revised Due Date]],"")</f>
        <v/>
      </c>
      <c r="I1258" s="65" t="s">
        <v>69</v>
      </c>
      <c r="J1258" s="65" t="s">
        <v>70</v>
      </c>
      <c r="K1258" s="65" t="s">
        <v>4</v>
      </c>
      <c r="L1258" s="67"/>
      <c r="M1258" s="69" t="str">
        <f>IF(Main[[#This Row],[Tech Start Date]]&lt;1/1/1990,"",IF(Main[[#This Row],[Class]]="C",WORKDAY(Main[[#This Row],[Tech Start Date]],9),IF(Main[[#This Row],[Class]]="B", WORKDAY(Main[[#This Row],[Tech Start Date]],6),IF(Main[[#This Row],[Class]]="A",WORKDAY(Main[[#This Row],[Tech Start Date]],2),""))))</f>
        <v/>
      </c>
      <c r="N1258" s="69" t="str">
        <f>IF(Main[[#This Row],[Tech Start Date]]&lt;1/1/1990,"",IF(Main[[#This Row],[Class]]="C",WORKDAY(Main[[#This Row],[Tech Start Date]],19),IF(Main[[#This Row],[Class]]="B", WORKDAY(Main[[#This Row],[Tech Start Date]],12),IF(Main[[#This Row],[Class]]="A",WORKDAY(Main[[#This Row],[Tech Start Date]],4),""))))</f>
        <v/>
      </c>
      <c r="O1258" s="69" t="str">
        <f>IF(Main[[#This Row],[Tech Start Date]]&lt;1/1/1990,"",IF(Main[[#This Row],[Class]]="C",WORKDAY(Main[[#This Row],[Tech Start Date]],23),IF(Main[[#This Row],[Class]]="B", WORKDAY(Main[[#This Row],[Tech Start Date]],15),IF(Main[[#This Row],[Class]]="A",WORKDAY(Main[[#This Row],[Tech Start Date]],5),""))))</f>
        <v/>
      </c>
      <c r="P1258" s="69" t="str">
        <f>IF(Main[[#This Row],[Tech Start Date]]&lt;1/1/1990,"",IF(Main[[#This Row],[Class]]="C",WORKDAY(Main[[#This Row],[Tech Start Date]],28),IF(Main[[#This Row],[Class]]="B", WORKDAY(Main[[#This Row],[Tech Start Date]],19),IF(Main[[#This Row],[Class]]="A",WORKDAY(Main[[#This Row],[Tech Start Date]],9),""))))</f>
        <v/>
      </c>
      <c r="Q1258" s="67">
        <v>40969</v>
      </c>
      <c r="R1258" s="67"/>
      <c r="S1258" s="65" t="s">
        <v>6</v>
      </c>
      <c r="T1258" s="70" t="s">
        <v>4</v>
      </c>
      <c r="U1258" s="65" t="s">
        <v>29</v>
      </c>
      <c r="V1258" s="65" t="s">
        <v>1917</v>
      </c>
      <c r="W1258" s="65" t="s">
        <v>4</v>
      </c>
      <c r="X1258" s="65" t="s">
        <v>2822</v>
      </c>
      <c r="Y1258" s="65" t="s">
        <v>2938</v>
      </c>
      <c r="Z1258" s="65" t="s">
        <v>4</v>
      </c>
      <c r="AA1258" s="65" t="s">
        <v>2822</v>
      </c>
    </row>
    <row r="1259" spans="1:27" ht="17.45" customHeight="1">
      <c r="A1259" s="100">
        <f>IF(priority(Main[[#This Row],[Comments]])&lt;&gt;0, priority(Main[[#This Row],[Comments]]),"")</f>
        <v>15</v>
      </c>
      <c r="B1259" s="77" t="s">
        <v>3766</v>
      </c>
      <c r="C1259" s="65" t="s">
        <v>3767</v>
      </c>
      <c r="D1259" s="66" t="s">
        <v>3768</v>
      </c>
      <c r="E1259" s="67">
        <v>40959.336805555555</v>
      </c>
      <c r="F1259" s="67">
        <v>41091</v>
      </c>
      <c r="G1259" s="64">
        <f>IF(stdProdLT(Main[[#This Row],[Comments]])=0.1,"N/A",IF(stdProdLT(Main[[#This Row],[Comments]])=0,"",stdProdLT(Main[[#This Row],[Comments]])))</f>
        <v>112</v>
      </c>
      <c r="H1259" s="68" t="str">
        <f>IF(AND(Main[[#This Row],[In Stock Date]]&lt;&gt;"",Main[[#This Row],[Revised Due Date]]&lt;&gt;""),Main[[#This Row],[In Stock Date]]-Main[[#This Row],[Revised Due Date]],"")</f>
        <v/>
      </c>
      <c r="I1259" s="65" t="s">
        <v>4</v>
      </c>
      <c r="J1259" s="65" t="s">
        <v>4</v>
      </c>
      <c r="K1259" s="65" t="s">
        <v>4</v>
      </c>
      <c r="L1259" s="67"/>
      <c r="M1259" s="69" t="str">
        <f>IF(Main[[#This Row],[Tech Start Date]]&lt;1/1/1990,"",IF(Main[[#This Row],[Class]]="C",WORKDAY(Main[[#This Row],[Tech Start Date]],9),IF(Main[[#This Row],[Class]]="B", WORKDAY(Main[[#This Row],[Tech Start Date]],6),IF(Main[[#This Row],[Class]]="A",WORKDAY(Main[[#This Row],[Tech Start Date]],2),""))))</f>
        <v/>
      </c>
      <c r="N1259" s="69" t="str">
        <f>IF(Main[[#This Row],[Tech Start Date]]&lt;1/1/1990,"",IF(Main[[#This Row],[Class]]="C",WORKDAY(Main[[#This Row],[Tech Start Date]],19),IF(Main[[#This Row],[Class]]="B", WORKDAY(Main[[#This Row],[Tech Start Date]],12),IF(Main[[#This Row],[Class]]="A",WORKDAY(Main[[#This Row],[Tech Start Date]],4),""))))</f>
        <v/>
      </c>
      <c r="O1259" s="69" t="str">
        <f>IF(Main[[#This Row],[Tech Start Date]]&lt;1/1/1990,"",IF(Main[[#This Row],[Class]]="C",WORKDAY(Main[[#This Row],[Tech Start Date]],23),IF(Main[[#This Row],[Class]]="B", WORKDAY(Main[[#This Row],[Tech Start Date]],15),IF(Main[[#This Row],[Class]]="A",WORKDAY(Main[[#This Row],[Tech Start Date]],5),""))))</f>
        <v/>
      </c>
      <c r="P1259" s="69" t="str">
        <f>IF(Main[[#This Row],[Tech Start Date]]&lt;1/1/1990,"",IF(Main[[#This Row],[Class]]="C",WORKDAY(Main[[#This Row],[Tech Start Date]],28),IF(Main[[#This Row],[Class]]="B", WORKDAY(Main[[#This Row],[Tech Start Date]],19),IF(Main[[#This Row],[Class]]="A",WORKDAY(Main[[#This Row],[Tech Start Date]],9),""))))</f>
        <v/>
      </c>
      <c r="Q1259" s="67">
        <v>40860</v>
      </c>
      <c r="R1259" s="67"/>
      <c r="S1259" s="65" t="s">
        <v>11</v>
      </c>
      <c r="T1259" s="70" t="s">
        <v>3769</v>
      </c>
      <c r="U1259" s="65" t="s">
        <v>7</v>
      </c>
      <c r="V1259" s="65" t="s">
        <v>1914</v>
      </c>
      <c r="W1259" s="65" t="s">
        <v>1919</v>
      </c>
      <c r="X1259" s="65" t="s">
        <v>2860</v>
      </c>
      <c r="Y1259" s="65" t="s">
        <v>4</v>
      </c>
      <c r="Z1259" s="65" t="s">
        <v>4</v>
      </c>
      <c r="AA1259" s="65" t="s">
        <v>2860</v>
      </c>
    </row>
    <row r="1260" spans="1:27" ht="17.45" hidden="1" customHeight="1">
      <c r="A1260" s="100" t="str">
        <f>IF(priority(Main[[#This Row],[Comments]])&lt;&gt;0, priority(Main[[#This Row],[Comments]]),"")</f>
        <v/>
      </c>
      <c r="B1260" s="77" t="s">
        <v>2594</v>
      </c>
      <c r="C1260" s="65" t="s">
        <v>4</v>
      </c>
      <c r="D1260" s="66" t="s">
        <v>2595</v>
      </c>
      <c r="E1260" s="67">
        <v>40868.429988425924</v>
      </c>
      <c r="F1260" s="67"/>
      <c r="G1260" s="64" t="str">
        <f>IF(stdProdLT(Main[[#This Row],[Comments]])=0.1,"N/A",IF(stdProdLT(Main[[#This Row],[Comments]])=0,"",stdProdLT(Main[[#This Row],[Comments]])))</f>
        <v/>
      </c>
      <c r="H1260" s="68" t="str">
        <f>IF(AND(Main[[#This Row],[In Stock Date]]&lt;&gt;"",Main[[#This Row],[Revised Due Date]]&lt;&gt;""),Main[[#This Row],[In Stock Date]]-Main[[#This Row],[Revised Due Date]],"")</f>
        <v/>
      </c>
      <c r="I1260" s="65" t="s">
        <v>239</v>
      </c>
      <c r="J1260" s="65" t="s">
        <v>21</v>
      </c>
      <c r="K1260" s="65" t="s">
        <v>4</v>
      </c>
      <c r="L1260" s="67"/>
      <c r="M1260" s="69" t="str">
        <f>IF(Main[[#This Row],[Tech Start Date]]&lt;1/1/1990,"",IF(Main[[#This Row],[Class]]="C",WORKDAY(Main[[#This Row],[Tech Start Date]],9),IF(Main[[#This Row],[Class]]="B", WORKDAY(Main[[#This Row],[Tech Start Date]],6),IF(Main[[#This Row],[Class]]="A",WORKDAY(Main[[#This Row],[Tech Start Date]],2),""))))</f>
        <v/>
      </c>
      <c r="N1260" s="69" t="str">
        <f>IF(Main[[#This Row],[Tech Start Date]]&lt;1/1/1990,"",IF(Main[[#This Row],[Class]]="C",WORKDAY(Main[[#This Row],[Tech Start Date]],19),IF(Main[[#This Row],[Class]]="B", WORKDAY(Main[[#This Row],[Tech Start Date]],12),IF(Main[[#This Row],[Class]]="A",WORKDAY(Main[[#This Row],[Tech Start Date]],4),""))))</f>
        <v/>
      </c>
      <c r="O1260" s="69" t="str">
        <f>IF(Main[[#This Row],[Tech Start Date]]&lt;1/1/1990,"",IF(Main[[#This Row],[Class]]="C",WORKDAY(Main[[#This Row],[Tech Start Date]],23),IF(Main[[#This Row],[Class]]="B", WORKDAY(Main[[#This Row],[Tech Start Date]],15),IF(Main[[#This Row],[Class]]="A",WORKDAY(Main[[#This Row],[Tech Start Date]],5),""))))</f>
        <v/>
      </c>
      <c r="P1260" s="69" t="str">
        <f>IF(Main[[#This Row],[Tech Start Date]]&lt;1/1/1990,"",IF(Main[[#This Row],[Class]]="C",WORKDAY(Main[[#This Row],[Tech Start Date]],28),IF(Main[[#This Row],[Class]]="B", WORKDAY(Main[[#This Row],[Tech Start Date]],19),IF(Main[[#This Row],[Class]]="A",WORKDAY(Main[[#This Row],[Tech Start Date]],9),""))))</f>
        <v/>
      </c>
      <c r="Q1260" s="67">
        <v>40877</v>
      </c>
      <c r="R1260" s="67"/>
      <c r="S1260" s="65" t="s">
        <v>6</v>
      </c>
      <c r="T1260" s="70" t="s">
        <v>4</v>
      </c>
      <c r="U1260" s="65" t="s">
        <v>29</v>
      </c>
      <c r="V1260" s="65" t="s">
        <v>1917</v>
      </c>
      <c r="W1260" s="65" t="s">
        <v>1918</v>
      </c>
      <c r="X1260" s="65" t="s">
        <v>239</v>
      </c>
      <c r="Y1260" s="65" t="s">
        <v>3140</v>
      </c>
      <c r="Z1260" s="65" t="s">
        <v>239</v>
      </c>
      <c r="AA1260" s="65" t="s">
        <v>239</v>
      </c>
    </row>
    <row r="1261" spans="1:27" ht="17.45" hidden="1" customHeight="1">
      <c r="A1261" s="100" t="str">
        <f>IF(priority(Main[[#This Row],[Comments]])&lt;&gt;0, priority(Main[[#This Row],[Comments]]),"")</f>
        <v/>
      </c>
      <c r="B1261" s="77" t="s">
        <v>2596</v>
      </c>
      <c r="C1261" s="65" t="s">
        <v>4</v>
      </c>
      <c r="D1261" s="66" t="s">
        <v>2790</v>
      </c>
      <c r="E1261" s="67">
        <v>40870.471666666665</v>
      </c>
      <c r="F1261" s="67"/>
      <c r="G1261" s="64" t="str">
        <f>IF(stdProdLT(Main[[#This Row],[Comments]])=0.1,"N/A",IF(stdProdLT(Main[[#This Row],[Comments]])=0,"",stdProdLT(Main[[#This Row],[Comments]])))</f>
        <v/>
      </c>
      <c r="H1261" s="68" t="str">
        <f>IF(AND(Main[[#This Row],[In Stock Date]]&lt;&gt;"",Main[[#This Row],[Revised Due Date]]&lt;&gt;""),Main[[#This Row],[In Stock Date]]-Main[[#This Row],[Revised Due Date]],"")</f>
        <v/>
      </c>
      <c r="I1261" s="65" t="s">
        <v>4</v>
      </c>
      <c r="J1261" s="65" t="s">
        <v>28</v>
      </c>
      <c r="K1261" s="65" t="s">
        <v>1923</v>
      </c>
      <c r="L1261" s="67"/>
      <c r="M1261" s="69" t="str">
        <f>IF(Main[[#This Row],[Tech Start Date]]&lt;1/1/1990,"",IF(Main[[#This Row],[Class]]="C",WORKDAY(Main[[#This Row],[Tech Start Date]],9),IF(Main[[#This Row],[Class]]="B", WORKDAY(Main[[#This Row],[Tech Start Date]],6),IF(Main[[#This Row],[Class]]="A",WORKDAY(Main[[#This Row],[Tech Start Date]],2),""))))</f>
        <v/>
      </c>
      <c r="N1261" s="69" t="str">
        <f>IF(Main[[#This Row],[Tech Start Date]]&lt;1/1/1990,"",IF(Main[[#This Row],[Class]]="C",WORKDAY(Main[[#This Row],[Tech Start Date]],19),IF(Main[[#This Row],[Class]]="B", WORKDAY(Main[[#This Row],[Tech Start Date]],12),IF(Main[[#This Row],[Class]]="A",WORKDAY(Main[[#This Row],[Tech Start Date]],4),""))))</f>
        <v/>
      </c>
      <c r="O1261" s="69" t="str">
        <f>IF(Main[[#This Row],[Tech Start Date]]&lt;1/1/1990,"",IF(Main[[#This Row],[Class]]="C",WORKDAY(Main[[#This Row],[Tech Start Date]],23),IF(Main[[#This Row],[Class]]="B", WORKDAY(Main[[#This Row],[Tech Start Date]],15),IF(Main[[#This Row],[Class]]="A",WORKDAY(Main[[#This Row],[Tech Start Date]],5),""))))</f>
        <v/>
      </c>
      <c r="P1261" s="69" t="str">
        <f>IF(Main[[#This Row],[Tech Start Date]]&lt;1/1/1990,"",IF(Main[[#This Row],[Class]]="C",WORKDAY(Main[[#This Row],[Tech Start Date]],28),IF(Main[[#This Row],[Class]]="B", WORKDAY(Main[[#This Row],[Tech Start Date]],19),IF(Main[[#This Row],[Class]]="A",WORKDAY(Main[[#This Row],[Tech Start Date]],9),""))))</f>
        <v/>
      </c>
      <c r="Q1261" s="67">
        <v>40905</v>
      </c>
      <c r="R1261" s="67"/>
      <c r="S1261" s="65" t="s">
        <v>6</v>
      </c>
      <c r="T1261" s="70" t="s">
        <v>4</v>
      </c>
      <c r="U1261" s="65" t="s">
        <v>29</v>
      </c>
      <c r="V1261" s="65" t="s">
        <v>1917</v>
      </c>
      <c r="W1261" s="65" t="s">
        <v>1918</v>
      </c>
      <c r="X1261" s="65" t="s">
        <v>2051</v>
      </c>
      <c r="Y1261" s="65" t="s">
        <v>3060</v>
      </c>
      <c r="Z1261" s="65" t="s">
        <v>30</v>
      </c>
      <c r="AA1261" s="65" t="s">
        <v>2895</v>
      </c>
    </row>
    <row r="1262" spans="1:27" ht="17.45" hidden="1" customHeight="1">
      <c r="A1262" s="100">
        <f>IF(priority(Main[[#This Row],[Comments]])&lt;&gt;0, priority(Main[[#This Row],[Comments]]),"")</f>
        <v>39</v>
      </c>
      <c r="B1262" s="77" t="s">
        <v>1403</v>
      </c>
      <c r="C1262" s="65" t="s">
        <v>37</v>
      </c>
      <c r="D1262" s="66" t="s">
        <v>485</v>
      </c>
      <c r="E1262" s="67">
        <v>40682.478391203702</v>
      </c>
      <c r="F1262" s="67"/>
      <c r="G1262" s="64" t="str">
        <f>IF(stdProdLT(Main[[#This Row],[Comments]])=0.1,"N/A",IF(stdProdLT(Main[[#This Row],[Comments]])=0,"",stdProdLT(Main[[#This Row],[Comments]])))</f>
        <v/>
      </c>
      <c r="H1262" s="68" t="str">
        <f>IF(AND(Main[[#This Row],[In Stock Date]]&lt;&gt;"",Main[[#This Row],[Revised Due Date]]&lt;&gt;""),Main[[#This Row],[In Stock Date]]-Main[[#This Row],[Revised Due Date]],"")</f>
        <v/>
      </c>
      <c r="I1262" s="65" t="s">
        <v>4</v>
      </c>
      <c r="J1262" s="65" t="s">
        <v>21</v>
      </c>
      <c r="K1262" s="65" t="s">
        <v>4</v>
      </c>
      <c r="L1262" s="67"/>
      <c r="M1262" s="69" t="str">
        <f>IF(Main[[#This Row],[Tech Start Date]]&lt;1/1/1990,"",IF(Main[[#This Row],[Class]]="C",WORKDAY(Main[[#This Row],[Tech Start Date]],9),IF(Main[[#This Row],[Class]]="B", WORKDAY(Main[[#This Row],[Tech Start Date]],6),IF(Main[[#This Row],[Class]]="A",WORKDAY(Main[[#This Row],[Tech Start Date]],2),""))))</f>
        <v/>
      </c>
      <c r="N1262" s="69" t="str">
        <f>IF(Main[[#This Row],[Tech Start Date]]&lt;1/1/1990,"",IF(Main[[#This Row],[Class]]="C",WORKDAY(Main[[#This Row],[Tech Start Date]],19),IF(Main[[#This Row],[Class]]="B", WORKDAY(Main[[#This Row],[Tech Start Date]],12),IF(Main[[#This Row],[Class]]="A",WORKDAY(Main[[#This Row],[Tech Start Date]],4),""))))</f>
        <v/>
      </c>
      <c r="O1262" s="69" t="str">
        <f>IF(Main[[#This Row],[Tech Start Date]]&lt;1/1/1990,"",IF(Main[[#This Row],[Class]]="C",WORKDAY(Main[[#This Row],[Tech Start Date]],23),IF(Main[[#This Row],[Class]]="B", WORKDAY(Main[[#This Row],[Tech Start Date]],15),IF(Main[[#This Row],[Class]]="A",WORKDAY(Main[[#This Row],[Tech Start Date]],5),""))))</f>
        <v/>
      </c>
      <c r="P1262" s="69" t="str">
        <f>IF(Main[[#This Row],[Tech Start Date]]&lt;1/1/1990,"",IF(Main[[#This Row],[Class]]="C",WORKDAY(Main[[#This Row],[Tech Start Date]],28),IF(Main[[#This Row],[Class]]="B", WORKDAY(Main[[#This Row],[Tech Start Date]],19),IF(Main[[#This Row],[Class]]="A",WORKDAY(Main[[#This Row],[Tech Start Date]],9),""))))</f>
        <v/>
      </c>
      <c r="Q1262" s="67">
        <v>40696</v>
      </c>
      <c r="R1262" s="67"/>
      <c r="S1262" s="65" t="s">
        <v>6</v>
      </c>
      <c r="T1262" s="70" t="s">
        <v>2032</v>
      </c>
      <c r="U1262" s="65" t="s">
        <v>534</v>
      </c>
      <c r="V1262" s="65" t="s">
        <v>1914</v>
      </c>
      <c r="W1262" s="65" t="s">
        <v>1925</v>
      </c>
      <c r="X1262" s="65" t="s">
        <v>970</v>
      </c>
      <c r="Y1262" s="65" t="s">
        <v>3097</v>
      </c>
      <c r="Z1262" s="65" t="s">
        <v>4</v>
      </c>
      <c r="AA1262" s="65" t="s">
        <v>970</v>
      </c>
    </row>
    <row r="1263" spans="1:27" ht="17.45" hidden="1" customHeight="1">
      <c r="A1263" s="100" t="str">
        <f>IF(priority(Main[[#This Row],[Comments]])&lt;&gt;0, priority(Main[[#This Row],[Comments]]),"")</f>
        <v/>
      </c>
      <c r="B1263" s="77" t="s">
        <v>1674</v>
      </c>
      <c r="C1263" s="65" t="s">
        <v>37</v>
      </c>
      <c r="D1263" s="66" t="s">
        <v>2597</v>
      </c>
      <c r="E1263" s="67">
        <v>40681.624918981484</v>
      </c>
      <c r="F1263" s="67"/>
      <c r="G1263" s="64" t="str">
        <f>IF(stdProdLT(Main[[#This Row],[Comments]])=0.1,"N/A",IF(stdProdLT(Main[[#This Row],[Comments]])=0,"",stdProdLT(Main[[#This Row],[Comments]])))</f>
        <v/>
      </c>
      <c r="H1263" s="68" t="str">
        <f>IF(AND(Main[[#This Row],[In Stock Date]]&lt;&gt;"",Main[[#This Row],[Revised Due Date]]&lt;&gt;""),Main[[#This Row],[In Stock Date]]-Main[[#This Row],[Revised Due Date]],"")</f>
        <v/>
      </c>
      <c r="I1263" s="65" t="s">
        <v>4</v>
      </c>
      <c r="J1263" s="65" t="s">
        <v>4</v>
      </c>
      <c r="K1263" s="65" t="s">
        <v>4</v>
      </c>
      <c r="L1263" s="67"/>
      <c r="M1263" s="69" t="str">
        <f>IF(Main[[#This Row],[Tech Start Date]]&lt;1/1/1990,"",IF(Main[[#This Row],[Class]]="C",WORKDAY(Main[[#This Row],[Tech Start Date]],9),IF(Main[[#This Row],[Class]]="B", WORKDAY(Main[[#This Row],[Tech Start Date]],6),IF(Main[[#This Row],[Class]]="A",WORKDAY(Main[[#This Row],[Tech Start Date]],2),""))))</f>
        <v/>
      </c>
      <c r="N1263" s="69" t="str">
        <f>IF(Main[[#This Row],[Tech Start Date]]&lt;1/1/1990,"",IF(Main[[#This Row],[Class]]="C",WORKDAY(Main[[#This Row],[Tech Start Date]],19),IF(Main[[#This Row],[Class]]="B", WORKDAY(Main[[#This Row],[Tech Start Date]],12),IF(Main[[#This Row],[Class]]="A",WORKDAY(Main[[#This Row],[Tech Start Date]],4),""))))</f>
        <v/>
      </c>
      <c r="O1263" s="69" t="str">
        <f>IF(Main[[#This Row],[Tech Start Date]]&lt;1/1/1990,"",IF(Main[[#This Row],[Class]]="C",WORKDAY(Main[[#This Row],[Tech Start Date]],23),IF(Main[[#This Row],[Class]]="B", WORKDAY(Main[[#This Row],[Tech Start Date]],15),IF(Main[[#This Row],[Class]]="A",WORKDAY(Main[[#This Row],[Tech Start Date]],5),""))))</f>
        <v/>
      </c>
      <c r="P1263" s="69" t="str">
        <f>IF(Main[[#This Row],[Tech Start Date]]&lt;1/1/1990,"",IF(Main[[#This Row],[Class]]="C",WORKDAY(Main[[#This Row],[Tech Start Date]],28),IF(Main[[#This Row],[Class]]="B", WORKDAY(Main[[#This Row],[Tech Start Date]],19),IF(Main[[#This Row],[Class]]="A",WORKDAY(Main[[#This Row],[Tech Start Date]],9),""))))</f>
        <v/>
      </c>
      <c r="Q1263" s="67"/>
      <c r="R1263" s="67"/>
      <c r="S1263" s="65" t="s">
        <v>6</v>
      </c>
      <c r="T1263" s="70" t="s">
        <v>4</v>
      </c>
      <c r="U1263" s="65" t="s">
        <v>534</v>
      </c>
      <c r="V1263" s="65" t="s">
        <v>1914</v>
      </c>
      <c r="W1263" s="65" t="s">
        <v>1925</v>
      </c>
      <c r="X1263" s="65" t="s">
        <v>970</v>
      </c>
      <c r="Y1263" s="65" t="s">
        <v>3097</v>
      </c>
      <c r="Z1263" s="65" t="s">
        <v>4</v>
      </c>
      <c r="AA1263" s="65" t="s">
        <v>970</v>
      </c>
    </row>
    <row r="1264" spans="1:27" ht="17.45" hidden="1" customHeight="1">
      <c r="A1264" s="100" t="str">
        <f>IF(priority(Main[[#This Row],[Comments]])&lt;&gt;0, priority(Main[[#This Row],[Comments]]),"")</f>
        <v/>
      </c>
      <c r="B1264" s="77" t="s">
        <v>2696</v>
      </c>
      <c r="C1264" s="65" t="s">
        <v>4</v>
      </c>
      <c r="D1264" s="66" t="s">
        <v>2697</v>
      </c>
      <c r="E1264" s="67">
        <v>40900.141886574071</v>
      </c>
      <c r="F1264" s="67"/>
      <c r="G1264" s="64" t="str">
        <f>IF(stdProdLT(Main[[#This Row],[Comments]])=0.1,"N/A",IF(stdProdLT(Main[[#This Row],[Comments]])=0,"",stdProdLT(Main[[#This Row],[Comments]])))</f>
        <v/>
      </c>
      <c r="H1264" s="68" t="str">
        <f>IF(AND(Main[[#This Row],[In Stock Date]]&lt;&gt;"",Main[[#This Row],[Revised Due Date]]&lt;&gt;""),Main[[#This Row],[In Stock Date]]-Main[[#This Row],[Revised Due Date]],"")</f>
        <v/>
      </c>
      <c r="I1264" s="65" t="s">
        <v>69</v>
      </c>
      <c r="J1264" s="65" t="s">
        <v>28</v>
      </c>
      <c r="K1264" s="65" t="s">
        <v>1923</v>
      </c>
      <c r="L1264" s="67"/>
      <c r="M1264" s="69" t="str">
        <f>IF(Main[[#This Row],[Tech Start Date]]&lt;1/1/1990,"",IF(Main[[#This Row],[Class]]="C",WORKDAY(Main[[#This Row],[Tech Start Date]],9),IF(Main[[#This Row],[Class]]="B", WORKDAY(Main[[#This Row],[Tech Start Date]],6),IF(Main[[#This Row],[Class]]="A",WORKDAY(Main[[#This Row],[Tech Start Date]],2),""))))</f>
        <v/>
      </c>
      <c r="N1264" s="69" t="str">
        <f>IF(Main[[#This Row],[Tech Start Date]]&lt;1/1/1990,"",IF(Main[[#This Row],[Class]]="C",WORKDAY(Main[[#This Row],[Tech Start Date]],19),IF(Main[[#This Row],[Class]]="B", WORKDAY(Main[[#This Row],[Tech Start Date]],12),IF(Main[[#This Row],[Class]]="A",WORKDAY(Main[[#This Row],[Tech Start Date]],4),""))))</f>
        <v/>
      </c>
      <c r="O1264" s="69" t="str">
        <f>IF(Main[[#This Row],[Tech Start Date]]&lt;1/1/1990,"",IF(Main[[#This Row],[Class]]="C",WORKDAY(Main[[#This Row],[Tech Start Date]],23),IF(Main[[#This Row],[Class]]="B", WORKDAY(Main[[#This Row],[Tech Start Date]],15),IF(Main[[#This Row],[Class]]="A",WORKDAY(Main[[#This Row],[Tech Start Date]],5),""))))</f>
        <v/>
      </c>
      <c r="P1264" s="69" t="str">
        <f>IF(Main[[#This Row],[Tech Start Date]]&lt;1/1/1990,"",IF(Main[[#This Row],[Class]]="C",WORKDAY(Main[[#This Row],[Tech Start Date]],28),IF(Main[[#This Row],[Class]]="B", WORKDAY(Main[[#This Row],[Tech Start Date]],19),IF(Main[[#This Row],[Class]]="A",WORKDAY(Main[[#This Row],[Tech Start Date]],9),""))))</f>
        <v/>
      </c>
      <c r="Q1264" s="67">
        <v>40931</v>
      </c>
      <c r="R1264" s="67"/>
      <c r="S1264" s="65" t="s">
        <v>6</v>
      </c>
      <c r="T1264" s="70" t="s">
        <v>4</v>
      </c>
      <c r="U1264" s="65" t="s">
        <v>29</v>
      </c>
      <c r="V1264" s="65" t="s">
        <v>1917</v>
      </c>
      <c r="W1264" s="65" t="s">
        <v>1918</v>
      </c>
      <c r="X1264" s="65" t="s">
        <v>2822</v>
      </c>
      <c r="Y1264" s="65" t="s">
        <v>2938</v>
      </c>
      <c r="Z1264" s="65" t="s">
        <v>30</v>
      </c>
      <c r="AA1264" s="65" t="s">
        <v>2822</v>
      </c>
    </row>
    <row r="1265" spans="1:27" ht="17.45" hidden="1" customHeight="1">
      <c r="A1265" s="100" t="str">
        <f>IF(priority(Main[[#This Row],[Comments]])&lt;&gt;0, priority(Main[[#This Row],[Comments]]),"")</f>
        <v/>
      </c>
      <c r="B1265" s="77" t="s">
        <v>3304</v>
      </c>
      <c r="C1265" s="65" t="s">
        <v>4</v>
      </c>
      <c r="D1265" s="66" t="s">
        <v>3305</v>
      </c>
      <c r="E1265" s="67">
        <v>40933.268750000003</v>
      </c>
      <c r="F1265" s="67"/>
      <c r="G1265" s="64" t="str">
        <f>IF(stdProdLT(Main[[#This Row],[Comments]])=0.1,"N/A",IF(stdProdLT(Main[[#This Row],[Comments]])=0,"",stdProdLT(Main[[#This Row],[Comments]])))</f>
        <v/>
      </c>
      <c r="H1265" s="68" t="str">
        <f>IF(AND(Main[[#This Row],[In Stock Date]]&lt;&gt;"",Main[[#This Row],[Revised Due Date]]&lt;&gt;""),Main[[#This Row],[In Stock Date]]-Main[[#This Row],[Revised Due Date]],"")</f>
        <v/>
      </c>
      <c r="I1265" s="65" t="s">
        <v>4</v>
      </c>
      <c r="J1265" s="65" t="s">
        <v>4</v>
      </c>
      <c r="K1265" s="65" t="s">
        <v>4</v>
      </c>
      <c r="L1265" s="67"/>
      <c r="M1265" s="69" t="str">
        <f>IF(Main[[#This Row],[Tech Start Date]]&lt;1/1/1990,"",IF(Main[[#This Row],[Class]]="C",WORKDAY(Main[[#This Row],[Tech Start Date]],9),IF(Main[[#This Row],[Class]]="B", WORKDAY(Main[[#This Row],[Tech Start Date]],6),IF(Main[[#This Row],[Class]]="A",WORKDAY(Main[[#This Row],[Tech Start Date]],2),""))))</f>
        <v/>
      </c>
      <c r="N1265" s="69" t="str">
        <f>IF(Main[[#This Row],[Tech Start Date]]&lt;1/1/1990,"",IF(Main[[#This Row],[Class]]="C",WORKDAY(Main[[#This Row],[Tech Start Date]],19),IF(Main[[#This Row],[Class]]="B", WORKDAY(Main[[#This Row],[Tech Start Date]],12),IF(Main[[#This Row],[Class]]="A",WORKDAY(Main[[#This Row],[Tech Start Date]],4),""))))</f>
        <v/>
      </c>
      <c r="O1265" s="69" t="str">
        <f>IF(Main[[#This Row],[Tech Start Date]]&lt;1/1/1990,"",IF(Main[[#This Row],[Class]]="C",WORKDAY(Main[[#This Row],[Tech Start Date]],23),IF(Main[[#This Row],[Class]]="B", WORKDAY(Main[[#This Row],[Tech Start Date]],15),IF(Main[[#This Row],[Class]]="A",WORKDAY(Main[[#This Row],[Tech Start Date]],5),""))))</f>
        <v/>
      </c>
      <c r="P1265" s="69" t="str">
        <f>IF(Main[[#This Row],[Tech Start Date]]&lt;1/1/1990,"",IF(Main[[#This Row],[Class]]="C",WORKDAY(Main[[#This Row],[Tech Start Date]],28),IF(Main[[#This Row],[Class]]="B", WORKDAY(Main[[#This Row],[Tech Start Date]],19),IF(Main[[#This Row],[Class]]="A",WORKDAY(Main[[#This Row],[Tech Start Date]],9),""))))</f>
        <v/>
      </c>
      <c r="Q1265" s="67">
        <v>40963</v>
      </c>
      <c r="R1265" s="67"/>
      <c r="S1265" s="65" t="s">
        <v>6</v>
      </c>
      <c r="T1265" s="70" t="s">
        <v>4</v>
      </c>
      <c r="U1265" s="65" t="s">
        <v>7</v>
      </c>
      <c r="V1265" s="65" t="s">
        <v>1914</v>
      </c>
      <c r="W1265" s="65" t="s">
        <v>4</v>
      </c>
      <c r="X1265" s="65" t="s">
        <v>2822</v>
      </c>
      <c r="Y1265" s="65" t="s">
        <v>2938</v>
      </c>
      <c r="Z1265" s="65" t="s">
        <v>4</v>
      </c>
      <c r="AA1265" s="65" t="s">
        <v>2822</v>
      </c>
    </row>
    <row r="1266" spans="1:27" ht="17.45" hidden="1" customHeight="1">
      <c r="A1266" s="100" t="str">
        <f>IF(priority(Main[[#This Row],[Comments]])&lt;&gt;0, priority(Main[[#This Row],[Comments]]),"")</f>
        <v/>
      </c>
      <c r="B1266" s="77" t="s">
        <v>2495</v>
      </c>
      <c r="C1266" s="65" t="s">
        <v>4</v>
      </c>
      <c r="D1266" s="66" t="s">
        <v>2496</v>
      </c>
      <c r="E1266" s="67">
        <v>40855.421446759261</v>
      </c>
      <c r="F1266" s="67"/>
      <c r="G1266" s="64" t="str">
        <f>IF(stdProdLT(Main[[#This Row],[Comments]])=0.1,"N/A",IF(stdProdLT(Main[[#This Row],[Comments]])=0,"",stdProdLT(Main[[#This Row],[Comments]])))</f>
        <v/>
      </c>
      <c r="H1266" s="68" t="str">
        <f>IF(AND(Main[[#This Row],[In Stock Date]]&lt;&gt;"",Main[[#This Row],[Revised Due Date]]&lt;&gt;""),Main[[#This Row],[In Stock Date]]-Main[[#This Row],[Revised Due Date]],"")</f>
        <v/>
      </c>
      <c r="I1266" s="65" t="s">
        <v>69</v>
      </c>
      <c r="J1266" s="65" t="s">
        <v>70</v>
      </c>
      <c r="K1266" s="65" t="s">
        <v>1926</v>
      </c>
      <c r="L1266" s="67"/>
      <c r="M1266" s="69" t="str">
        <f>IF(Main[[#This Row],[Tech Start Date]]&lt;1/1/1990,"",IF(Main[[#This Row],[Class]]="C",WORKDAY(Main[[#This Row],[Tech Start Date]],9),IF(Main[[#This Row],[Class]]="B", WORKDAY(Main[[#This Row],[Tech Start Date]],6),IF(Main[[#This Row],[Class]]="A",WORKDAY(Main[[#This Row],[Tech Start Date]],2),""))))</f>
        <v/>
      </c>
      <c r="N1266" s="69" t="str">
        <f>IF(Main[[#This Row],[Tech Start Date]]&lt;1/1/1990,"",IF(Main[[#This Row],[Class]]="C",WORKDAY(Main[[#This Row],[Tech Start Date]],19),IF(Main[[#This Row],[Class]]="B", WORKDAY(Main[[#This Row],[Tech Start Date]],12),IF(Main[[#This Row],[Class]]="A",WORKDAY(Main[[#This Row],[Tech Start Date]],4),""))))</f>
        <v/>
      </c>
      <c r="O1266" s="69" t="str">
        <f>IF(Main[[#This Row],[Tech Start Date]]&lt;1/1/1990,"",IF(Main[[#This Row],[Class]]="C",WORKDAY(Main[[#This Row],[Tech Start Date]],23),IF(Main[[#This Row],[Class]]="B", WORKDAY(Main[[#This Row],[Tech Start Date]],15),IF(Main[[#This Row],[Class]]="A",WORKDAY(Main[[#This Row],[Tech Start Date]],5),""))))</f>
        <v/>
      </c>
      <c r="P1266" s="69" t="str">
        <f>IF(Main[[#This Row],[Tech Start Date]]&lt;1/1/1990,"",IF(Main[[#This Row],[Class]]="C",WORKDAY(Main[[#This Row],[Tech Start Date]],28),IF(Main[[#This Row],[Class]]="B", WORKDAY(Main[[#This Row],[Tech Start Date]],19),IF(Main[[#This Row],[Class]]="A",WORKDAY(Main[[#This Row],[Tech Start Date]],9),""))))</f>
        <v/>
      </c>
      <c r="Q1266" s="67">
        <v>40907</v>
      </c>
      <c r="R1266" s="67"/>
      <c r="S1266" s="65" t="s">
        <v>17</v>
      </c>
      <c r="T1266" s="70" t="s">
        <v>4</v>
      </c>
      <c r="U1266" s="65" t="s">
        <v>29</v>
      </c>
      <c r="V1266" s="65" t="s">
        <v>1924</v>
      </c>
      <c r="W1266" s="65" t="s">
        <v>1916</v>
      </c>
      <c r="X1266" s="65" t="s">
        <v>2866</v>
      </c>
      <c r="Y1266" s="65" t="s">
        <v>3000</v>
      </c>
      <c r="Z1266" s="65" t="s">
        <v>30</v>
      </c>
      <c r="AA1266" s="65" t="s">
        <v>2866</v>
      </c>
    </row>
    <row r="1267" spans="1:27" ht="17.45" hidden="1" customHeight="1">
      <c r="A1267" s="100" t="str">
        <f>IF(priority(Main[[#This Row],[Comments]])&lt;&gt;0, priority(Main[[#This Row],[Comments]]),"")</f>
        <v/>
      </c>
      <c r="B1267" s="77" t="s">
        <v>3223</v>
      </c>
      <c r="C1267" s="65" t="s">
        <v>4</v>
      </c>
      <c r="D1267" s="66" t="s">
        <v>3770</v>
      </c>
      <c r="E1267" s="67">
        <v>40924.344918981478</v>
      </c>
      <c r="F1267" s="67"/>
      <c r="G1267" s="64" t="str">
        <f>IF(stdProdLT(Main[[#This Row],[Comments]])=0.1,"N/A",IF(stdProdLT(Main[[#This Row],[Comments]])=0,"",stdProdLT(Main[[#This Row],[Comments]])))</f>
        <v/>
      </c>
      <c r="H1267" s="68" t="str">
        <f>IF(AND(Main[[#This Row],[In Stock Date]]&lt;&gt;"",Main[[#This Row],[Revised Due Date]]&lt;&gt;""),Main[[#This Row],[In Stock Date]]-Main[[#This Row],[Revised Due Date]],"")</f>
        <v/>
      </c>
      <c r="I1267" s="65" t="s">
        <v>69</v>
      </c>
      <c r="J1267" s="65" t="s">
        <v>70</v>
      </c>
      <c r="K1267" s="65" t="s">
        <v>1923</v>
      </c>
      <c r="L1267" s="67"/>
      <c r="M1267" s="69" t="str">
        <f>IF(Main[[#This Row],[Tech Start Date]]&lt;1/1/1990,"",IF(Main[[#This Row],[Class]]="C",WORKDAY(Main[[#This Row],[Tech Start Date]],9),IF(Main[[#This Row],[Class]]="B", WORKDAY(Main[[#This Row],[Tech Start Date]],6),IF(Main[[#This Row],[Class]]="A",WORKDAY(Main[[#This Row],[Tech Start Date]],2),""))))</f>
        <v/>
      </c>
      <c r="N1267" s="69" t="str">
        <f>IF(Main[[#This Row],[Tech Start Date]]&lt;1/1/1990,"",IF(Main[[#This Row],[Class]]="C",WORKDAY(Main[[#This Row],[Tech Start Date]],19),IF(Main[[#This Row],[Class]]="B", WORKDAY(Main[[#This Row],[Tech Start Date]],12),IF(Main[[#This Row],[Class]]="A",WORKDAY(Main[[#This Row],[Tech Start Date]],4),""))))</f>
        <v/>
      </c>
      <c r="O1267" s="69" t="str">
        <f>IF(Main[[#This Row],[Tech Start Date]]&lt;1/1/1990,"",IF(Main[[#This Row],[Class]]="C",WORKDAY(Main[[#This Row],[Tech Start Date]],23),IF(Main[[#This Row],[Class]]="B", WORKDAY(Main[[#This Row],[Tech Start Date]],15),IF(Main[[#This Row],[Class]]="A",WORKDAY(Main[[#This Row],[Tech Start Date]],5),""))))</f>
        <v/>
      </c>
      <c r="P1267" s="69" t="str">
        <f>IF(Main[[#This Row],[Tech Start Date]]&lt;1/1/1990,"",IF(Main[[#This Row],[Class]]="C",WORKDAY(Main[[#This Row],[Tech Start Date]],28),IF(Main[[#This Row],[Class]]="B", WORKDAY(Main[[#This Row],[Tech Start Date]],19),IF(Main[[#This Row],[Class]]="A",WORKDAY(Main[[#This Row],[Tech Start Date]],9),""))))</f>
        <v/>
      </c>
      <c r="Q1267" s="67">
        <v>40952</v>
      </c>
      <c r="R1267" s="67"/>
      <c r="S1267" s="65" t="s">
        <v>6</v>
      </c>
      <c r="T1267" s="70" t="s">
        <v>4</v>
      </c>
      <c r="U1267" s="65" t="s">
        <v>29</v>
      </c>
      <c r="V1267" s="65" t="s">
        <v>1917</v>
      </c>
      <c r="W1267" s="65" t="s">
        <v>1918</v>
      </c>
      <c r="X1267" s="65" t="s">
        <v>2822</v>
      </c>
      <c r="Y1267" s="65" t="s">
        <v>2938</v>
      </c>
      <c r="Z1267" s="65" t="s">
        <v>30</v>
      </c>
      <c r="AA1267" s="65" t="s">
        <v>2822</v>
      </c>
    </row>
    <row r="1268" spans="1:27" ht="17.45" hidden="1" customHeight="1">
      <c r="A1268" s="100" t="str">
        <f>IF(priority(Main[[#This Row],[Comments]])&lt;&gt;0, priority(Main[[#This Row],[Comments]]),"")</f>
        <v/>
      </c>
      <c r="B1268" s="77" t="s">
        <v>3300</v>
      </c>
      <c r="C1268" s="65" t="s">
        <v>4</v>
      </c>
      <c r="D1268" s="66" t="s">
        <v>3771</v>
      </c>
      <c r="E1268" s="67">
        <v>40933.494502314818</v>
      </c>
      <c r="F1268" s="67"/>
      <c r="G1268" s="64" t="str">
        <f>IF(stdProdLT(Main[[#This Row],[Comments]])=0.1,"N/A",IF(stdProdLT(Main[[#This Row],[Comments]])=0,"",stdProdLT(Main[[#This Row],[Comments]])))</f>
        <v/>
      </c>
      <c r="H1268" s="68" t="str">
        <f>IF(AND(Main[[#This Row],[In Stock Date]]&lt;&gt;"",Main[[#This Row],[Revised Due Date]]&lt;&gt;""),Main[[#This Row],[In Stock Date]]-Main[[#This Row],[Revised Due Date]],"")</f>
        <v/>
      </c>
      <c r="I1268" s="65" t="s">
        <v>69</v>
      </c>
      <c r="J1268" s="65" t="s">
        <v>70</v>
      </c>
      <c r="K1268" s="65" t="s">
        <v>1923</v>
      </c>
      <c r="L1268" s="67"/>
      <c r="M1268" s="69" t="str">
        <f>IF(Main[[#This Row],[Tech Start Date]]&lt;1/1/1990,"",IF(Main[[#This Row],[Class]]="C",WORKDAY(Main[[#This Row],[Tech Start Date]],9),IF(Main[[#This Row],[Class]]="B", WORKDAY(Main[[#This Row],[Tech Start Date]],6),IF(Main[[#This Row],[Class]]="A",WORKDAY(Main[[#This Row],[Tech Start Date]],2),""))))</f>
        <v/>
      </c>
      <c r="N1268" s="69" t="str">
        <f>IF(Main[[#This Row],[Tech Start Date]]&lt;1/1/1990,"",IF(Main[[#This Row],[Class]]="C",WORKDAY(Main[[#This Row],[Tech Start Date]],19),IF(Main[[#This Row],[Class]]="B", WORKDAY(Main[[#This Row],[Tech Start Date]],12),IF(Main[[#This Row],[Class]]="A",WORKDAY(Main[[#This Row],[Tech Start Date]],4),""))))</f>
        <v/>
      </c>
      <c r="O1268" s="69" t="str">
        <f>IF(Main[[#This Row],[Tech Start Date]]&lt;1/1/1990,"",IF(Main[[#This Row],[Class]]="C",WORKDAY(Main[[#This Row],[Tech Start Date]],23),IF(Main[[#This Row],[Class]]="B", WORKDAY(Main[[#This Row],[Tech Start Date]],15),IF(Main[[#This Row],[Class]]="A",WORKDAY(Main[[#This Row],[Tech Start Date]],5),""))))</f>
        <v/>
      </c>
      <c r="P1268" s="69" t="str">
        <f>IF(Main[[#This Row],[Tech Start Date]]&lt;1/1/1990,"",IF(Main[[#This Row],[Class]]="C",WORKDAY(Main[[#This Row],[Tech Start Date]],28),IF(Main[[#This Row],[Class]]="B", WORKDAY(Main[[#This Row],[Tech Start Date]],19),IF(Main[[#This Row],[Class]]="A",WORKDAY(Main[[#This Row],[Tech Start Date]],9),""))))</f>
        <v/>
      </c>
      <c r="Q1268" s="67">
        <v>40968</v>
      </c>
      <c r="R1268" s="67"/>
      <c r="S1268" s="65" t="s">
        <v>6</v>
      </c>
      <c r="T1268" s="70" t="s">
        <v>4</v>
      </c>
      <c r="U1268" s="65" t="s">
        <v>29</v>
      </c>
      <c r="V1268" s="65" t="s">
        <v>1917</v>
      </c>
      <c r="W1268" s="65" t="s">
        <v>1918</v>
      </c>
      <c r="X1268" s="65" t="s">
        <v>2818</v>
      </c>
      <c r="Y1268" s="65" t="s">
        <v>2929</v>
      </c>
      <c r="Z1268" s="65" t="s">
        <v>30</v>
      </c>
      <c r="AA1268" s="65" t="s">
        <v>2818</v>
      </c>
    </row>
    <row r="1269" spans="1:27" ht="17.45" hidden="1" customHeight="1">
      <c r="A1269" s="100" t="str">
        <f>IF(priority(Main[[#This Row],[Comments]])&lt;&gt;0, priority(Main[[#This Row],[Comments]]),"")</f>
        <v/>
      </c>
      <c r="B1269" s="77" t="s">
        <v>3575</v>
      </c>
      <c r="C1269" s="65" t="s">
        <v>4</v>
      </c>
      <c r="D1269" s="66" t="s">
        <v>3576</v>
      </c>
      <c r="E1269" s="67">
        <v>40952.380486111113</v>
      </c>
      <c r="F1269" s="67"/>
      <c r="G1269" s="64" t="str">
        <f>IF(stdProdLT(Main[[#This Row],[Comments]])=0.1,"N/A",IF(stdProdLT(Main[[#This Row],[Comments]])=0,"",stdProdLT(Main[[#This Row],[Comments]])))</f>
        <v/>
      </c>
      <c r="H1269" s="68" t="str">
        <f>IF(AND(Main[[#This Row],[In Stock Date]]&lt;&gt;"",Main[[#This Row],[Revised Due Date]]&lt;&gt;""),Main[[#This Row],[In Stock Date]]-Main[[#This Row],[Revised Due Date]],"")</f>
        <v/>
      </c>
      <c r="I1269" s="65" t="s">
        <v>4</v>
      </c>
      <c r="J1269" s="65" t="s">
        <v>4</v>
      </c>
      <c r="K1269" s="71" t="s">
        <v>4</v>
      </c>
      <c r="L1269" s="67"/>
      <c r="M1269" s="69" t="str">
        <f>IF(Main[[#This Row],[Tech Start Date]]&lt;1/1/1990,"",IF(Main[[#This Row],[Class]]="C",WORKDAY(Main[[#This Row],[Tech Start Date]],9),IF(Main[[#This Row],[Class]]="B", WORKDAY(Main[[#This Row],[Tech Start Date]],6),IF(Main[[#This Row],[Class]]="A",WORKDAY(Main[[#This Row],[Tech Start Date]],2),""))))</f>
        <v/>
      </c>
      <c r="N1269" s="69" t="str">
        <f>IF(Main[[#This Row],[Tech Start Date]]&lt;1/1/1990,"",IF(Main[[#This Row],[Class]]="C",WORKDAY(Main[[#This Row],[Tech Start Date]],19),IF(Main[[#This Row],[Class]]="B", WORKDAY(Main[[#This Row],[Tech Start Date]],12),IF(Main[[#This Row],[Class]]="A",WORKDAY(Main[[#This Row],[Tech Start Date]],4),""))))</f>
        <v/>
      </c>
      <c r="O1269" s="69" t="str">
        <f>IF(Main[[#This Row],[Tech Start Date]]&lt;1/1/1990,"",IF(Main[[#This Row],[Class]]="C",WORKDAY(Main[[#This Row],[Tech Start Date]],23),IF(Main[[#This Row],[Class]]="B", WORKDAY(Main[[#This Row],[Tech Start Date]],15),IF(Main[[#This Row],[Class]]="A",WORKDAY(Main[[#This Row],[Tech Start Date]],5),""))))</f>
        <v/>
      </c>
      <c r="P1269" s="69" t="str">
        <f>IF(Main[[#This Row],[Tech Start Date]]&lt;1/1/1990,"",IF(Main[[#This Row],[Class]]="C",WORKDAY(Main[[#This Row],[Tech Start Date]],28),IF(Main[[#This Row],[Class]]="B", WORKDAY(Main[[#This Row],[Tech Start Date]],19),IF(Main[[#This Row],[Class]]="A",WORKDAY(Main[[#This Row],[Tech Start Date]],9),""))))</f>
        <v/>
      </c>
      <c r="Q1269" s="67"/>
      <c r="R1269" s="67"/>
      <c r="S1269" s="65" t="s">
        <v>6</v>
      </c>
      <c r="T1269" s="70" t="s">
        <v>4</v>
      </c>
      <c r="U1269" s="65" t="s">
        <v>7</v>
      </c>
      <c r="V1269" s="65" t="s">
        <v>1914</v>
      </c>
      <c r="W1269" s="65" t="s">
        <v>4</v>
      </c>
      <c r="X1269" s="65" t="s">
        <v>2822</v>
      </c>
      <c r="Y1269" s="65" t="s">
        <v>2938</v>
      </c>
      <c r="Z1269" s="65" t="s">
        <v>4</v>
      </c>
      <c r="AA1269" s="65" t="s">
        <v>2822</v>
      </c>
    </row>
    <row r="1270" spans="1:27" ht="17.45" hidden="1" customHeight="1">
      <c r="A1270" s="100" t="str">
        <f>IF(priority(Main[[#This Row],[Comments]])&lt;&gt;0, priority(Main[[#This Row],[Comments]]),"")</f>
        <v/>
      </c>
      <c r="B1270" s="77" t="s">
        <v>3772</v>
      </c>
      <c r="C1270" s="65" t="s">
        <v>31</v>
      </c>
      <c r="D1270" s="66" t="s">
        <v>3773</v>
      </c>
      <c r="E1270" s="67">
        <v>40953.054039351853</v>
      </c>
      <c r="F1270" s="67">
        <v>40968</v>
      </c>
      <c r="G1270" s="64" t="str">
        <f>IF(stdProdLT(Main[[#This Row],[Comments]])=0.1,"N/A",IF(stdProdLT(Main[[#This Row],[Comments]])=0,"",stdProdLT(Main[[#This Row],[Comments]])))</f>
        <v/>
      </c>
      <c r="H1270" s="68" t="str">
        <f>IF(AND(Main[[#This Row],[In Stock Date]]&lt;&gt;"",Main[[#This Row],[Revised Due Date]]&lt;&gt;""),Main[[#This Row],[In Stock Date]]-Main[[#This Row],[Revised Due Date]],"")</f>
        <v/>
      </c>
      <c r="I1270" s="65" t="s">
        <v>4</v>
      </c>
      <c r="J1270" s="65" t="s">
        <v>4</v>
      </c>
      <c r="K1270" s="65" t="s">
        <v>4</v>
      </c>
      <c r="L1270" s="67"/>
      <c r="M1270" s="69" t="str">
        <f>IF(Main[[#This Row],[Tech Start Date]]&lt;1/1/1990,"",IF(Main[[#This Row],[Class]]="C",WORKDAY(Main[[#This Row],[Tech Start Date]],9),IF(Main[[#This Row],[Class]]="B", WORKDAY(Main[[#This Row],[Tech Start Date]],6),IF(Main[[#This Row],[Class]]="A",WORKDAY(Main[[#This Row],[Tech Start Date]],2),""))))</f>
        <v/>
      </c>
      <c r="N1270" s="69" t="str">
        <f>IF(Main[[#This Row],[Tech Start Date]]&lt;1/1/1990,"",IF(Main[[#This Row],[Class]]="C",WORKDAY(Main[[#This Row],[Tech Start Date]],19),IF(Main[[#This Row],[Class]]="B", WORKDAY(Main[[#This Row],[Tech Start Date]],12),IF(Main[[#This Row],[Class]]="A",WORKDAY(Main[[#This Row],[Tech Start Date]],4),""))))</f>
        <v/>
      </c>
      <c r="O1270" s="69" t="str">
        <f>IF(Main[[#This Row],[Tech Start Date]]&lt;1/1/1990,"",IF(Main[[#This Row],[Class]]="C",WORKDAY(Main[[#This Row],[Tech Start Date]],23),IF(Main[[#This Row],[Class]]="B", WORKDAY(Main[[#This Row],[Tech Start Date]],15),IF(Main[[#This Row],[Class]]="A",WORKDAY(Main[[#This Row],[Tech Start Date]],5),""))))</f>
        <v/>
      </c>
      <c r="P1270" s="69" t="str">
        <f>IF(Main[[#This Row],[Tech Start Date]]&lt;1/1/1990,"",IF(Main[[#This Row],[Class]]="C",WORKDAY(Main[[#This Row],[Tech Start Date]],28),IF(Main[[#This Row],[Class]]="B", WORKDAY(Main[[#This Row],[Tech Start Date]],19),IF(Main[[#This Row],[Class]]="A",WORKDAY(Main[[#This Row],[Tech Start Date]],9),""))))</f>
        <v/>
      </c>
      <c r="Q1270" s="67">
        <v>40967</v>
      </c>
      <c r="R1270" s="67"/>
      <c r="S1270" s="65" t="s">
        <v>11</v>
      </c>
      <c r="T1270" s="70" t="s">
        <v>4</v>
      </c>
      <c r="U1270" s="65" t="s">
        <v>7</v>
      </c>
      <c r="V1270" s="65" t="s">
        <v>1929</v>
      </c>
      <c r="W1270" s="65" t="s">
        <v>1919</v>
      </c>
      <c r="X1270" s="65" t="s">
        <v>2835</v>
      </c>
      <c r="Y1270" s="65" t="s">
        <v>4</v>
      </c>
      <c r="Z1270" s="65" t="s">
        <v>2211</v>
      </c>
      <c r="AA1270" s="65" t="s">
        <v>2835</v>
      </c>
    </row>
    <row r="1271" spans="1:27" ht="17.45" hidden="1" customHeight="1">
      <c r="A1271" s="100" t="str">
        <f>IF(priority(Main[[#This Row],[Comments]])&lt;&gt;0, priority(Main[[#This Row],[Comments]]),"")</f>
        <v/>
      </c>
      <c r="B1271" s="77" t="s">
        <v>2600</v>
      </c>
      <c r="C1271" s="65" t="s">
        <v>31</v>
      </c>
      <c r="D1271" s="66" t="s">
        <v>2601</v>
      </c>
      <c r="E1271" s="67"/>
      <c r="F1271" s="67">
        <v>40969</v>
      </c>
      <c r="G1271" s="64" t="str">
        <f>IF(stdProdLT(Main[[#This Row],[Comments]])=0.1,"N/A",IF(stdProdLT(Main[[#This Row],[Comments]])=0,"",stdProdLT(Main[[#This Row],[Comments]])))</f>
        <v/>
      </c>
      <c r="H1271" s="68" t="str">
        <f>IF(AND(Main[[#This Row],[In Stock Date]]&lt;&gt;"",Main[[#This Row],[Revised Due Date]]&lt;&gt;""),Main[[#This Row],[In Stock Date]]-Main[[#This Row],[Revised Due Date]],"")</f>
        <v/>
      </c>
      <c r="I1271" s="65" t="s">
        <v>4</v>
      </c>
      <c r="J1271" s="65" t="s">
        <v>4</v>
      </c>
      <c r="K1271" s="65" t="s">
        <v>4</v>
      </c>
      <c r="L1271" s="67"/>
      <c r="M1271" s="69" t="str">
        <f>IF(Main[[#This Row],[Tech Start Date]]&lt;1/1/1990,"",IF(Main[[#This Row],[Class]]="C",WORKDAY(Main[[#This Row],[Tech Start Date]],9),IF(Main[[#This Row],[Class]]="B", WORKDAY(Main[[#This Row],[Tech Start Date]],6),IF(Main[[#This Row],[Class]]="A",WORKDAY(Main[[#This Row],[Tech Start Date]],2),""))))</f>
        <v/>
      </c>
      <c r="N1271" s="69" t="str">
        <f>IF(Main[[#This Row],[Tech Start Date]]&lt;1/1/1990,"",IF(Main[[#This Row],[Class]]="C",WORKDAY(Main[[#This Row],[Tech Start Date]],19),IF(Main[[#This Row],[Class]]="B", WORKDAY(Main[[#This Row],[Tech Start Date]],12),IF(Main[[#This Row],[Class]]="A",WORKDAY(Main[[#This Row],[Tech Start Date]],4),""))))</f>
        <v/>
      </c>
      <c r="O1271" s="69" t="str">
        <f>IF(Main[[#This Row],[Tech Start Date]]&lt;1/1/1990,"",IF(Main[[#This Row],[Class]]="C",WORKDAY(Main[[#This Row],[Tech Start Date]],23),IF(Main[[#This Row],[Class]]="B", WORKDAY(Main[[#This Row],[Tech Start Date]],15),IF(Main[[#This Row],[Class]]="A",WORKDAY(Main[[#This Row],[Tech Start Date]],5),""))))</f>
        <v/>
      </c>
      <c r="P1271" s="69" t="str">
        <f>IF(Main[[#This Row],[Tech Start Date]]&lt;1/1/1990,"",IF(Main[[#This Row],[Class]]="C",WORKDAY(Main[[#This Row],[Tech Start Date]],28),IF(Main[[#This Row],[Class]]="B", WORKDAY(Main[[#This Row],[Tech Start Date]],19),IF(Main[[#This Row],[Class]]="A",WORKDAY(Main[[#This Row],[Tech Start Date]],9),""))))</f>
        <v/>
      </c>
      <c r="Q1271" s="67"/>
      <c r="R1271" s="67"/>
      <c r="S1271" s="65" t="s">
        <v>11</v>
      </c>
      <c r="T1271" s="70" t="s">
        <v>4</v>
      </c>
      <c r="U1271" s="65" t="s">
        <v>14</v>
      </c>
      <c r="V1271" s="65" t="s">
        <v>1914</v>
      </c>
      <c r="W1271" s="65" t="s">
        <v>1920</v>
      </c>
      <c r="X1271" s="65" t="s">
        <v>50</v>
      </c>
      <c r="Y1271" s="65" t="s">
        <v>3089</v>
      </c>
      <c r="Z1271" s="65" t="s">
        <v>4</v>
      </c>
      <c r="AA1271" s="65" t="s">
        <v>2840</v>
      </c>
    </row>
    <row r="1272" spans="1:27" ht="17.45" hidden="1" customHeight="1">
      <c r="A1272" s="100" t="str">
        <f>IF(priority(Main[[#This Row],[Comments]])&lt;&gt;0, priority(Main[[#This Row],[Comments]]),"")</f>
        <v/>
      </c>
      <c r="B1272" s="77" t="s">
        <v>3753</v>
      </c>
      <c r="C1272" s="65" t="s">
        <v>4</v>
      </c>
      <c r="D1272" s="66" t="s">
        <v>3754</v>
      </c>
      <c r="E1272" s="67">
        <v>40960.576238425929</v>
      </c>
      <c r="F1272" s="67"/>
      <c r="G1272" s="64" t="str">
        <f>IF(stdProdLT(Main[[#This Row],[Comments]])=0.1,"N/A",IF(stdProdLT(Main[[#This Row],[Comments]])=0,"",stdProdLT(Main[[#This Row],[Comments]])))</f>
        <v/>
      </c>
      <c r="H1272" s="68" t="str">
        <f>IF(AND(Main[[#This Row],[In Stock Date]]&lt;&gt;"",Main[[#This Row],[Revised Due Date]]&lt;&gt;""),Main[[#This Row],[In Stock Date]]-Main[[#This Row],[Revised Due Date]],"")</f>
        <v/>
      </c>
      <c r="I1272" s="65" t="s">
        <v>239</v>
      </c>
      <c r="J1272" s="65" t="s">
        <v>70</v>
      </c>
      <c r="K1272" s="65" t="s">
        <v>1923</v>
      </c>
      <c r="L1272" s="67"/>
      <c r="M1272" s="69" t="str">
        <f>IF(Main[[#This Row],[Tech Start Date]]&lt;1/1/1990,"",IF(Main[[#This Row],[Class]]="C",WORKDAY(Main[[#This Row],[Tech Start Date]],9),IF(Main[[#This Row],[Class]]="B", WORKDAY(Main[[#This Row],[Tech Start Date]],6),IF(Main[[#This Row],[Class]]="A",WORKDAY(Main[[#This Row],[Tech Start Date]],2),""))))</f>
        <v/>
      </c>
      <c r="N1272" s="69" t="str">
        <f>IF(Main[[#This Row],[Tech Start Date]]&lt;1/1/1990,"",IF(Main[[#This Row],[Class]]="C",WORKDAY(Main[[#This Row],[Tech Start Date]],19),IF(Main[[#This Row],[Class]]="B", WORKDAY(Main[[#This Row],[Tech Start Date]],12),IF(Main[[#This Row],[Class]]="A",WORKDAY(Main[[#This Row],[Tech Start Date]],4),""))))</f>
        <v/>
      </c>
      <c r="O1272" s="69" t="str">
        <f>IF(Main[[#This Row],[Tech Start Date]]&lt;1/1/1990,"",IF(Main[[#This Row],[Class]]="C",WORKDAY(Main[[#This Row],[Tech Start Date]],23),IF(Main[[#This Row],[Class]]="B", WORKDAY(Main[[#This Row],[Tech Start Date]],15),IF(Main[[#This Row],[Class]]="A",WORKDAY(Main[[#This Row],[Tech Start Date]],5),""))))</f>
        <v/>
      </c>
      <c r="P1272" s="69" t="str">
        <f>IF(Main[[#This Row],[Tech Start Date]]&lt;1/1/1990,"",IF(Main[[#This Row],[Class]]="C",WORKDAY(Main[[#This Row],[Tech Start Date]],28),IF(Main[[#This Row],[Class]]="B", WORKDAY(Main[[#This Row],[Tech Start Date]],19),IF(Main[[#This Row],[Class]]="A",WORKDAY(Main[[#This Row],[Tech Start Date]],9),""))))</f>
        <v/>
      </c>
      <c r="Q1272" s="67">
        <v>41029</v>
      </c>
      <c r="R1272" s="67"/>
      <c r="S1272" s="65" t="s">
        <v>6</v>
      </c>
      <c r="T1272" s="70" t="s">
        <v>4</v>
      </c>
      <c r="U1272" s="65" t="s">
        <v>29</v>
      </c>
      <c r="V1272" s="65" t="s">
        <v>1917</v>
      </c>
      <c r="W1272" s="65" t="s">
        <v>1918</v>
      </c>
      <c r="X1272" s="65" t="s">
        <v>30</v>
      </c>
      <c r="Y1272" s="65" t="s">
        <v>3755</v>
      </c>
      <c r="Z1272" s="65" t="s">
        <v>30</v>
      </c>
      <c r="AA1272" s="65" t="s">
        <v>30</v>
      </c>
    </row>
    <row r="1273" spans="1:27" ht="17.45" hidden="1" customHeight="1">
      <c r="A1273" s="100" t="str">
        <f>IF(priority(Main[[#This Row],[Comments]])&lt;&gt;0, priority(Main[[#This Row],[Comments]]),"")</f>
        <v/>
      </c>
      <c r="B1273" s="77" t="s">
        <v>3756</v>
      </c>
      <c r="C1273" s="65" t="s">
        <v>4</v>
      </c>
      <c r="D1273" s="66" t="s">
        <v>3757</v>
      </c>
      <c r="E1273" s="67">
        <v>40959.601018518515</v>
      </c>
      <c r="F1273" s="67"/>
      <c r="G1273" s="64" t="str">
        <f>IF(stdProdLT(Main[[#This Row],[Comments]])=0.1,"N/A",IF(stdProdLT(Main[[#This Row],[Comments]])=0,"",stdProdLT(Main[[#This Row],[Comments]])))</f>
        <v/>
      </c>
      <c r="H1273" s="68" t="str">
        <f>IF(AND(Main[[#This Row],[In Stock Date]]&lt;&gt;"",Main[[#This Row],[Revised Due Date]]&lt;&gt;""),Main[[#This Row],[In Stock Date]]-Main[[#This Row],[Revised Due Date]],"")</f>
        <v/>
      </c>
      <c r="I1273" s="65" t="s">
        <v>561</v>
      </c>
      <c r="J1273" s="65" t="s">
        <v>28</v>
      </c>
      <c r="K1273" s="65" t="s">
        <v>4</v>
      </c>
      <c r="L1273" s="67"/>
      <c r="M1273" s="69" t="str">
        <f>IF(Main[[#This Row],[Tech Start Date]]&lt;1/1/1990,"",IF(Main[[#This Row],[Class]]="C",WORKDAY(Main[[#This Row],[Tech Start Date]],9),IF(Main[[#This Row],[Class]]="B", WORKDAY(Main[[#This Row],[Tech Start Date]],6),IF(Main[[#This Row],[Class]]="A",WORKDAY(Main[[#This Row],[Tech Start Date]],2),""))))</f>
        <v/>
      </c>
      <c r="N1273" s="69" t="str">
        <f>IF(Main[[#This Row],[Tech Start Date]]&lt;1/1/1990,"",IF(Main[[#This Row],[Class]]="C",WORKDAY(Main[[#This Row],[Tech Start Date]],19),IF(Main[[#This Row],[Class]]="B", WORKDAY(Main[[#This Row],[Tech Start Date]],12),IF(Main[[#This Row],[Class]]="A",WORKDAY(Main[[#This Row],[Tech Start Date]],4),""))))</f>
        <v/>
      </c>
      <c r="O1273" s="69" t="str">
        <f>IF(Main[[#This Row],[Tech Start Date]]&lt;1/1/1990,"",IF(Main[[#This Row],[Class]]="C",WORKDAY(Main[[#This Row],[Tech Start Date]],23),IF(Main[[#This Row],[Class]]="B", WORKDAY(Main[[#This Row],[Tech Start Date]],15),IF(Main[[#This Row],[Class]]="A",WORKDAY(Main[[#This Row],[Tech Start Date]],5),""))))</f>
        <v/>
      </c>
      <c r="P1273" s="69" t="str">
        <f>IF(Main[[#This Row],[Tech Start Date]]&lt;1/1/1990,"",IF(Main[[#This Row],[Class]]="C",WORKDAY(Main[[#This Row],[Tech Start Date]],28),IF(Main[[#This Row],[Class]]="B", WORKDAY(Main[[#This Row],[Tech Start Date]],19),IF(Main[[#This Row],[Class]]="A",WORKDAY(Main[[#This Row],[Tech Start Date]],9),""))))</f>
        <v/>
      </c>
      <c r="Q1273" s="67"/>
      <c r="R1273" s="67"/>
      <c r="S1273" s="65" t="s">
        <v>6</v>
      </c>
      <c r="T1273" s="70" t="s">
        <v>4</v>
      </c>
      <c r="U1273" s="65" t="s">
        <v>29</v>
      </c>
      <c r="V1273" s="65" t="s">
        <v>1914</v>
      </c>
      <c r="W1273" s="65" t="s">
        <v>4</v>
      </c>
      <c r="X1273" s="65" t="s">
        <v>561</v>
      </c>
      <c r="Y1273" s="65" t="s">
        <v>3056</v>
      </c>
      <c r="Z1273" s="65" t="s">
        <v>4</v>
      </c>
      <c r="AA1273" s="65" t="s">
        <v>561</v>
      </c>
    </row>
    <row r="1274" spans="1:27" ht="17.45" hidden="1" customHeight="1">
      <c r="A1274" s="100" t="str">
        <f>IF(priority(Main[[#This Row],[Comments]])&lt;&gt;0, priority(Main[[#This Row],[Comments]]),"")</f>
        <v/>
      </c>
      <c r="B1274" s="77" t="s">
        <v>3758</v>
      </c>
      <c r="C1274" s="65" t="s">
        <v>4</v>
      </c>
      <c r="D1274" s="66" t="s">
        <v>3759</v>
      </c>
      <c r="E1274" s="67">
        <v>40955.139027777775</v>
      </c>
      <c r="F1274" s="67"/>
      <c r="G1274" s="64" t="str">
        <f>IF(stdProdLT(Main[[#This Row],[Comments]])=0.1,"N/A",IF(stdProdLT(Main[[#This Row],[Comments]])=0,"",stdProdLT(Main[[#This Row],[Comments]])))</f>
        <v/>
      </c>
      <c r="H1274" s="68" t="str">
        <f>IF(AND(Main[[#This Row],[In Stock Date]]&lt;&gt;"",Main[[#This Row],[Revised Due Date]]&lt;&gt;""),Main[[#This Row],[In Stock Date]]-Main[[#This Row],[Revised Due Date]],"")</f>
        <v/>
      </c>
      <c r="I1274" s="65" t="s">
        <v>4</v>
      </c>
      <c r="J1274" s="65" t="s">
        <v>4</v>
      </c>
      <c r="K1274" s="65" t="s">
        <v>4</v>
      </c>
      <c r="L1274" s="67"/>
      <c r="M1274" s="69" t="str">
        <f>IF(Main[[#This Row],[Tech Start Date]]&lt;1/1/1990,"",IF(Main[[#This Row],[Class]]="C",WORKDAY(Main[[#This Row],[Tech Start Date]],9),IF(Main[[#This Row],[Class]]="B", WORKDAY(Main[[#This Row],[Tech Start Date]],6),IF(Main[[#This Row],[Class]]="A",WORKDAY(Main[[#This Row],[Tech Start Date]],2),""))))</f>
        <v/>
      </c>
      <c r="N1274" s="69" t="str">
        <f>IF(Main[[#This Row],[Tech Start Date]]&lt;1/1/1990,"",IF(Main[[#This Row],[Class]]="C",WORKDAY(Main[[#This Row],[Tech Start Date]],19),IF(Main[[#This Row],[Class]]="B", WORKDAY(Main[[#This Row],[Tech Start Date]],12),IF(Main[[#This Row],[Class]]="A",WORKDAY(Main[[#This Row],[Tech Start Date]],4),""))))</f>
        <v/>
      </c>
      <c r="O1274" s="69" t="str">
        <f>IF(Main[[#This Row],[Tech Start Date]]&lt;1/1/1990,"",IF(Main[[#This Row],[Class]]="C",WORKDAY(Main[[#This Row],[Tech Start Date]],23),IF(Main[[#This Row],[Class]]="B", WORKDAY(Main[[#This Row],[Tech Start Date]],15),IF(Main[[#This Row],[Class]]="A",WORKDAY(Main[[#This Row],[Tech Start Date]],5),""))))</f>
        <v/>
      </c>
      <c r="P1274" s="69" t="str">
        <f>IF(Main[[#This Row],[Tech Start Date]]&lt;1/1/1990,"",IF(Main[[#This Row],[Class]]="C",WORKDAY(Main[[#This Row],[Tech Start Date]],28),IF(Main[[#This Row],[Class]]="B", WORKDAY(Main[[#This Row],[Tech Start Date]],19),IF(Main[[#This Row],[Class]]="A",WORKDAY(Main[[#This Row],[Tech Start Date]],9),""))))</f>
        <v/>
      </c>
      <c r="Q1274" s="67">
        <v>40984</v>
      </c>
      <c r="R1274" s="67"/>
      <c r="S1274" s="65" t="s">
        <v>6</v>
      </c>
      <c r="T1274" s="70" t="s">
        <v>4</v>
      </c>
      <c r="U1274" s="65" t="s">
        <v>7</v>
      </c>
      <c r="V1274" s="65" t="s">
        <v>1914</v>
      </c>
      <c r="W1274" s="65" t="s">
        <v>4</v>
      </c>
      <c r="X1274" s="65" t="s">
        <v>2822</v>
      </c>
      <c r="Y1274" s="65" t="s">
        <v>2938</v>
      </c>
      <c r="Z1274" s="65" t="s">
        <v>4</v>
      </c>
      <c r="AA1274" s="65" t="s">
        <v>2822</v>
      </c>
    </row>
    <row r="1275" spans="1:27" ht="17.45" hidden="1" customHeight="1">
      <c r="A1275" s="100" t="str">
        <f>IF(priority(Main[[#This Row],[Comments]])&lt;&gt;0, priority(Main[[#This Row],[Comments]]),"")</f>
        <v/>
      </c>
      <c r="B1275" s="77" t="s">
        <v>2788</v>
      </c>
      <c r="C1275" s="65" t="s">
        <v>4</v>
      </c>
      <c r="D1275" s="66" t="s">
        <v>2789</v>
      </c>
      <c r="E1275" s="67">
        <v>40883.621099537035</v>
      </c>
      <c r="F1275" s="67"/>
      <c r="G1275" s="64" t="str">
        <f>IF(stdProdLT(Main[[#This Row],[Comments]])=0.1,"N/A",IF(stdProdLT(Main[[#This Row],[Comments]])=0,"",stdProdLT(Main[[#This Row],[Comments]])))</f>
        <v/>
      </c>
      <c r="H1275" s="68" t="str">
        <f>IF(AND(Main[[#This Row],[In Stock Date]]&lt;&gt;"",Main[[#This Row],[Revised Due Date]]&lt;&gt;""),Main[[#This Row],[In Stock Date]]-Main[[#This Row],[Revised Due Date]],"")</f>
        <v/>
      </c>
      <c r="I1275" s="65" t="s">
        <v>3542</v>
      </c>
      <c r="J1275" s="65" t="s">
        <v>4</v>
      </c>
      <c r="K1275" s="65" t="s">
        <v>1926</v>
      </c>
      <c r="L1275" s="67"/>
      <c r="M1275" s="69" t="str">
        <f>IF(Main[[#This Row],[Tech Start Date]]&lt;1/1/1990,"",IF(Main[[#This Row],[Class]]="C",WORKDAY(Main[[#This Row],[Tech Start Date]],9),IF(Main[[#This Row],[Class]]="B", WORKDAY(Main[[#This Row],[Tech Start Date]],6),IF(Main[[#This Row],[Class]]="A",WORKDAY(Main[[#This Row],[Tech Start Date]],2),""))))</f>
        <v/>
      </c>
      <c r="N1275" s="69" t="str">
        <f>IF(Main[[#This Row],[Tech Start Date]]&lt;1/1/1990,"",IF(Main[[#This Row],[Class]]="C",WORKDAY(Main[[#This Row],[Tech Start Date]],19),IF(Main[[#This Row],[Class]]="B", WORKDAY(Main[[#This Row],[Tech Start Date]],12),IF(Main[[#This Row],[Class]]="A",WORKDAY(Main[[#This Row],[Tech Start Date]],4),""))))</f>
        <v/>
      </c>
      <c r="O1275" s="69" t="str">
        <f>IF(Main[[#This Row],[Tech Start Date]]&lt;1/1/1990,"",IF(Main[[#This Row],[Class]]="C",WORKDAY(Main[[#This Row],[Tech Start Date]],23),IF(Main[[#This Row],[Class]]="B", WORKDAY(Main[[#This Row],[Tech Start Date]],15),IF(Main[[#This Row],[Class]]="A",WORKDAY(Main[[#This Row],[Tech Start Date]],5),""))))</f>
        <v/>
      </c>
      <c r="P1275" s="69" t="str">
        <f>IF(Main[[#This Row],[Tech Start Date]]&lt;1/1/1990,"",IF(Main[[#This Row],[Class]]="C",WORKDAY(Main[[#This Row],[Tech Start Date]],28),IF(Main[[#This Row],[Class]]="B", WORKDAY(Main[[#This Row],[Tech Start Date]],19),IF(Main[[#This Row],[Class]]="A",WORKDAY(Main[[#This Row],[Tech Start Date]],9),""))))</f>
        <v/>
      </c>
      <c r="Q1275" s="67"/>
      <c r="R1275" s="67"/>
      <c r="S1275" s="65" t="s">
        <v>17</v>
      </c>
      <c r="T1275" s="70" t="s">
        <v>4</v>
      </c>
      <c r="U1275" s="65" t="s">
        <v>29</v>
      </c>
      <c r="V1275" s="65" t="s">
        <v>1917</v>
      </c>
      <c r="W1275" s="65" t="s">
        <v>1919</v>
      </c>
      <c r="X1275" s="65" t="s">
        <v>415</v>
      </c>
      <c r="Y1275" s="65" t="s">
        <v>2975</v>
      </c>
      <c r="Z1275" s="65" t="s">
        <v>652</v>
      </c>
      <c r="AA1275" s="65" t="s">
        <v>415</v>
      </c>
    </row>
    <row r="1276" spans="1:27" ht="17.45" hidden="1" customHeight="1">
      <c r="A1276" s="100" t="str">
        <f>IF(priority(Main[[#This Row],[Comments]])&lt;&gt;0, priority(Main[[#This Row],[Comments]]),"")</f>
        <v/>
      </c>
      <c r="B1276" s="77" t="s">
        <v>1114</v>
      </c>
      <c r="C1276" s="65" t="s">
        <v>4</v>
      </c>
      <c r="D1276" s="66" t="s">
        <v>3760</v>
      </c>
      <c r="E1276" s="67"/>
      <c r="F1276" s="67">
        <v>40602</v>
      </c>
      <c r="G1276" s="64" t="str">
        <f>IF(stdProdLT(Main[[#This Row],[Comments]])=0.1,"N/A",IF(stdProdLT(Main[[#This Row],[Comments]])=0,"",stdProdLT(Main[[#This Row],[Comments]])))</f>
        <v/>
      </c>
      <c r="H1276" s="68" t="str">
        <f>IF(AND(Main[[#This Row],[In Stock Date]]&lt;&gt;"",Main[[#This Row],[Revised Due Date]]&lt;&gt;""),Main[[#This Row],[In Stock Date]]-Main[[#This Row],[Revised Due Date]],"")</f>
        <v/>
      </c>
      <c r="I1276" s="65" t="s">
        <v>2208</v>
      </c>
      <c r="J1276" s="65" t="s">
        <v>75</v>
      </c>
      <c r="K1276" s="65" t="s">
        <v>1923</v>
      </c>
      <c r="L1276" s="67"/>
      <c r="M1276" s="69" t="str">
        <f>IF(Main[[#This Row],[Tech Start Date]]&lt;1/1/1990,"",IF(Main[[#This Row],[Class]]="C",WORKDAY(Main[[#This Row],[Tech Start Date]],9),IF(Main[[#This Row],[Class]]="B", WORKDAY(Main[[#This Row],[Tech Start Date]],6),IF(Main[[#This Row],[Class]]="A",WORKDAY(Main[[#This Row],[Tech Start Date]],2),""))))</f>
        <v/>
      </c>
      <c r="N1276" s="69" t="str">
        <f>IF(Main[[#This Row],[Tech Start Date]]&lt;1/1/1990,"",IF(Main[[#This Row],[Class]]="C",WORKDAY(Main[[#This Row],[Tech Start Date]],19),IF(Main[[#This Row],[Class]]="B", WORKDAY(Main[[#This Row],[Tech Start Date]],12),IF(Main[[#This Row],[Class]]="A",WORKDAY(Main[[#This Row],[Tech Start Date]],4),""))))</f>
        <v/>
      </c>
      <c r="O1276" s="69" t="str">
        <f>IF(Main[[#This Row],[Tech Start Date]]&lt;1/1/1990,"",IF(Main[[#This Row],[Class]]="C",WORKDAY(Main[[#This Row],[Tech Start Date]],23),IF(Main[[#This Row],[Class]]="B", WORKDAY(Main[[#This Row],[Tech Start Date]],15),IF(Main[[#This Row],[Class]]="A",WORKDAY(Main[[#This Row],[Tech Start Date]],5),""))))</f>
        <v/>
      </c>
      <c r="P1276" s="69" t="str">
        <f>IF(Main[[#This Row],[Tech Start Date]]&lt;1/1/1990,"",IF(Main[[#This Row],[Class]]="C",WORKDAY(Main[[#This Row],[Tech Start Date]],28),IF(Main[[#This Row],[Class]]="B", WORKDAY(Main[[#This Row],[Tech Start Date]],19),IF(Main[[#This Row],[Class]]="A",WORKDAY(Main[[#This Row],[Tech Start Date]],9),""))))</f>
        <v/>
      </c>
      <c r="Q1276" s="67">
        <v>40602</v>
      </c>
      <c r="R1276" s="67"/>
      <c r="S1276" s="65" t="s">
        <v>6</v>
      </c>
      <c r="T1276" s="70" t="s">
        <v>4</v>
      </c>
      <c r="U1276" s="65" t="s">
        <v>14</v>
      </c>
      <c r="V1276" s="65" t="s">
        <v>1917</v>
      </c>
      <c r="W1276" s="65" t="s">
        <v>1916</v>
      </c>
      <c r="X1276" s="65" t="s">
        <v>30</v>
      </c>
      <c r="Y1276" s="65" t="s">
        <v>2957</v>
      </c>
      <c r="Z1276" s="65" t="s">
        <v>415</v>
      </c>
      <c r="AA1276" s="65" t="s">
        <v>30</v>
      </c>
    </row>
    <row r="1277" spans="1:27" ht="17.45" hidden="1" customHeight="1">
      <c r="A1277" s="100" t="str">
        <f>IF(priority(Main[[#This Row],[Comments]])&lt;&gt;0, priority(Main[[#This Row],[Comments]]),"")</f>
        <v/>
      </c>
      <c r="B1277" s="77" t="s">
        <v>3265</v>
      </c>
      <c r="C1277" s="65" t="s">
        <v>4</v>
      </c>
      <c r="D1277" s="66" t="s">
        <v>3780</v>
      </c>
      <c r="E1277" s="67">
        <v>40934.394444444442</v>
      </c>
      <c r="F1277" s="67"/>
      <c r="G1277" s="64" t="str">
        <f>IF(stdProdLT(Main[[#This Row],[Comments]])=0.1,"N/A",IF(stdProdLT(Main[[#This Row],[Comments]])=0,"",stdProdLT(Main[[#This Row],[Comments]])))</f>
        <v/>
      </c>
      <c r="H1277" s="68" t="str">
        <f>IF(AND(Main[[#This Row],[In Stock Date]]&lt;&gt;"",Main[[#This Row],[Revised Due Date]]&lt;&gt;""),Main[[#This Row],[In Stock Date]]-Main[[#This Row],[Revised Due Date]],"")</f>
        <v/>
      </c>
      <c r="I1277" s="65" t="s">
        <v>69</v>
      </c>
      <c r="J1277" s="65" t="s">
        <v>70</v>
      </c>
      <c r="K1277" s="65" t="s">
        <v>1923</v>
      </c>
      <c r="L1277" s="67"/>
      <c r="M1277" s="69" t="str">
        <f>IF(Main[[#This Row],[Tech Start Date]]&lt;1/1/1990,"",IF(Main[[#This Row],[Class]]="C",WORKDAY(Main[[#This Row],[Tech Start Date]],9),IF(Main[[#This Row],[Class]]="B", WORKDAY(Main[[#This Row],[Tech Start Date]],6),IF(Main[[#This Row],[Class]]="A",WORKDAY(Main[[#This Row],[Tech Start Date]],2),""))))</f>
        <v/>
      </c>
      <c r="N1277" s="69" t="str">
        <f>IF(Main[[#This Row],[Tech Start Date]]&lt;1/1/1990,"",IF(Main[[#This Row],[Class]]="C",WORKDAY(Main[[#This Row],[Tech Start Date]],19),IF(Main[[#This Row],[Class]]="B", WORKDAY(Main[[#This Row],[Tech Start Date]],12),IF(Main[[#This Row],[Class]]="A",WORKDAY(Main[[#This Row],[Tech Start Date]],4),""))))</f>
        <v/>
      </c>
      <c r="O1277" s="69" t="str">
        <f>IF(Main[[#This Row],[Tech Start Date]]&lt;1/1/1990,"",IF(Main[[#This Row],[Class]]="C",WORKDAY(Main[[#This Row],[Tech Start Date]],23),IF(Main[[#This Row],[Class]]="B", WORKDAY(Main[[#This Row],[Tech Start Date]],15),IF(Main[[#This Row],[Class]]="A",WORKDAY(Main[[#This Row],[Tech Start Date]],5),""))))</f>
        <v/>
      </c>
      <c r="P1277" s="69" t="str">
        <f>IF(Main[[#This Row],[Tech Start Date]]&lt;1/1/1990,"",IF(Main[[#This Row],[Class]]="C",WORKDAY(Main[[#This Row],[Tech Start Date]],28),IF(Main[[#This Row],[Class]]="B", WORKDAY(Main[[#This Row],[Tech Start Date]],19),IF(Main[[#This Row],[Class]]="A",WORKDAY(Main[[#This Row],[Tech Start Date]],9),""))))</f>
        <v/>
      </c>
      <c r="Q1277" s="67">
        <v>40968</v>
      </c>
      <c r="R1277" s="67"/>
      <c r="S1277" s="65" t="s">
        <v>6</v>
      </c>
      <c r="T1277" s="70" t="s">
        <v>4</v>
      </c>
      <c r="U1277" s="65" t="s">
        <v>29</v>
      </c>
      <c r="V1277" s="65" t="s">
        <v>1917</v>
      </c>
      <c r="W1277" s="65" t="s">
        <v>1918</v>
      </c>
      <c r="X1277" s="65" t="s">
        <v>2818</v>
      </c>
      <c r="Y1277" s="65" t="s">
        <v>2929</v>
      </c>
      <c r="Z1277" s="65" t="s">
        <v>30</v>
      </c>
      <c r="AA1277" s="65" t="s">
        <v>2818</v>
      </c>
    </row>
    <row r="1278" spans="1:27" ht="17.45" customHeight="1">
      <c r="A1278" s="100">
        <f>IF(priority(Main[[#This Row],[Comments]])&lt;&gt;0, priority(Main[[#This Row],[Comments]]),"")</f>
        <v>16</v>
      </c>
      <c r="B1278" s="77" t="s">
        <v>2584</v>
      </c>
      <c r="C1278" s="65" t="s">
        <v>3241</v>
      </c>
      <c r="D1278" s="66" t="s">
        <v>3820</v>
      </c>
      <c r="E1278" s="67">
        <v>40848.443101851852</v>
      </c>
      <c r="F1278" s="67">
        <v>41153</v>
      </c>
      <c r="G1278" s="64">
        <f>IF(stdProdLT(Main[[#This Row],[Comments]])=0.1,"N/A",IF(stdProdLT(Main[[#This Row],[Comments]])=0,"",stdProdLT(Main[[#This Row],[Comments]])))</f>
        <v>126</v>
      </c>
      <c r="H1278" s="68">
        <f>IF(AND(Main[[#This Row],[In Stock Date]]&lt;&gt;"",Main[[#This Row],[Revised Due Date]]&lt;&gt;""),Main[[#This Row],[In Stock Date]]-Main[[#This Row],[Revised Due Date]],"")</f>
        <v>183</v>
      </c>
      <c r="I1278" s="65" t="s">
        <v>399</v>
      </c>
      <c r="J1278" s="65" t="s">
        <v>51</v>
      </c>
      <c r="K1278" s="65" t="s">
        <v>1921</v>
      </c>
      <c r="L1278" s="67">
        <v>40918</v>
      </c>
      <c r="M1278" s="69">
        <f>IF(Main[[#This Row],[Tech Start Date]]&lt;1/1/1990,"",IF(Main[[#This Row],[Class]]="C",WORKDAY(Main[[#This Row],[Tech Start Date]],9),IF(Main[[#This Row],[Class]]="B", WORKDAY(Main[[#This Row],[Tech Start Date]],6),IF(Main[[#This Row],[Class]]="A",WORKDAY(Main[[#This Row],[Tech Start Date]],2),""))))</f>
        <v>40926</v>
      </c>
      <c r="N1278" s="69">
        <f>IF(Main[[#This Row],[Tech Start Date]]&lt;1/1/1990,"",IF(Main[[#This Row],[Class]]="C",WORKDAY(Main[[#This Row],[Tech Start Date]],19),IF(Main[[#This Row],[Class]]="B", WORKDAY(Main[[#This Row],[Tech Start Date]],12),IF(Main[[#This Row],[Class]]="A",WORKDAY(Main[[#This Row],[Tech Start Date]],4),""))))</f>
        <v>40934</v>
      </c>
      <c r="O1278" s="69">
        <f>IF(Main[[#This Row],[Tech Start Date]]&lt;1/1/1990,"",IF(Main[[#This Row],[Class]]="C",WORKDAY(Main[[#This Row],[Tech Start Date]],23),IF(Main[[#This Row],[Class]]="B", WORKDAY(Main[[#This Row],[Tech Start Date]],15),IF(Main[[#This Row],[Class]]="A",WORKDAY(Main[[#This Row],[Tech Start Date]],5),""))))</f>
        <v>40939</v>
      </c>
      <c r="P1278" s="69">
        <f>IF(Main[[#This Row],[Tech Start Date]]&lt;1/1/1990,"",IF(Main[[#This Row],[Class]]="C",WORKDAY(Main[[#This Row],[Tech Start Date]],28),IF(Main[[#This Row],[Class]]="B", WORKDAY(Main[[#This Row],[Tech Start Date]],19),IF(Main[[#This Row],[Class]]="A",WORKDAY(Main[[#This Row],[Tech Start Date]],9),""))))</f>
        <v>40945</v>
      </c>
      <c r="Q1278" s="67">
        <v>41153</v>
      </c>
      <c r="R1278" s="67">
        <v>40970</v>
      </c>
      <c r="S1278" s="65" t="s">
        <v>11</v>
      </c>
      <c r="T1278" s="70" t="s">
        <v>3821</v>
      </c>
      <c r="U1278" s="65" t="s">
        <v>29</v>
      </c>
      <c r="V1278" s="65" t="s">
        <v>1914</v>
      </c>
      <c r="W1278" s="65" t="s">
        <v>1920</v>
      </c>
      <c r="X1278" s="65" t="s">
        <v>2909</v>
      </c>
      <c r="Y1278" s="65" t="s">
        <v>2930</v>
      </c>
      <c r="Z1278" s="65" t="s">
        <v>129</v>
      </c>
      <c r="AA1278" s="65" t="s">
        <v>2909</v>
      </c>
    </row>
    <row r="1279" spans="1:27" ht="17.45" hidden="1" customHeight="1">
      <c r="A1279" s="100" t="str">
        <f>IF(priority(Main[[#This Row],[Comments]])&lt;&gt;0, priority(Main[[#This Row],[Comments]]),"")</f>
        <v/>
      </c>
      <c r="B1279" s="77" t="s">
        <v>3774</v>
      </c>
      <c r="C1279" s="65" t="s">
        <v>148</v>
      </c>
      <c r="D1279" s="66" t="s">
        <v>3775</v>
      </c>
      <c r="E1279" s="67">
        <v>40967.369837962964</v>
      </c>
      <c r="F1279" s="67">
        <v>41096</v>
      </c>
      <c r="G1279" s="64" t="str">
        <f>IF(stdProdLT(Main[[#This Row],[Comments]])=0.1,"N/A",IF(stdProdLT(Main[[#This Row],[Comments]])=0,"",stdProdLT(Main[[#This Row],[Comments]])))</f>
        <v/>
      </c>
      <c r="H1279" s="68" t="str">
        <f>IF(AND(Main[[#This Row],[In Stock Date]]&lt;&gt;"",Main[[#This Row],[Revised Due Date]]&lt;&gt;""),Main[[#This Row],[In Stock Date]]-Main[[#This Row],[Revised Due Date]],"")</f>
        <v/>
      </c>
      <c r="I1279" s="65" t="s">
        <v>4</v>
      </c>
      <c r="J1279" s="65" t="s">
        <v>4</v>
      </c>
      <c r="K1279" s="65" t="s">
        <v>4</v>
      </c>
      <c r="L1279" s="67"/>
      <c r="M1279" s="69" t="str">
        <f>IF(Main[[#This Row],[Tech Start Date]]&lt;1/1/1990,"",IF(Main[[#This Row],[Class]]="C",WORKDAY(Main[[#This Row],[Tech Start Date]],9),IF(Main[[#This Row],[Class]]="B", WORKDAY(Main[[#This Row],[Tech Start Date]],6),IF(Main[[#This Row],[Class]]="A",WORKDAY(Main[[#This Row],[Tech Start Date]],2),""))))</f>
        <v/>
      </c>
      <c r="N1279" s="69" t="str">
        <f>IF(Main[[#This Row],[Tech Start Date]]&lt;1/1/1990,"",IF(Main[[#This Row],[Class]]="C",WORKDAY(Main[[#This Row],[Tech Start Date]],19),IF(Main[[#This Row],[Class]]="B", WORKDAY(Main[[#This Row],[Tech Start Date]],12),IF(Main[[#This Row],[Class]]="A",WORKDAY(Main[[#This Row],[Tech Start Date]],4),""))))</f>
        <v/>
      </c>
      <c r="O1279" s="69" t="str">
        <f>IF(Main[[#This Row],[Tech Start Date]]&lt;1/1/1990,"",IF(Main[[#This Row],[Class]]="C",WORKDAY(Main[[#This Row],[Tech Start Date]],23),IF(Main[[#This Row],[Class]]="B", WORKDAY(Main[[#This Row],[Tech Start Date]],15),IF(Main[[#This Row],[Class]]="A",WORKDAY(Main[[#This Row],[Tech Start Date]],5),""))))</f>
        <v/>
      </c>
      <c r="P1279" s="69" t="str">
        <f>IF(Main[[#This Row],[Tech Start Date]]&lt;1/1/1990,"",IF(Main[[#This Row],[Class]]="C",WORKDAY(Main[[#This Row],[Tech Start Date]],28),IF(Main[[#This Row],[Class]]="B", WORKDAY(Main[[#This Row],[Tech Start Date]],19),IF(Main[[#This Row],[Class]]="A",WORKDAY(Main[[#This Row],[Tech Start Date]],9),""))))</f>
        <v/>
      </c>
      <c r="Q1279" s="67"/>
      <c r="R1279" s="67"/>
      <c r="S1279" s="65" t="s">
        <v>11</v>
      </c>
      <c r="T1279" s="70" t="s">
        <v>4</v>
      </c>
      <c r="U1279" s="65" t="s">
        <v>7</v>
      </c>
      <c r="V1279" s="65" t="s">
        <v>1917</v>
      </c>
      <c r="W1279" s="65" t="s">
        <v>1922</v>
      </c>
      <c r="X1279" s="65" t="s">
        <v>50</v>
      </c>
      <c r="Y1279" s="65" t="s">
        <v>3746</v>
      </c>
      <c r="Z1279" s="65" t="s">
        <v>4</v>
      </c>
      <c r="AA1279" s="65" t="s">
        <v>3745</v>
      </c>
    </row>
    <row r="1280" spans="1:27" ht="17.45" hidden="1" customHeight="1">
      <c r="A1280" s="100" t="str">
        <f>IF(priority(Main[[#This Row],[Comments]])&lt;&gt;0, priority(Main[[#This Row],[Comments]]),"")</f>
        <v/>
      </c>
      <c r="B1280" s="77" t="s">
        <v>1620</v>
      </c>
      <c r="C1280" s="65" t="s">
        <v>4</v>
      </c>
      <c r="D1280" s="66" t="s">
        <v>3776</v>
      </c>
      <c r="E1280" s="67">
        <v>40626.478958333333</v>
      </c>
      <c r="F1280" s="67"/>
      <c r="G1280" s="64" t="str">
        <f>IF(stdProdLT(Main[[#This Row],[Comments]])=0.1,"N/A",IF(stdProdLT(Main[[#This Row],[Comments]])=0,"",stdProdLT(Main[[#This Row],[Comments]])))</f>
        <v/>
      </c>
      <c r="H1280" s="68" t="str">
        <f>IF(AND(Main[[#This Row],[In Stock Date]]&lt;&gt;"",Main[[#This Row],[Revised Due Date]]&lt;&gt;""),Main[[#This Row],[In Stock Date]]-Main[[#This Row],[Revised Due Date]],"")</f>
        <v/>
      </c>
      <c r="I1280" s="65" t="s">
        <v>399</v>
      </c>
      <c r="J1280" s="65" t="s">
        <v>75</v>
      </c>
      <c r="K1280" s="65" t="s">
        <v>1923</v>
      </c>
      <c r="L1280" s="67"/>
      <c r="M1280" s="69" t="str">
        <f>IF(Main[[#This Row],[Tech Start Date]]&lt;1/1/1990,"",IF(Main[[#This Row],[Class]]="C",WORKDAY(Main[[#This Row],[Tech Start Date]],9),IF(Main[[#This Row],[Class]]="B", WORKDAY(Main[[#This Row],[Tech Start Date]],6),IF(Main[[#This Row],[Class]]="A",WORKDAY(Main[[#This Row],[Tech Start Date]],2),""))))</f>
        <v/>
      </c>
      <c r="N1280" s="69" t="str">
        <f>IF(Main[[#This Row],[Tech Start Date]]&lt;1/1/1990,"",IF(Main[[#This Row],[Class]]="C",WORKDAY(Main[[#This Row],[Tech Start Date]],19),IF(Main[[#This Row],[Class]]="B", WORKDAY(Main[[#This Row],[Tech Start Date]],12),IF(Main[[#This Row],[Class]]="A",WORKDAY(Main[[#This Row],[Tech Start Date]],4),""))))</f>
        <v/>
      </c>
      <c r="O1280" s="69" t="str">
        <f>IF(Main[[#This Row],[Tech Start Date]]&lt;1/1/1990,"",IF(Main[[#This Row],[Class]]="C",WORKDAY(Main[[#This Row],[Tech Start Date]],23),IF(Main[[#This Row],[Class]]="B", WORKDAY(Main[[#This Row],[Tech Start Date]],15),IF(Main[[#This Row],[Class]]="A",WORKDAY(Main[[#This Row],[Tech Start Date]],5),""))))</f>
        <v/>
      </c>
      <c r="P1280" s="69" t="str">
        <f>IF(Main[[#This Row],[Tech Start Date]]&lt;1/1/1990,"",IF(Main[[#This Row],[Class]]="C",WORKDAY(Main[[#This Row],[Tech Start Date]],28),IF(Main[[#This Row],[Class]]="B", WORKDAY(Main[[#This Row],[Tech Start Date]],19),IF(Main[[#This Row],[Class]]="A",WORKDAY(Main[[#This Row],[Tech Start Date]],9),""))))</f>
        <v/>
      </c>
      <c r="Q1280" s="67"/>
      <c r="R1280" s="67"/>
      <c r="S1280" s="65" t="s">
        <v>6</v>
      </c>
      <c r="T1280" s="70" t="s">
        <v>4</v>
      </c>
      <c r="U1280" s="65" t="s">
        <v>29</v>
      </c>
      <c r="V1280" s="65" t="s">
        <v>1917</v>
      </c>
      <c r="W1280" s="65" t="s">
        <v>1918</v>
      </c>
      <c r="X1280" s="65" t="s">
        <v>74</v>
      </c>
      <c r="Y1280" s="65" t="s">
        <v>3031</v>
      </c>
      <c r="Z1280" s="65" t="s">
        <v>415</v>
      </c>
      <c r="AA1280" s="65" t="s">
        <v>74</v>
      </c>
    </row>
    <row r="1281" spans="1:27" ht="17.45" hidden="1" customHeight="1">
      <c r="A1281" s="100" t="str">
        <f>IF(priority(Main[[#This Row],[Comments]])&lt;&gt;0, priority(Main[[#This Row],[Comments]]),"")</f>
        <v/>
      </c>
      <c r="B1281" s="77" t="s">
        <v>1591</v>
      </c>
      <c r="C1281" s="65" t="s">
        <v>4</v>
      </c>
      <c r="D1281" s="66" t="s">
        <v>3777</v>
      </c>
      <c r="E1281" s="67">
        <v>40352.416608796295</v>
      </c>
      <c r="F1281" s="67"/>
      <c r="G1281" s="64" t="str">
        <f>IF(stdProdLT(Main[[#This Row],[Comments]])=0.1,"N/A",IF(stdProdLT(Main[[#This Row],[Comments]])=0,"",stdProdLT(Main[[#This Row],[Comments]])))</f>
        <v/>
      </c>
      <c r="H1281" s="68" t="str">
        <f>IF(AND(Main[[#This Row],[In Stock Date]]&lt;&gt;"",Main[[#This Row],[Revised Due Date]]&lt;&gt;""),Main[[#This Row],[In Stock Date]]-Main[[#This Row],[Revised Due Date]],"")</f>
        <v/>
      </c>
      <c r="I1281" s="65" t="s">
        <v>708</v>
      </c>
      <c r="J1281" s="65" t="s">
        <v>28</v>
      </c>
      <c r="K1281" s="65" t="s">
        <v>1926</v>
      </c>
      <c r="L1281" s="67"/>
      <c r="M1281" s="69" t="str">
        <f>IF(Main[[#This Row],[Tech Start Date]]&lt;1/1/1990,"",IF(Main[[#This Row],[Class]]="C",WORKDAY(Main[[#This Row],[Tech Start Date]],9),IF(Main[[#This Row],[Class]]="B", WORKDAY(Main[[#This Row],[Tech Start Date]],6),IF(Main[[#This Row],[Class]]="A",WORKDAY(Main[[#This Row],[Tech Start Date]],2),""))))</f>
        <v/>
      </c>
      <c r="N1281" s="69" t="str">
        <f>IF(Main[[#This Row],[Tech Start Date]]&lt;1/1/1990,"",IF(Main[[#This Row],[Class]]="C",WORKDAY(Main[[#This Row],[Tech Start Date]],19),IF(Main[[#This Row],[Class]]="B", WORKDAY(Main[[#This Row],[Tech Start Date]],12),IF(Main[[#This Row],[Class]]="A",WORKDAY(Main[[#This Row],[Tech Start Date]],4),""))))</f>
        <v/>
      </c>
      <c r="O1281" s="69" t="str">
        <f>IF(Main[[#This Row],[Tech Start Date]]&lt;1/1/1990,"",IF(Main[[#This Row],[Class]]="C",WORKDAY(Main[[#This Row],[Tech Start Date]],23),IF(Main[[#This Row],[Class]]="B", WORKDAY(Main[[#This Row],[Tech Start Date]],15),IF(Main[[#This Row],[Class]]="A",WORKDAY(Main[[#This Row],[Tech Start Date]],5),""))))</f>
        <v/>
      </c>
      <c r="P1281" s="69" t="str">
        <f>IF(Main[[#This Row],[Tech Start Date]]&lt;1/1/1990,"",IF(Main[[#This Row],[Class]]="C",WORKDAY(Main[[#This Row],[Tech Start Date]],28),IF(Main[[#This Row],[Class]]="B", WORKDAY(Main[[#This Row],[Tech Start Date]],19),IF(Main[[#This Row],[Class]]="A",WORKDAY(Main[[#This Row],[Tech Start Date]],9),""))))</f>
        <v/>
      </c>
      <c r="Q1281" s="67">
        <v>40387</v>
      </c>
      <c r="R1281" s="67">
        <v>41011</v>
      </c>
      <c r="S1281" s="65" t="s">
        <v>17</v>
      </c>
      <c r="T1281" s="70" t="s">
        <v>2464</v>
      </c>
      <c r="U1281" s="65" t="s">
        <v>29</v>
      </c>
      <c r="V1281" s="65" t="s">
        <v>1914</v>
      </c>
      <c r="W1281" s="65" t="s">
        <v>1919</v>
      </c>
      <c r="X1281" s="65" t="s">
        <v>708</v>
      </c>
      <c r="Y1281" s="65" t="s">
        <v>2931</v>
      </c>
      <c r="Z1281" s="65" t="s">
        <v>129</v>
      </c>
      <c r="AA1281" s="65" t="s">
        <v>708</v>
      </c>
    </row>
    <row r="1282" spans="1:27" ht="17.45" hidden="1" customHeight="1">
      <c r="A1282" s="100" t="str">
        <f>IF(priority(Main[[#This Row],[Comments]])&lt;&gt;0, priority(Main[[#This Row],[Comments]]),"")</f>
        <v/>
      </c>
      <c r="B1282" s="77" t="s">
        <v>3778</v>
      </c>
      <c r="C1282" s="65" t="s">
        <v>4</v>
      </c>
      <c r="D1282" s="66" t="s">
        <v>3779</v>
      </c>
      <c r="E1282" s="67">
        <v>40967.485150462962</v>
      </c>
      <c r="F1282" s="67"/>
      <c r="G1282" s="64" t="str">
        <f>IF(stdProdLT(Main[[#This Row],[Comments]])=0.1,"N/A",IF(stdProdLT(Main[[#This Row],[Comments]])=0,"",stdProdLT(Main[[#This Row],[Comments]])))</f>
        <v/>
      </c>
      <c r="H1282" s="68" t="str">
        <f>IF(AND(Main[[#This Row],[In Stock Date]]&lt;&gt;"",Main[[#This Row],[Revised Due Date]]&lt;&gt;""),Main[[#This Row],[In Stock Date]]-Main[[#This Row],[Revised Due Date]],"")</f>
        <v/>
      </c>
      <c r="I1282" s="65" t="s">
        <v>2051</v>
      </c>
      <c r="J1282" s="65" t="s">
        <v>28</v>
      </c>
      <c r="K1282" s="65" t="s">
        <v>4</v>
      </c>
      <c r="L1282" s="67"/>
      <c r="M1282" s="69" t="str">
        <f>IF(Main[[#This Row],[Tech Start Date]]&lt;1/1/1990,"",IF(Main[[#This Row],[Class]]="C",WORKDAY(Main[[#This Row],[Tech Start Date]],9),IF(Main[[#This Row],[Class]]="B", WORKDAY(Main[[#This Row],[Tech Start Date]],6),IF(Main[[#This Row],[Class]]="A",WORKDAY(Main[[#This Row],[Tech Start Date]],2),""))))</f>
        <v/>
      </c>
      <c r="N1282" s="69" t="str">
        <f>IF(Main[[#This Row],[Tech Start Date]]&lt;1/1/1990,"",IF(Main[[#This Row],[Class]]="C",WORKDAY(Main[[#This Row],[Tech Start Date]],19),IF(Main[[#This Row],[Class]]="B", WORKDAY(Main[[#This Row],[Tech Start Date]],12),IF(Main[[#This Row],[Class]]="A",WORKDAY(Main[[#This Row],[Tech Start Date]],4),""))))</f>
        <v/>
      </c>
      <c r="O1282" s="69" t="str">
        <f>IF(Main[[#This Row],[Tech Start Date]]&lt;1/1/1990,"",IF(Main[[#This Row],[Class]]="C",WORKDAY(Main[[#This Row],[Tech Start Date]],23),IF(Main[[#This Row],[Class]]="B", WORKDAY(Main[[#This Row],[Tech Start Date]],15),IF(Main[[#This Row],[Class]]="A",WORKDAY(Main[[#This Row],[Tech Start Date]],5),""))))</f>
        <v/>
      </c>
      <c r="P1282" s="69" t="str">
        <f>IF(Main[[#This Row],[Tech Start Date]]&lt;1/1/1990,"",IF(Main[[#This Row],[Class]]="C",WORKDAY(Main[[#This Row],[Tech Start Date]],28),IF(Main[[#This Row],[Class]]="B", WORKDAY(Main[[#This Row],[Tech Start Date]],19),IF(Main[[#This Row],[Class]]="A",WORKDAY(Main[[#This Row],[Tech Start Date]],9),""))))</f>
        <v/>
      </c>
      <c r="Q1282" s="67">
        <v>40999</v>
      </c>
      <c r="R1282" s="67"/>
      <c r="S1282" s="65" t="s">
        <v>6</v>
      </c>
      <c r="T1282" s="70" t="s">
        <v>4</v>
      </c>
      <c r="U1282" s="65" t="s">
        <v>29</v>
      </c>
      <c r="V1282" s="65" t="s">
        <v>1917</v>
      </c>
      <c r="W1282" s="65" t="s">
        <v>1918</v>
      </c>
      <c r="X1282" s="65" t="s">
        <v>81</v>
      </c>
      <c r="Y1282" s="65" t="s">
        <v>2969</v>
      </c>
      <c r="Z1282" s="65" t="s">
        <v>81</v>
      </c>
      <c r="AA1282" s="65" t="s">
        <v>81</v>
      </c>
    </row>
    <row r="1283" spans="1:27" ht="17.45" hidden="1" customHeight="1">
      <c r="A1283" s="100" t="str">
        <f>IF(priority(Main[[#This Row],[Comments]])&lt;&gt;0, priority(Main[[#This Row],[Comments]]),"")</f>
        <v/>
      </c>
      <c r="B1283" s="77" t="s">
        <v>1894</v>
      </c>
      <c r="C1283" s="65" t="s">
        <v>4</v>
      </c>
      <c r="D1283" s="66" t="s">
        <v>3704</v>
      </c>
      <c r="E1283" s="67">
        <v>40203.692094907405</v>
      </c>
      <c r="F1283" s="67"/>
      <c r="G1283" s="64" t="str">
        <f>IF(stdProdLT(Main[[#This Row],[Comments]])=0.1,"N/A",IF(stdProdLT(Main[[#This Row],[Comments]])=0,"",stdProdLT(Main[[#This Row],[Comments]])))</f>
        <v/>
      </c>
      <c r="H1283" s="68" t="str">
        <f>IF(AND(Main[[#This Row],[In Stock Date]]&lt;&gt;"",Main[[#This Row],[Revised Due Date]]&lt;&gt;""),Main[[#This Row],[In Stock Date]]-Main[[#This Row],[Revised Due Date]],"")</f>
        <v/>
      </c>
      <c r="I1283" s="65" t="s">
        <v>886</v>
      </c>
      <c r="J1283" s="65" t="s">
        <v>28</v>
      </c>
      <c r="K1283" s="65" t="s">
        <v>1926</v>
      </c>
      <c r="L1283" s="67"/>
      <c r="M1283" s="69" t="str">
        <f>IF(Main[[#This Row],[Tech Start Date]]&lt;1/1/1990,"",IF(Main[[#This Row],[Class]]="C",WORKDAY(Main[[#This Row],[Tech Start Date]],9),IF(Main[[#This Row],[Class]]="B", WORKDAY(Main[[#This Row],[Tech Start Date]],6),IF(Main[[#This Row],[Class]]="A",WORKDAY(Main[[#This Row],[Tech Start Date]],2),""))))</f>
        <v/>
      </c>
      <c r="N1283" s="69" t="str">
        <f>IF(Main[[#This Row],[Tech Start Date]]&lt;1/1/1990,"",IF(Main[[#This Row],[Class]]="C",WORKDAY(Main[[#This Row],[Tech Start Date]],19),IF(Main[[#This Row],[Class]]="B", WORKDAY(Main[[#This Row],[Tech Start Date]],12),IF(Main[[#This Row],[Class]]="A",WORKDAY(Main[[#This Row],[Tech Start Date]],4),""))))</f>
        <v/>
      </c>
      <c r="O1283" s="69" t="str">
        <f>IF(Main[[#This Row],[Tech Start Date]]&lt;1/1/1990,"",IF(Main[[#This Row],[Class]]="C",WORKDAY(Main[[#This Row],[Tech Start Date]],23),IF(Main[[#This Row],[Class]]="B", WORKDAY(Main[[#This Row],[Tech Start Date]],15),IF(Main[[#This Row],[Class]]="A",WORKDAY(Main[[#This Row],[Tech Start Date]],5),""))))</f>
        <v/>
      </c>
      <c r="P1283" s="69" t="str">
        <f>IF(Main[[#This Row],[Tech Start Date]]&lt;1/1/1990,"",IF(Main[[#This Row],[Class]]="C",WORKDAY(Main[[#This Row],[Tech Start Date]],28),IF(Main[[#This Row],[Class]]="B", WORKDAY(Main[[#This Row],[Tech Start Date]],19),IF(Main[[#This Row],[Class]]="A",WORKDAY(Main[[#This Row],[Tech Start Date]],9),""))))</f>
        <v/>
      </c>
      <c r="Q1283" s="67">
        <v>40724</v>
      </c>
      <c r="R1283" s="67">
        <v>41152</v>
      </c>
      <c r="S1283" s="65" t="s">
        <v>17</v>
      </c>
      <c r="T1283" s="70" t="s">
        <v>2463</v>
      </c>
      <c r="U1283" s="65" t="s">
        <v>29</v>
      </c>
      <c r="V1283" s="65" t="s">
        <v>1914</v>
      </c>
      <c r="W1283" s="65" t="s">
        <v>1919</v>
      </c>
      <c r="X1283" s="65" t="s">
        <v>129</v>
      </c>
      <c r="Y1283" s="65" t="s">
        <v>2933</v>
      </c>
      <c r="Z1283" s="65" t="s">
        <v>129</v>
      </c>
      <c r="AA1283" s="65" t="s">
        <v>129</v>
      </c>
    </row>
    <row r="1284" spans="1:27" ht="17.45" customHeight="1">
      <c r="A1284" s="100">
        <f>IF(priority(Main[[#This Row],[Comments]])&lt;&gt;0, priority(Main[[#This Row],[Comments]]),"")</f>
        <v>17</v>
      </c>
      <c r="B1284" s="77" t="s">
        <v>3573</v>
      </c>
      <c r="C1284" s="65" t="s">
        <v>3522</v>
      </c>
      <c r="D1284" s="66" t="s">
        <v>3850</v>
      </c>
      <c r="E1284" s="67">
        <v>40946.686157407406</v>
      </c>
      <c r="F1284" s="67">
        <v>41122</v>
      </c>
      <c r="G1284" s="64">
        <f>IF(stdProdLT(Main[[#This Row],[Comments]])=0.1,"N/A",IF(stdProdLT(Main[[#This Row],[Comments]])=0,"",stdProdLT(Main[[#This Row],[Comments]])))</f>
        <v>126</v>
      </c>
      <c r="H1284" s="68">
        <f>IF(AND(Main[[#This Row],[In Stock Date]]&lt;&gt;"",Main[[#This Row],[Revised Due Date]]&lt;&gt;""),Main[[#This Row],[In Stock Date]]-Main[[#This Row],[Revised Due Date]],"")</f>
        <v>140</v>
      </c>
      <c r="I1284" s="65" t="s">
        <v>912</v>
      </c>
      <c r="J1284" s="65" t="s">
        <v>52</v>
      </c>
      <c r="K1284" s="65" t="s">
        <v>1921</v>
      </c>
      <c r="L1284" s="67">
        <v>40948</v>
      </c>
      <c r="M1284" s="69">
        <f>IF(Main[[#This Row],[Tech Start Date]]&lt;1/1/1990,"",IF(Main[[#This Row],[Class]]="C",WORKDAY(Main[[#This Row],[Tech Start Date]],9),IF(Main[[#This Row],[Class]]="B", WORKDAY(Main[[#This Row],[Tech Start Date]],6),IF(Main[[#This Row],[Class]]="A",WORKDAY(Main[[#This Row],[Tech Start Date]],2),""))))</f>
        <v>40956</v>
      </c>
      <c r="N1284" s="69">
        <f>IF(Main[[#This Row],[Tech Start Date]]&lt;1/1/1990,"",IF(Main[[#This Row],[Class]]="C",WORKDAY(Main[[#This Row],[Tech Start Date]],19),IF(Main[[#This Row],[Class]]="B", WORKDAY(Main[[#This Row],[Tech Start Date]],12),IF(Main[[#This Row],[Class]]="A",WORKDAY(Main[[#This Row],[Tech Start Date]],4),""))))</f>
        <v>40966</v>
      </c>
      <c r="O1284" s="69">
        <f>IF(Main[[#This Row],[Tech Start Date]]&lt;1/1/1990,"",IF(Main[[#This Row],[Class]]="C",WORKDAY(Main[[#This Row],[Tech Start Date]],23),IF(Main[[#This Row],[Class]]="B", WORKDAY(Main[[#This Row],[Tech Start Date]],15),IF(Main[[#This Row],[Class]]="A",WORKDAY(Main[[#This Row],[Tech Start Date]],5),""))))</f>
        <v>40969</v>
      </c>
      <c r="P1284" s="69">
        <f>IF(Main[[#This Row],[Tech Start Date]]&lt;1/1/1990,"",IF(Main[[#This Row],[Class]]="C",WORKDAY(Main[[#This Row],[Tech Start Date]],28),IF(Main[[#This Row],[Class]]="B", WORKDAY(Main[[#This Row],[Tech Start Date]],19),IF(Main[[#This Row],[Class]]="A",WORKDAY(Main[[#This Row],[Tech Start Date]],9),""))))</f>
        <v>40975</v>
      </c>
      <c r="Q1284" s="67"/>
      <c r="R1284" s="67">
        <v>40982</v>
      </c>
      <c r="S1284" s="65" t="s">
        <v>11</v>
      </c>
      <c r="T1284" s="70" t="s">
        <v>3851</v>
      </c>
      <c r="U1284" s="65" t="s">
        <v>29</v>
      </c>
      <c r="V1284" s="65" t="s">
        <v>1914</v>
      </c>
      <c r="W1284" s="65" t="s">
        <v>1920</v>
      </c>
      <c r="X1284" s="65" t="s">
        <v>2839</v>
      </c>
      <c r="Y1284" s="65" t="s">
        <v>2970</v>
      </c>
      <c r="Z1284" s="65" t="s">
        <v>129</v>
      </c>
      <c r="AA1284" s="65" t="s">
        <v>2839</v>
      </c>
    </row>
    <row r="1285" spans="1:27" ht="17.45" hidden="1" customHeight="1">
      <c r="A1285" s="100" t="str">
        <f>IF(priority(Main[[#This Row],[Comments]])&lt;&gt;0, priority(Main[[#This Row],[Comments]]),"")</f>
        <v/>
      </c>
      <c r="B1285" s="77" t="s">
        <v>1893</v>
      </c>
      <c r="C1285" s="65" t="s">
        <v>4</v>
      </c>
      <c r="D1285" s="66" t="s">
        <v>948</v>
      </c>
      <c r="E1285" s="67">
        <v>40112.566631944443</v>
      </c>
      <c r="F1285" s="67"/>
      <c r="G1285" s="64" t="str">
        <f>IF(stdProdLT(Main[[#This Row],[Comments]])=0.1,"N/A",IF(stdProdLT(Main[[#This Row],[Comments]])=0,"",stdProdLT(Main[[#This Row],[Comments]])))</f>
        <v/>
      </c>
      <c r="H1285" s="68" t="str">
        <f>IF(AND(Main[[#This Row],[In Stock Date]]&lt;&gt;"",Main[[#This Row],[Revised Due Date]]&lt;&gt;""),Main[[#This Row],[In Stock Date]]-Main[[#This Row],[Revised Due Date]],"")</f>
        <v/>
      </c>
      <c r="I1285" s="65" t="s">
        <v>898</v>
      </c>
      <c r="J1285" s="65" t="s">
        <v>4</v>
      </c>
      <c r="K1285" s="65" t="s">
        <v>1926</v>
      </c>
      <c r="L1285" s="67"/>
      <c r="M1285" s="69" t="str">
        <f>IF(Main[[#This Row],[Tech Start Date]]&lt;1/1/1990,"",IF(Main[[#This Row],[Class]]="C",WORKDAY(Main[[#This Row],[Tech Start Date]],9),IF(Main[[#This Row],[Class]]="B", WORKDAY(Main[[#This Row],[Tech Start Date]],6),IF(Main[[#This Row],[Class]]="A",WORKDAY(Main[[#This Row],[Tech Start Date]],2),""))))</f>
        <v/>
      </c>
      <c r="N1285" s="69" t="str">
        <f>IF(Main[[#This Row],[Tech Start Date]]&lt;1/1/1990,"",IF(Main[[#This Row],[Class]]="C",WORKDAY(Main[[#This Row],[Tech Start Date]],19),IF(Main[[#This Row],[Class]]="B", WORKDAY(Main[[#This Row],[Tech Start Date]],12),IF(Main[[#This Row],[Class]]="A",WORKDAY(Main[[#This Row],[Tech Start Date]],4),""))))</f>
        <v/>
      </c>
      <c r="O1285" s="69" t="str">
        <f>IF(Main[[#This Row],[Tech Start Date]]&lt;1/1/1990,"",IF(Main[[#This Row],[Class]]="C",WORKDAY(Main[[#This Row],[Tech Start Date]],23),IF(Main[[#This Row],[Class]]="B", WORKDAY(Main[[#This Row],[Tech Start Date]],15),IF(Main[[#This Row],[Class]]="A",WORKDAY(Main[[#This Row],[Tech Start Date]],5),""))))</f>
        <v/>
      </c>
      <c r="P1285" s="69" t="str">
        <f>IF(Main[[#This Row],[Tech Start Date]]&lt;1/1/1990,"",IF(Main[[#This Row],[Class]]="C",WORKDAY(Main[[#This Row],[Tech Start Date]],28),IF(Main[[#This Row],[Class]]="B", WORKDAY(Main[[#This Row],[Tech Start Date]],19),IF(Main[[#This Row],[Class]]="A",WORKDAY(Main[[#This Row],[Tech Start Date]],9),""))))</f>
        <v/>
      </c>
      <c r="Q1285" s="67">
        <v>40564</v>
      </c>
      <c r="R1285" s="67">
        <v>41264</v>
      </c>
      <c r="S1285" s="65" t="s">
        <v>17</v>
      </c>
      <c r="T1285" s="70" t="s">
        <v>4</v>
      </c>
      <c r="U1285" s="65" t="s">
        <v>29</v>
      </c>
      <c r="V1285" s="65" t="s">
        <v>1917</v>
      </c>
      <c r="W1285" s="65" t="s">
        <v>1919</v>
      </c>
      <c r="X1285" s="65" t="s">
        <v>968</v>
      </c>
      <c r="Y1285" s="65" t="s">
        <v>3115</v>
      </c>
      <c r="Z1285" s="65" t="s">
        <v>415</v>
      </c>
      <c r="AA1285" s="65" t="s">
        <v>968</v>
      </c>
    </row>
    <row r="1286" spans="1:27" ht="17.45" hidden="1" customHeight="1">
      <c r="A1286" s="100" t="str">
        <f>IF(priority(Main[[#This Row],[Comments]])&lt;&gt;0, priority(Main[[#This Row],[Comments]]),"")</f>
        <v/>
      </c>
      <c r="B1286" s="77" t="s">
        <v>2604</v>
      </c>
      <c r="C1286" s="65" t="s">
        <v>2354</v>
      </c>
      <c r="D1286" s="66" t="s">
        <v>2355</v>
      </c>
      <c r="E1286" s="67"/>
      <c r="F1286" s="67">
        <v>41036</v>
      </c>
      <c r="G1286" s="64" t="str">
        <f>IF(stdProdLT(Main[[#This Row],[Comments]])=0.1,"N/A",IF(stdProdLT(Main[[#This Row],[Comments]])=0,"",stdProdLT(Main[[#This Row],[Comments]])))</f>
        <v/>
      </c>
      <c r="H1286" s="68" t="str">
        <f>IF(AND(Main[[#This Row],[In Stock Date]]&lt;&gt;"",Main[[#This Row],[Revised Due Date]]&lt;&gt;""),Main[[#This Row],[In Stock Date]]-Main[[#This Row],[Revised Due Date]],"")</f>
        <v/>
      </c>
      <c r="I1286" s="65" t="s">
        <v>4</v>
      </c>
      <c r="J1286" s="65" t="s">
        <v>4</v>
      </c>
      <c r="K1286" s="71" t="s">
        <v>4</v>
      </c>
      <c r="L1286" s="67"/>
      <c r="M1286" s="69" t="str">
        <f>IF(Main[[#This Row],[Tech Start Date]]&lt;1/1/1990,"",IF(Main[[#This Row],[Class]]="C",WORKDAY(Main[[#This Row],[Tech Start Date]],9),IF(Main[[#This Row],[Class]]="B", WORKDAY(Main[[#This Row],[Tech Start Date]],6),IF(Main[[#This Row],[Class]]="A",WORKDAY(Main[[#This Row],[Tech Start Date]],2),""))))</f>
        <v/>
      </c>
      <c r="N1286" s="69" t="str">
        <f>IF(Main[[#This Row],[Tech Start Date]]&lt;1/1/1990,"",IF(Main[[#This Row],[Class]]="C",WORKDAY(Main[[#This Row],[Tech Start Date]],19),IF(Main[[#This Row],[Class]]="B", WORKDAY(Main[[#This Row],[Tech Start Date]],12),IF(Main[[#This Row],[Class]]="A",WORKDAY(Main[[#This Row],[Tech Start Date]],4),""))))</f>
        <v/>
      </c>
      <c r="O1286" s="69" t="str">
        <f>IF(Main[[#This Row],[Tech Start Date]]&lt;1/1/1990,"",IF(Main[[#This Row],[Class]]="C",WORKDAY(Main[[#This Row],[Tech Start Date]],23),IF(Main[[#This Row],[Class]]="B", WORKDAY(Main[[#This Row],[Tech Start Date]],15),IF(Main[[#This Row],[Class]]="A",WORKDAY(Main[[#This Row],[Tech Start Date]],5),""))))</f>
        <v/>
      </c>
      <c r="P1286" s="69" t="str">
        <f>IF(Main[[#This Row],[Tech Start Date]]&lt;1/1/1990,"",IF(Main[[#This Row],[Class]]="C",WORKDAY(Main[[#This Row],[Tech Start Date]],28),IF(Main[[#This Row],[Class]]="B", WORKDAY(Main[[#This Row],[Tech Start Date]],19),IF(Main[[#This Row],[Class]]="A",WORKDAY(Main[[#This Row],[Tech Start Date]],9),""))))</f>
        <v/>
      </c>
      <c r="Q1286" s="67">
        <v>40854</v>
      </c>
      <c r="R1286" s="67"/>
      <c r="S1286" s="65" t="s">
        <v>11</v>
      </c>
      <c r="T1286" s="70" t="s">
        <v>4</v>
      </c>
      <c r="U1286" s="65" t="s">
        <v>12</v>
      </c>
      <c r="V1286" s="65" t="s">
        <v>1917</v>
      </c>
      <c r="W1286" s="65" t="s">
        <v>1920</v>
      </c>
      <c r="X1286" s="65" t="s">
        <v>2843</v>
      </c>
      <c r="Y1286" s="65" t="s">
        <v>4</v>
      </c>
      <c r="Z1286" s="65" t="s">
        <v>4</v>
      </c>
      <c r="AA1286" s="65" t="s">
        <v>2843</v>
      </c>
    </row>
    <row r="1287" spans="1:27" ht="17.45" hidden="1" customHeight="1">
      <c r="A1287" s="100" t="str">
        <f>IF(priority(Main[[#This Row],[Comments]])&lt;&gt;0, priority(Main[[#This Row],[Comments]]),"")</f>
        <v/>
      </c>
      <c r="B1287" s="77" t="s">
        <v>2244</v>
      </c>
      <c r="C1287" s="65" t="s">
        <v>2245</v>
      </c>
      <c r="D1287" s="66" t="s">
        <v>2246</v>
      </c>
      <c r="E1287" s="67"/>
      <c r="F1287" s="67"/>
      <c r="G1287" s="64" t="str">
        <f>IF(stdProdLT(Main[[#This Row],[Comments]])=0.1,"N/A",IF(stdProdLT(Main[[#This Row],[Comments]])=0,"",stdProdLT(Main[[#This Row],[Comments]])))</f>
        <v/>
      </c>
      <c r="H1287" s="68" t="str">
        <f>IF(AND(Main[[#This Row],[In Stock Date]]&lt;&gt;"",Main[[#This Row],[Revised Due Date]]&lt;&gt;""),Main[[#This Row],[In Stock Date]]-Main[[#This Row],[Revised Due Date]],"")</f>
        <v/>
      </c>
      <c r="I1287" s="65" t="s">
        <v>2206</v>
      </c>
      <c r="J1287" s="65" t="s">
        <v>4</v>
      </c>
      <c r="K1287" s="65" t="s">
        <v>1923</v>
      </c>
      <c r="L1287" s="67">
        <v>37622</v>
      </c>
      <c r="M1287" s="69">
        <f>IF(Main[[#This Row],[Tech Start Date]]&lt;1/1/1990,"",IF(Main[[#This Row],[Class]]="C",WORKDAY(Main[[#This Row],[Tech Start Date]],9),IF(Main[[#This Row],[Class]]="B", WORKDAY(Main[[#This Row],[Tech Start Date]],6),IF(Main[[#This Row],[Class]]="A",WORKDAY(Main[[#This Row],[Tech Start Date]],2),""))))</f>
        <v>37624</v>
      </c>
      <c r="N1287" s="69">
        <f>IF(Main[[#This Row],[Tech Start Date]]&lt;1/1/1990,"",IF(Main[[#This Row],[Class]]="C",WORKDAY(Main[[#This Row],[Tech Start Date]],19),IF(Main[[#This Row],[Class]]="B", WORKDAY(Main[[#This Row],[Tech Start Date]],12),IF(Main[[#This Row],[Class]]="A",WORKDAY(Main[[#This Row],[Tech Start Date]],4),""))))</f>
        <v>37628</v>
      </c>
      <c r="O1287" s="69">
        <f>IF(Main[[#This Row],[Tech Start Date]]&lt;1/1/1990,"",IF(Main[[#This Row],[Class]]="C",WORKDAY(Main[[#This Row],[Tech Start Date]],23),IF(Main[[#This Row],[Class]]="B", WORKDAY(Main[[#This Row],[Tech Start Date]],15),IF(Main[[#This Row],[Class]]="A",WORKDAY(Main[[#This Row],[Tech Start Date]],5),""))))</f>
        <v>37629</v>
      </c>
      <c r="P1287" s="69">
        <f>IF(Main[[#This Row],[Tech Start Date]]&lt;1/1/1990,"",IF(Main[[#This Row],[Class]]="C",WORKDAY(Main[[#This Row],[Tech Start Date]],28),IF(Main[[#This Row],[Class]]="B", WORKDAY(Main[[#This Row],[Tech Start Date]],19),IF(Main[[#This Row],[Class]]="A",WORKDAY(Main[[#This Row],[Tech Start Date]],9),""))))</f>
        <v>37635</v>
      </c>
      <c r="Q1287" s="67"/>
      <c r="R1287" s="67">
        <v>37623</v>
      </c>
      <c r="S1287" s="65" t="s">
        <v>11</v>
      </c>
      <c r="T1287" s="70" t="s">
        <v>4</v>
      </c>
      <c r="U1287" s="65" t="s">
        <v>14</v>
      </c>
      <c r="V1287" s="65" t="s">
        <v>1929</v>
      </c>
      <c r="W1287" s="65" t="s">
        <v>1922</v>
      </c>
      <c r="X1287" s="65" t="s">
        <v>2914</v>
      </c>
      <c r="Y1287" s="65" t="s">
        <v>3141</v>
      </c>
      <c r="Z1287" s="65" t="s">
        <v>4</v>
      </c>
      <c r="AA1287" s="65" t="s">
        <v>3470</v>
      </c>
    </row>
    <row r="1288" spans="1:27" ht="17.45" hidden="1" customHeight="1">
      <c r="A1288" s="100" t="str">
        <f>IF(priority(Main[[#This Row],[Comments]])&lt;&gt;0, priority(Main[[#This Row],[Comments]]),"")</f>
        <v/>
      </c>
      <c r="B1288" s="77" t="s">
        <v>2282</v>
      </c>
      <c r="C1288" s="65" t="s">
        <v>2204</v>
      </c>
      <c r="D1288" s="66" t="s">
        <v>2205</v>
      </c>
      <c r="E1288" s="67">
        <v>40813.570081018515</v>
      </c>
      <c r="F1288" s="67"/>
      <c r="G1288" s="64" t="str">
        <f>IF(stdProdLT(Main[[#This Row],[Comments]])=0.1,"N/A",IF(stdProdLT(Main[[#This Row],[Comments]])=0,"",stdProdLT(Main[[#This Row],[Comments]])))</f>
        <v/>
      </c>
      <c r="H1288" s="68" t="str">
        <f>IF(AND(Main[[#This Row],[In Stock Date]]&lt;&gt;"",Main[[#This Row],[Revised Due Date]]&lt;&gt;""),Main[[#This Row],[In Stock Date]]-Main[[#This Row],[Revised Due Date]],"")</f>
        <v/>
      </c>
      <c r="I1288" s="65" t="s">
        <v>2206</v>
      </c>
      <c r="J1288" s="65" t="s">
        <v>4</v>
      </c>
      <c r="K1288" s="65" t="s">
        <v>1923</v>
      </c>
      <c r="L1288" s="67">
        <v>37622</v>
      </c>
      <c r="M1288" s="69">
        <f>IF(Main[[#This Row],[Tech Start Date]]&lt;1/1/1990,"",IF(Main[[#This Row],[Class]]="C",WORKDAY(Main[[#This Row],[Tech Start Date]],9),IF(Main[[#This Row],[Class]]="B", WORKDAY(Main[[#This Row],[Tech Start Date]],6),IF(Main[[#This Row],[Class]]="A",WORKDAY(Main[[#This Row],[Tech Start Date]],2),""))))</f>
        <v>37624</v>
      </c>
      <c r="N1288" s="69">
        <f>IF(Main[[#This Row],[Tech Start Date]]&lt;1/1/1990,"",IF(Main[[#This Row],[Class]]="C",WORKDAY(Main[[#This Row],[Tech Start Date]],19),IF(Main[[#This Row],[Class]]="B", WORKDAY(Main[[#This Row],[Tech Start Date]],12),IF(Main[[#This Row],[Class]]="A",WORKDAY(Main[[#This Row],[Tech Start Date]],4),""))))</f>
        <v>37628</v>
      </c>
      <c r="O1288" s="69">
        <f>IF(Main[[#This Row],[Tech Start Date]]&lt;1/1/1990,"",IF(Main[[#This Row],[Class]]="C",WORKDAY(Main[[#This Row],[Tech Start Date]],23),IF(Main[[#This Row],[Class]]="B", WORKDAY(Main[[#This Row],[Tech Start Date]],15),IF(Main[[#This Row],[Class]]="A",WORKDAY(Main[[#This Row],[Tech Start Date]],5),""))))</f>
        <v>37629</v>
      </c>
      <c r="P1288" s="69">
        <f>IF(Main[[#This Row],[Tech Start Date]]&lt;1/1/1990,"",IF(Main[[#This Row],[Class]]="C",WORKDAY(Main[[#This Row],[Tech Start Date]],28),IF(Main[[#This Row],[Class]]="B", WORKDAY(Main[[#This Row],[Tech Start Date]],19),IF(Main[[#This Row],[Class]]="A",WORKDAY(Main[[#This Row],[Tech Start Date]],9),""))))</f>
        <v>37635</v>
      </c>
      <c r="Q1288" s="67"/>
      <c r="R1288" s="67">
        <v>37623</v>
      </c>
      <c r="S1288" s="65" t="s">
        <v>11</v>
      </c>
      <c r="T1288" s="70" t="s">
        <v>4</v>
      </c>
      <c r="U1288" s="65" t="s">
        <v>29</v>
      </c>
      <c r="V1288" s="65" t="s">
        <v>2283</v>
      </c>
      <c r="W1288" s="65" t="s">
        <v>1922</v>
      </c>
      <c r="X1288" s="65" t="s">
        <v>2206</v>
      </c>
      <c r="Y1288" s="65" t="s">
        <v>3141</v>
      </c>
      <c r="Z1288" s="65" t="s">
        <v>4</v>
      </c>
      <c r="AA1288" s="65" t="s">
        <v>3470</v>
      </c>
    </row>
    <row r="1289" spans="1:27" ht="17.45" hidden="1" customHeight="1">
      <c r="A1289" s="100" t="str">
        <f>IF(priority(Main[[#This Row],[Comments]])&lt;&gt;0, priority(Main[[#This Row],[Comments]]),"")</f>
        <v/>
      </c>
      <c r="B1289" s="77" t="s">
        <v>2243</v>
      </c>
      <c r="C1289" s="65" t="s">
        <v>2204</v>
      </c>
      <c r="D1289" s="66" t="s">
        <v>2205</v>
      </c>
      <c r="E1289" s="67"/>
      <c r="F1289" s="67"/>
      <c r="G1289" s="64" t="str">
        <f>IF(stdProdLT(Main[[#This Row],[Comments]])=0.1,"N/A",IF(stdProdLT(Main[[#This Row],[Comments]])=0,"",stdProdLT(Main[[#This Row],[Comments]])))</f>
        <v/>
      </c>
      <c r="H1289" s="68" t="str">
        <f>IF(AND(Main[[#This Row],[In Stock Date]]&lt;&gt;"",Main[[#This Row],[Revised Due Date]]&lt;&gt;""),Main[[#This Row],[In Stock Date]]-Main[[#This Row],[Revised Due Date]],"")</f>
        <v/>
      </c>
      <c r="I1289" s="65" t="s">
        <v>2206</v>
      </c>
      <c r="J1289" s="65" t="s">
        <v>4</v>
      </c>
      <c r="K1289" s="65" t="s">
        <v>1923</v>
      </c>
      <c r="L1289" s="67">
        <v>37622</v>
      </c>
      <c r="M1289" s="69">
        <f>IF(Main[[#This Row],[Tech Start Date]]&lt;1/1/1990,"",IF(Main[[#This Row],[Class]]="C",WORKDAY(Main[[#This Row],[Tech Start Date]],9),IF(Main[[#This Row],[Class]]="B", WORKDAY(Main[[#This Row],[Tech Start Date]],6),IF(Main[[#This Row],[Class]]="A",WORKDAY(Main[[#This Row],[Tech Start Date]],2),""))))</f>
        <v>37624</v>
      </c>
      <c r="N1289" s="69">
        <f>IF(Main[[#This Row],[Tech Start Date]]&lt;1/1/1990,"",IF(Main[[#This Row],[Class]]="C",WORKDAY(Main[[#This Row],[Tech Start Date]],19),IF(Main[[#This Row],[Class]]="B", WORKDAY(Main[[#This Row],[Tech Start Date]],12),IF(Main[[#This Row],[Class]]="A",WORKDAY(Main[[#This Row],[Tech Start Date]],4),""))))</f>
        <v>37628</v>
      </c>
      <c r="O1289" s="69">
        <f>IF(Main[[#This Row],[Tech Start Date]]&lt;1/1/1990,"",IF(Main[[#This Row],[Class]]="C",WORKDAY(Main[[#This Row],[Tech Start Date]],23),IF(Main[[#This Row],[Class]]="B", WORKDAY(Main[[#This Row],[Tech Start Date]],15),IF(Main[[#This Row],[Class]]="A",WORKDAY(Main[[#This Row],[Tech Start Date]],5),""))))</f>
        <v>37629</v>
      </c>
      <c r="P1289" s="69">
        <f>IF(Main[[#This Row],[Tech Start Date]]&lt;1/1/1990,"",IF(Main[[#This Row],[Class]]="C",WORKDAY(Main[[#This Row],[Tech Start Date]],28),IF(Main[[#This Row],[Class]]="B", WORKDAY(Main[[#This Row],[Tech Start Date]],19),IF(Main[[#This Row],[Class]]="A",WORKDAY(Main[[#This Row],[Tech Start Date]],9),""))))</f>
        <v>37635</v>
      </c>
      <c r="Q1289" s="67"/>
      <c r="R1289" s="67">
        <v>37623</v>
      </c>
      <c r="S1289" s="65" t="s">
        <v>11</v>
      </c>
      <c r="T1289" s="70" t="s">
        <v>4</v>
      </c>
      <c r="U1289" s="65" t="s">
        <v>14</v>
      </c>
      <c r="V1289" s="65" t="s">
        <v>1929</v>
      </c>
      <c r="W1289" s="65" t="s">
        <v>1922</v>
      </c>
      <c r="X1289" s="65" t="s">
        <v>2206</v>
      </c>
      <c r="Y1289" s="65" t="s">
        <v>3141</v>
      </c>
      <c r="Z1289" s="65" t="s">
        <v>4</v>
      </c>
      <c r="AA1289" s="65" t="s">
        <v>3470</v>
      </c>
    </row>
    <row r="1290" spans="1:27" ht="17.45" hidden="1" customHeight="1">
      <c r="A1290" s="12" t="str">
        <f>IF(priority(Main[[#This Row],[Comments]])&lt;&gt;0, priority(Main[[#This Row],[Comments]]),"")</f>
        <v/>
      </c>
      <c r="B1290" s="77" t="s">
        <v>2203</v>
      </c>
      <c r="C1290" s="63" t="s">
        <v>2204</v>
      </c>
      <c r="D1290" s="72" t="s">
        <v>2205</v>
      </c>
      <c r="E1290" s="73"/>
      <c r="F1290" s="73"/>
      <c r="G1290" s="63" t="str">
        <f>IF(stdProdLT(Main[[#This Row],[Comments]])=0.1,"N/A",IF(stdProdLT(Main[[#This Row],[Comments]])=0,"",stdProdLT(Main[[#This Row],[Comments]])))</f>
        <v/>
      </c>
      <c r="H1290" s="74" t="str">
        <f>IF(AND(Main[[#This Row],[In Stock Date]]&lt;&gt;"",Main[[#This Row],[Revised Due Date]]&lt;&gt;""),Main[[#This Row],[In Stock Date]]-Main[[#This Row],[Revised Due Date]],"")</f>
        <v/>
      </c>
      <c r="I1290" s="63" t="s">
        <v>2206</v>
      </c>
      <c r="J1290" s="63" t="s">
        <v>4</v>
      </c>
      <c r="K1290" s="63" t="s">
        <v>1923</v>
      </c>
      <c r="L1290" s="73">
        <v>37622</v>
      </c>
      <c r="M1290" s="69">
        <f>IF(Main[[#This Row],[Tech Start Date]]&lt;1/1/1990,"",IF(Main[[#This Row],[Class]]="C",WORKDAY(Main[[#This Row],[Tech Start Date]],9),IF(Main[[#This Row],[Class]]="B", WORKDAY(Main[[#This Row],[Tech Start Date]],6),IF(Main[[#This Row],[Class]]="A",WORKDAY(Main[[#This Row],[Tech Start Date]],2),""))))</f>
        <v>37624</v>
      </c>
      <c r="N1290" s="69">
        <f>IF(Main[[#This Row],[Tech Start Date]]&lt;1/1/1990,"",IF(Main[[#This Row],[Class]]="C",WORKDAY(Main[[#This Row],[Tech Start Date]],19),IF(Main[[#This Row],[Class]]="B", WORKDAY(Main[[#This Row],[Tech Start Date]],12),IF(Main[[#This Row],[Class]]="A",WORKDAY(Main[[#This Row],[Tech Start Date]],4),""))))</f>
        <v>37628</v>
      </c>
      <c r="O1290" s="69">
        <f>IF(Main[[#This Row],[Tech Start Date]]&lt;1/1/1990,"",IF(Main[[#This Row],[Class]]="C",WORKDAY(Main[[#This Row],[Tech Start Date]],23),IF(Main[[#This Row],[Class]]="B", WORKDAY(Main[[#This Row],[Tech Start Date]],15),IF(Main[[#This Row],[Class]]="A",WORKDAY(Main[[#This Row],[Tech Start Date]],5),""))))</f>
        <v>37629</v>
      </c>
      <c r="P1290" s="69">
        <f>IF(Main[[#This Row],[Tech Start Date]]&lt;1/1/1990,"",IF(Main[[#This Row],[Class]]="C",WORKDAY(Main[[#This Row],[Tech Start Date]],28),IF(Main[[#This Row],[Class]]="B", WORKDAY(Main[[#This Row],[Tech Start Date]],19),IF(Main[[#This Row],[Class]]="A",WORKDAY(Main[[#This Row],[Tech Start Date]],9),""))))</f>
        <v>37635</v>
      </c>
      <c r="Q1290" s="73"/>
      <c r="R1290" s="73">
        <v>37623</v>
      </c>
      <c r="S1290" s="63" t="s">
        <v>11</v>
      </c>
      <c r="T1290" s="75" t="s">
        <v>4</v>
      </c>
      <c r="U1290" s="63" t="s">
        <v>14</v>
      </c>
      <c r="V1290" s="63" t="s">
        <v>1929</v>
      </c>
      <c r="W1290" s="63" t="s">
        <v>1922</v>
      </c>
      <c r="X1290" s="63" t="s">
        <v>2206</v>
      </c>
      <c r="Y1290" s="63" t="s">
        <v>3141</v>
      </c>
      <c r="Z1290" s="63" t="s">
        <v>4</v>
      </c>
      <c r="AA1290" s="65" t="s">
        <v>3470</v>
      </c>
    </row>
    <row r="1291" spans="1:27" ht="17.45" hidden="1" customHeight="1">
      <c r="A1291" s="100" t="str">
        <f>IF(priority(Main[[#This Row],[Comments]])&lt;&gt;0, priority(Main[[#This Row],[Comments]]),"")</f>
        <v/>
      </c>
      <c r="B1291" s="77" t="s">
        <v>1810</v>
      </c>
      <c r="C1291" s="65" t="s">
        <v>855</v>
      </c>
      <c r="D1291" s="66" t="s">
        <v>859</v>
      </c>
      <c r="E1291" s="67">
        <v>40085.252314814818</v>
      </c>
      <c r="F1291" s="67">
        <v>40421</v>
      </c>
      <c r="G1291" s="64" t="str">
        <f>IF(stdProdLT(Main[[#This Row],[Comments]])=0.1,"N/A",IF(stdProdLT(Main[[#This Row],[Comments]])=0,"",stdProdLT(Main[[#This Row],[Comments]])))</f>
        <v/>
      </c>
      <c r="H1291" s="68">
        <f>IF(AND(Main[[#This Row],[In Stock Date]]&lt;&gt;"",Main[[#This Row],[Revised Due Date]]&lt;&gt;""),Main[[#This Row],[In Stock Date]]-Main[[#This Row],[Revised Due Date]],"")</f>
        <v>193</v>
      </c>
      <c r="I1291" s="65" t="s">
        <v>852</v>
      </c>
      <c r="J1291" s="65" t="s">
        <v>4</v>
      </c>
      <c r="K1291" s="65" t="s">
        <v>1926</v>
      </c>
      <c r="L1291" s="67">
        <v>40091</v>
      </c>
      <c r="M1291" s="69" t="str">
        <f>IF(Main[[#This Row],[Tech Start Date]]&lt;1/1/1990,"",IF(Main[[#This Row],[Class]]="C",WORKDAY(Main[[#This Row],[Tech Start Date]],9),IF(Main[[#This Row],[Class]]="B", WORKDAY(Main[[#This Row],[Tech Start Date]],6),IF(Main[[#This Row],[Class]]="A",WORKDAY(Main[[#This Row],[Tech Start Date]],2),""))))</f>
        <v/>
      </c>
      <c r="N1291" s="69" t="str">
        <f>IF(Main[[#This Row],[Tech Start Date]]&lt;1/1/1990,"",IF(Main[[#This Row],[Class]]="C",WORKDAY(Main[[#This Row],[Tech Start Date]],19),IF(Main[[#This Row],[Class]]="B", WORKDAY(Main[[#This Row],[Tech Start Date]],12),IF(Main[[#This Row],[Class]]="A",WORKDAY(Main[[#This Row],[Tech Start Date]],4),""))))</f>
        <v/>
      </c>
      <c r="O1291" s="69" t="str">
        <f>IF(Main[[#This Row],[Tech Start Date]]&lt;1/1/1990,"",IF(Main[[#This Row],[Class]]="C",WORKDAY(Main[[#This Row],[Tech Start Date]],23),IF(Main[[#This Row],[Class]]="B", WORKDAY(Main[[#This Row],[Tech Start Date]],15),IF(Main[[#This Row],[Class]]="A",WORKDAY(Main[[#This Row],[Tech Start Date]],5),""))))</f>
        <v/>
      </c>
      <c r="P1291" s="69" t="str">
        <f>IF(Main[[#This Row],[Tech Start Date]]&lt;1/1/1990,"",IF(Main[[#This Row],[Class]]="C",WORKDAY(Main[[#This Row],[Tech Start Date]],28),IF(Main[[#This Row],[Class]]="B", WORKDAY(Main[[#This Row],[Tech Start Date]],19),IF(Main[[#This Row],[Class]]="A",WORKDAY(Main[[#This Row],[Tech Start Date]],9),""))))</f>
        <v/>
      </c>
      <c r="Q1291" s="67">
        <v>40239</v>
      </c>
      <c r="R1291" s="67">
        <v>40228</v>
      </c>
      <c r="S1291" s="65" t="s">
        <v>17</v>
      </c>
      <c r="T1291" s="70" t="s">
        <v>4</v>
      </c>
      <c r="U1291" s="65" t="s">
        <v>29</v>
      </c>
      <c r="V1291" s="65" t="s">
        <v>1917</v>
      </c>
      <c r="W1291" s="65" t="s">
        <v>1919</v>
      </c>
      <c r="X1291" s="65" t="s">
        <v>2915</v>
      </c>
      <c r="Y1291" s="65" t="s">
        <v>4</v>
      </c>
      <c r="Z1291" s="65" t="s">
        <v>852</v>
      </c>
      <c r="AA1291" s="65" t="s">
        <v>2915</v>
      </c>
    </row>
    <row r="1292" spans="1:27" ht="17.45" hidden="1" customHeight="1">
      <c r="A1292" s="100" t="str">
        <f>IF(priority(Main[[#This Row],[Comments]])&lt;&gt;0, priority(Main[[#This Row],[Comments]]),"")</f>
        <v/>
      </c>
      <c r="B1292" s="77" t="s">
        <v>1803</v>
      </c>
      <c r="C1292" s="65" t="s">
        <v>93</v>
      </c>
      <c r="D1292" s="66" t="s">
        <v>850</v>
      </c>
      <c r="E1292" s="67"/>
      <c r="F1292" s="67">
        <v>40238</v>
      </c>
      <c r="G1292" s="64" t="str">
        <f>IF(stdProdLT(Main[[#This Row],[Comments]])=0.1,"N/A",IF(stdProdLT(Main[[#This Row],[Comments]])=0,"",stdProdLT(Main[[#This Row],[Comments]])))</f>
        <v/>
      </c>
      <c r="H1292" s="68">
        <f>IF(AND(Main[[#This Row],[In Stock Date]]&lt;&gt;"",Main[[#This Row],[Revised Due Date]]&lt;&gt;""),Main[[#This Row],[In Stock Date]]-Main[[#This Row],[Revised Due Date]],"")</f>
        <v>81</v>
      </c>
      <c r="I1292" s="65" t="s">
        <v>44</v>
      </c>
      <c r="J1292" s="65" t="s">
        <v>4</v>
      </c>
      <c r="K1292" s="65" t="s">
        <v>4</v>
      </c>
      <c r="L1292" s="67">
        <v>40127</v>
      </c>
      <c r="M1292" s="69" t="str">
        <f>IF(Main[[#This Row],[Tech Start Date]]&lt;1/1/1990,"",IF(Main[[#This Row],[Class]]="C",WORKDAY(Main[[#This Row],[Tech Start Date]],9),IF(Main[[#This Row],[Class]]="B", WORKDAY(Main[[#This Row],[Tech Start Date]],6),IF(Main[[#This Row],[Class]]="A",WORKDAY(Main[[#This Row],[Tech Start Date]],2),""))))</f>
        <v/>
      </c>
      <c r="N1292" s="69" t="str">
        <f>IF(Main[[#This Row],[Tech Start Date]]&lt;1/1/1990,"",IF(Main[[#This Row],[Class]]="C",WORKDAY(Main[[#This Row],[Tech Start Date]],19),IF(Main[[#This Row],[Class]]="B", WORKDAY(Main[[#This Row],[Tech Start Date]],12),IF(Main[[#This Row],[Class]]="A",WORKDAY(Main[[#This Row],[Tech Start Date]],4),""))))</f>
        <v/>
      </c>
      <c r="O1292" s="69" t="str">
        <f>IF(Main[[#This Row],[Tech Start Date]]&lt;1/1/1990,"",IF(Main[[#This Row],[Class]]="C",WORKDAY(Main[[#This Row],[Tech Start Date]],23),IF(Main[[#This Row],[Class]]="B", WORKDAY(Main[[#This Row],[Tech Start Date]],15),IF(Main[[#This Row],[Class]]="A",WORKDAY(Main[[#This Row],[Tech Start Date]],5),""))))</f>
        <v/>
      </c>
      <c r="P1292" s="69" t="str">
        <f>IF(Main[[#This Row],[Tech Start Date]]&lt;1/1/1990,"",IF(Main[[#This Row],[Class]]="C",WORKDAY(Main[[#This Row],[Tech Start Date]],28),IF(Main[[#This Row],[Class]]="B", WORKDAY(Main[[#This Row],[Tech Start Date]],19),IF(Main[[#This Row],[Class]]="A",WORKDAY(Main[[#This Row],[Tech Start Date]],9),""))))</f>
        <v/>
      </c>
      <c r="Q1292" s="67">
        <v>40223</v>
      </c>
      <c r="R1292" s="67">
        <v>40157</v>
      </c>
      <c r="S1292" s="65" t="s">
        <v>11</v>
      </c>
      <c r="T1292" s="70" t="s">
        <v>4</v>
      </c>
      <c r="U1292" s="65" t="s">
        <v>14</v>
      </c>
      <c r="V1292" s="65" t="s">
        <v>1924</v>
      </c>
      <c r="W1292" s="65" t="s">
        <v>1925</v>
      </c>
      <c r="X1292" s="65" t="s">
        <v>2845</v>
      </c>
      <c r="Y1292" s="65" t="s">
        <v>4</v>
      </c>
      <c r="Z1292" s="65" t="s">
        <v>4</v>
      </c>
      <c r="AA1292" s="65" t="s">
        <v>2845</v>
      </c>
    </row>
    <row r="1293" spans="1:27" ht="17.45" hidden="1" customHeight="1">
      <c r="A1293" s="100" t="str">
        <f>IF(priority(Main[[#This Row],[Comments]])&lt;&gt;0, priority(Main[[#This Row],[Comments]]),"")</f>
        <v/>
      </c>
      <c r="B1293" s="77" t="s">
        <v>1181</v>
      </c>
      <c r="C1293" s="65" t="s">
        <v>4</v>
      </c>
      <c r="D1293" s="66" t="s">
        <v>238</v>
      </c>
      <c r="E1293" s="67"/>
      <c r="F1293" s="67"/>
      <c r="G1293" s="64" t="str">
        <f>IF(stdProdLT(Main[[#This Row],[Comments]])=0.1,"N/A",IF(stdProdLT(Main[[#This Row],[Comments]])=0,"",stdProdLT(Main[[#This Row],[Comments]])))</f>
        <v/>
      </c>
      <c r="H1293" s="68" t="str">
        <f>IF(AND(Main[[#This Row],[In Stock Date]]&lt;&gt;"",Main[[#This Row],[Revised Due Date]]&lt;&gt;""),Main[[#This Row],[In Stock Date]]-Main[[#This Row],[Revised Due Date]],"")</f>
        <v/>
      </c>
      <c r="I1293" s="65" t="s">
        <v>239</v>
      </c>
      <c r="J1293" s="65" t="s">
        <v>4</v>
      </c>
      <c r="K1293" s="65" t="s">
        <v>4</v>
      </c>
      <c r="L1293" s="67">
        <v>40134</v>
      </c>
      <c r="M1293" s="69" t="str">
        <f>IF(Main[[#This Row],[Tech Start Date]]&lt;1/1/1990,"",IF(Main[[#This Row],[Class]]="C",WORKDAY(Main[[#This Row],[Tech Start Date]],9),IF(Main[[#This Row],[Class]]="B", WORKDAY(Main[[#This Row],[Tech Start Date]],6),IF(Main[[#This Row],[Class]]="A",WORKDAY(Main[[#This Row],[Tech Start Date]],2),""))))</f>
        <v/>
      </c>
      <c r="N1293" s="69" t="str">
        <f>IF(Main[[#This Row],[Tech Start Date]]&lt;1/1/1990,"",IF(Main[[#This Row],[Class]]="C",WORKDAY(Main[[#This Row],[Tech Start Date]],19),IF(Main[[#This Row],[Class]]="B", WORKDAY(Main[[#This Row],[Tech Start Date]],12),IF(Main[[#This Row],[Class]]="A",WORKDAY(Main[[#This Row],[Tech Start Date]],4),""))))</f>
        <v/>
      </c>
      <c r="O1293" s="69" t="str">
        <f>IF(Main[[#This Row],[Tech Start Date]]&lt;1/1/1990,"",IF(Main[[#This Row],[Class]]="C",WORKDAY(Main[[#This Row],[Tech Start Date]],23),IF(Main[[#This Row],[Class]]="B", WORKDAY(Main[[#This Row],[Tech Start Date]],15),IF(Main[[#This Row],[Class]]="A",WORKDAY(Main[[#This Row],[Tech Start Date]],5),""))))</f>
        <v/>
      </c>
      <c r="P1293" s="69" t="str">
        <f>IF(Main[[#This Row],[Tech Start Date]]&lt;1/1/1990,"",IF(Main[[#This Row],[Class]]="C",WORKDAY(Main[[#This Row],[Tech Start Date]],28),IF(Main[[#This Row],[Class]]="B", WORKDAY(Main[[#This Row],[Tech Start Date]],19),IF(Main[[#This Row],[Class]]="A",WORKDAY(Main[[#This Row],[Tech Start Date]],9),""))))</f>
        <v/>
      </c>
      <c r="Q1293" s="67"/>
      <c r="R1293" s="67"/>
      <c r="S1293" s="65" t="s">
        <v>6</v>
      </c>
      <c r="T1293" s="70" t="s">
        <v>4</v>
      </c>
      <c r="U1293" s="65" t="s">
        <v>14</v>
      </c>
      <c r="V1293" s="65" t="s">
        <v>1917</v>
      </c>
      <c r="W1293" s="65" t="s">
        <v>4</v>
      </c>
      <c r="X1293" s="65" t="s">
        <v>2822</v>
      </c>
      <c r="Y1293" s="65" t="s">
        <v>3142</v>
      </c>
      <c r="Z1293" s="65" t="s">
        <v>4</v>
      </c>
      <c r="AA1293" s="65" t="s">
        <v>2822</v>
      </c>
    </row>
    <row r="1294" spans="1:27" ht="17.45" hidden="1" customHeight="1">
      <c r="A1294" s="100" t="str">
        <f>IF(priority(Main[[#This Row],[Comments]])&lt;&gt;0, priority(Main[[#This Row],[Comments]]),"")</f>
        <v/>
      </c>
      <c r="B1294" s="77" t="s">
        <v>1849</v>
      </c>
      <c r="C1294" s="65" t="s">
        <v>857</v>
      </c>
      <c r="D1294" s="66" t="s">
        <v>905</v>
      </c>
      <c r="E1294" s="67"/>
      <c r="F1294" s="67">
        <v>40305</v>
      </c>
      <c r="G1294" s="64" t="str">
        <f>IF(stdProdLT(Main[[#This Row],[Comments]])=0.1,"N/A",IF(stdProdLT(Main[[#This Row],[Comments]])=0,"",stdProdLT(Main[[#This Row],[Comments]])))</f>
        <v/>
      </c>
      <c r="H1294" s="68">
        <f>IF(AND(Main[[#This Row],[In Stock Date]]&lt;&gt;"",Main[[#This Row],[Revised Due Date]]&lt;&gt;""),Main[[#This Row],[In Stock Date]]-Main[[#This Row],[Revised Due Date]],"")</f>
        <v>-226</v>
      </c>
      <c r="I1294" s="65" t="s">
        <v>431</v>
      </c>
      <c r="J1294" s="65" t="s">
        <v>4</v>
      </c>
      <c r="K1294" s="65" t="s">
        <v>1921</v>
      </c>
      <c r="L1294" s="67">
        <v>40162</v>
      </c>
      <c r="M1294" s="69">
        <f>IF(Main[[#This Row],[Tech Start Date]]&lt;1/1/1990,"",IF(Main[[#This Row],[Class]]="C",WORKDAY(Main[[#This Row],[Tech Start Date]],9),IF(Main[[#This Row],[Class]]="B", WORKDAY(Main[[#This Row],[Tech Start Date]],6),IF(Main[[#This Row],[Class]]="A",WORKDAY(Main[[#This Row],[Tech Start Date]],2),""))))</f>
        <v>40170</v>
      </c>
      <c r="N1294" s="69">
        <f>IF(Main[[#This Row],[Tech Start Date]]&lt;1/1/1990,"",IF(Main[[#This Row],[Class]]="C",WORKDAY(Main[[#This Row],[Tech Start Date]],19),IF(Main[[#This Row],[Class]]="B", WORKDAY(Main[[#This Row],[Tech Start Date]],12),IF(Main[[#This Row],[Class]]="A",WORKDAY(Main[[#This Row],[Tech Start Date]],4),""))))</f>
        <v>40178</v>
      </c>
      <c r="O1294" s="69">
        <f>IF(Main[[#This Row],[Tech Start Date]]&lt;1/1/1990,"",IF(Main[[#This Row],[Class]]="C",WORKDAY(Main[[#This Row],[Tech Start Date]],23),IF(Main[[#This Row],[Class]]="B", WORKDAY(Main[[#This Row],[Tech Start Date]],15),IF(Main[[#This Row],[Class]]="A",WORKDAY(Main[[#This Row],[Tech Start Date]],5),""))))</f>
        <v>40183</v>
      </c>
      <c r="P1294" s="69">
        <f>IF(Main[[#This Row],[Tech Start Date]]&lt;1/1/1990,"",IF(Main[[#This Row],[Class]]="C",WORKDAY(Main[[#This Row],[Tech Start Date]],28),IF(Main[[#This Row],[Class]]="B", WORKDAY(Main[[#This Row],[Tech Start Date]],19),IF(Main[[#This Row],[Class]]="A",WORKDAY(Main[[#This Row],[Tech Start Date]],9),""))))</f>
        <v>40189</v>
      </c>
      <c r="Q1294" s="67">
        <v>40531</v>
      </c>
      <c r="R1294" s="67">
        <v>40531</v>
      </c>
      <c r="S1294" s="65" t="s">
        <v>11</v>
      </c>
      <c r="T1294" s="70" t="s">
        <v>4</v>
      </c>
      <c r="U1294" s="65" t="s">
        <v>14</v>
      </c>
      <c r="V1294" s="65" t="s">
        <v>1917</v>
      </c>
      <c r="W1294" s="65" t="s">
        <v>1922</v>
      </c>
      <c r="X1294" s="65" t="s">
        <v>2916</v>
      </c>
      <c r="Y1294" s="65" t="s">
        <v>4</v>
      </c>
      <c r="Z1294" s="65" t="s">
        <v>4</v>
      </c>
      <c r="AA1294" s="65" t="s">
        <v>2916</v>
      </c>
    </row>
    <row r="1295" spans="1:27" ht="17.45" hidden="1" customHeight="1">
      <c r="A1295" s="100" t="str">
        <f>IF(priority(Main[[#This Row],[Comments]])&lt;&gt;0, priority(Main[[#This Row],[Comments]]),"")</f>
        <v/>
      </c>
      <c r="B1295" s="77" t="s">
        <v>1807</v>
      </c>
      <c r="C1295" s="65" t="s">
        <v>31</v>
      </c>
      <c r="D1295" s="66" t="s">
        <v>854</v>
      </c>
      <c r="E1295" s="67"/>
      <c r="F1295" s="67">
        <v>40192</v>
      </c>
      <c r="G1295" s="64" t="str">
        <f>IF(stdProdLT(Main[[#This Row],[Comments]])=0.1,"N/A",IF(stdProdLT(Main[[#This Row],[Comments]])=0,"",stdProdLT(Main[[#This Row],[Comments]])))</f>
        <v/>
      </c>
      <c r="H1295" s="68">
        <f>IF(AND(Main[[#This Row],[In Stock Date]]&lt;&gt;"",Main[[#This Row],[Revised Due Date]]&lt;&gt;""),Main[[#This Row],[In Stock Date]]-Main[[#This Row],[Revised Due Date]],"")</f>
        <v>0</v>
      </c>
      <c r="I1295" s="65" t="s">
        <v>765</v>
      </c>
      <c r="J1295" s="65" t="s">
        <v>4</v>
      </c>
      <c r="K1295" s="65" t="s">
        <v>4</v>
      </c>
      <c r="L1295" s="67">
        <v>40163</v>
      </c>
      <c r="M1295" s="69" t="str">
        <f>IF(Main[[#This Row],[Tech Start Date]]&lt;1/1/1990,"",IF(Main[[#This Row],[Class]]="C",WORKDAY(Main[[#This Row],[Tech Start Date]],9),IF(Main[[#This Row],[Class]]="B", WORKDAY(Main[[#This Row],[Tech Start Date]],6),IF(Main[[#This Row],[Class]]="A",WORKDAY(Main[[#This Row],[Tech Start Date]],2),""))))</f>
        <v/>
      </c>
      <c r="N1295" s="69" t="str">
        <f>IF(Main[[#This Row],[Tech Start Date]]&lt;1/1/1990,"",IF(Main[[#This Row],[Class]]="C",WORKDAY(Main[[#This Row],[Tech Start Date]],19),IF(Main[[#This Row],[Class]]="B", WORKDAY(Main[[#This Row],[Tech Start Date]],12),IF(Main[[#This Row],[Class]]="A",WORKDAY(Main[[#This Row],[Tech Start Date]],4),""))))</f>
        <v/>
      </c>
      <c r="O1295" s="69" t="str">
        <f>IF(Main[[#This Row],[Tech Start Date]]&lt;1/1/1990,"",IF(Main[[#This Row],[Class]]="C",WORKDAY(Main[[#This Row],[Tech Start Date]],23),IF(Main[[#This Row],[Class]]="B", WORKDAY(Main[[#This Row],[Tech Start Date]],15),IF(Main[[#This Row],[Class]]="A",WORKDAY(Main[[#This Row],[Tech Start Date]],5),""))))</f>
        <v/>
      </c>
      <c r="P1295" s="69" t="str">
        <f>IF(Main[[#This Row],[Tech Start Date]]&lt;1/1/1990,"",IF(Main[[#This Row],[Class]]="C",WORKDAY(Main[[#This Row],[Tech Start Date]],28),IF(Main[[#This Row],[Class]]="B", WORKDAY(Main[[#This Row],[Tech Start Date]],19),IF(Main[[#This Row],[Class]]="A",WORKDAY(Main[[#This Row],[Tech Start Date]],9),""))))</f>
        <v/>
      </c>
      <c r="Q1295" s="67">
        <v>40226</v>
      </c>
      <c r="R1295" s="67">
        <v>40192</v>
      </c>
      <c r="S1295" s="65" t="s">
        <v>11</v>
      </c>
      <c r="T1295" s="70" t="s">
        <v>4</v>
      </c>
      <c r="U1295" s="65" t="s">
        <v>14</v>
      </c>
      <c r="V1295" s="65" t="s">
        <v>1924</v>
      </c>
      <c r="W1295" s="65" t="s">
        <v>1920</v>
      </c>
      <c r="X1295" s="65" t="s">
        <v>2871</v>
      </c>
      <c r="Y1295" s="65" t="s">
        <v>4</v>
      </c>
      <c r="Z1295" s="65" t="s">
        <v>4</v>
      </c>
      <c r="AA1295" s="65" t="s">
        <v>2871</v>
      </c>
    </row>
    <row r="1296" spans="1:27" ht="17.45" hidden="1" customHeight="1">
      <c r="A1296" s="100" t="str">
        <f>IF(priority(Main[[#This Row],[Comments]])&lt;&gt;0, priority(Main[[#This Row],[Comments]]),"")</f>
        <v/>
      </c>
      <c r="B1296" s="77" t="s">
        <v>1806</v>
      </c>
      <c r="C1296" s="65" t="s">
        <v>31</v>
      </c>
      <c r="D1296" s="66" t="s">
        <v>853</v>
      </c>
      <c r="E1296" s="67"/>
      <c r="F1296" s="67">
        <v>40192</v>
      </c>
      <c r="G1296" s="64" t="str">
        <f>IF(stdProdLT(Main[[#This Row],[Comments]])=0.1,"N/A",IF(stdProdLT(Main[[#This Row],[Comments]])=0,"",stdProdLT(Main[[#This Row],[Comments]])))</f>
        <v/>
      </c>
      <c r="H1296" s="68">
        <f>IF(AND(Main[[#This Row],[In Stock Date]]&lt;&gt;"",Main[[#This Row],[Revised Due Date]]&lt;&gt;""),Main[[#This Row],[In Stock Date]]-Main[[#This Row],[Revised Due Date]],"")</f>
        <v>0</v>
      </c>
      <c r="I1296" s="65" t="s">
        <v>765</v>
      </c>
      <c r="J1296" s="65" t="s">
        <v>4</v>
      </c>
      <c r="K1296" s="65" t="s">
        <v>4</v>
      </c>
      <c r="L1296" s="67">
        <v>40163</v>
      </c>
      <c r="M1296" s="69" t="str">
        <f>IF(Main[[#This Row],[Tech Start Date]]&lt;1/1/1990,"",IF(Main[[#This Row],[Class]]="C",WORKDAY(Main[[#This Row],[Tech Start Date]],9),IF(Main[[#This Row],[Class]]="B", WORKDAY(Main[[#This Row],[Tech Start Date]],6),IF(Main[[#This Row],[Class]]="A",WORKDAY(Main[[#This Row],[Tech Start Date]],2),""))))</f>
        <v/>
      </c>
      <c r="N1296" s="69" t="str">
        <f>IF(Main[[#This Row],[Tech Start Date]]&lt;1/1/1990,"",IF(Main[[#This Row],[Class]]="C",WORKDAY(Main[[#This Row],[Tech Start Date]],19),IF(Main[[#This Row],[Class]]="B", WORKDAY(Main[[#This Row],[Tech Start Date]],12),IF(Main[[#This Row],[Class]]="A",WORKDAY(Main[[#This Row],[Tech Start Date]],4),""))))</f>
        <v/>
      </c>
      <c r="O1296" s="69" t="str">
        <f>IF(Main[[#This Row],[Tech Start Date]]&lt;1/1/1990,"",IF(Main[[#This Row],[Class]]="C",WORKDAY(Main[[#This Row],[Tech Start Date]],23),IF(Main[[#This Row],[Class]]="B", WORKDAY(Main[[#This Row],[Tech Start Date]],15),IF(Main[[#This Row],[Class]]="A",WORKDAY(Main[[#This Row],[Tech Start Date]],5),""))))</f>
        <v/>
      </c>
      <c r="P1296" s="69" t="str">
        <f>IF(Main[[#This Row],[Tech Start Date]]&lt;1/1/1990,"",IF(Main[[#This Row],[Class]]="C",WORKDAY(Main[[#This Row],[Tech Start Date]],28),IF(Main[[#This Row],[Class]]="B", WORKDAY(Main[[#This Row],[Tech Start Date]],19),IF(Main[[#This Row],[Class]]="A",WORKDAY(Main[[#This Row],[Tech Start Date]],9),""))))</f>
        <v/>
      </c>
      <c r="Q1296" s="67">
        <v>40226</v>
      </c>
      <c r="R1296" s="67">
        <v>40192</v>
      </c>
      <c r="S1296" s="65" t="s">
        <v>11</v>
      </c>
      <c r="T1296" s="70" t="s">
        <v>4</v>
      </c>
      <c r="U1296" s="65" t="s">
        <v>14</v>
      </c>
      <c r="V1296" s="65" t="s">
        <v>1924</v>
      </c>
      <c r="W1296" s="65" t="s">
        <v>1920</v>
      </c>
      <c r="X1296" s="65" t="s">
        <v>2871</v>
      </c>
      <c r="Y1296" s="65" t="s">
        <v>4</v>
      </c>
      <c r="Z1296" s="65" t="s">
        <v>4</v>
      </c>
      <c r="AA1296" s="65" t="s">
        <v>2871</v>
      </c>
    </row>
    <row r="1297" spans="1:27" ht="17.45" hidden="1" customHeight="1">
      <c r="A1297" s="100" t="str">
        <f>IF(priority(Main[[#This Row],[Comments]])&lt;&gt;0, priority(Main[[#This Row],[Comments]]),"")</f>
        <v/>
      </c>
      <c r="B1297" s="77" t="s">
        <v>1809</v>
      </c>
      <c r="C1297" s="65" t="s">
        <v>857</v>
      </c>
      <c r="D1297" s="66" t="s">
        <v>858</v>
      </c>
      <c r="E1297" s="67"/>
      <c r="F1297" s="67">
        <v>40305</v>
      </c>
      <c r="G1297" s="64" t="str">
        <f>IF(stdProdLT(Main[[#This Row],[Comments]])=0.1,"N/A",IF(stdProdLT(Main[[#This Row],[Comments]])=0,"",stdProdLT(Main[[#This Row],[Comments]])))</f>
        <v/>
      </c>
      <c r="H1297" s="68">
        <f>IF(AND(Main[[#This Row],[In Stock Date]]&lt;&gt;"",Main[[#This Row],[Revised Due Date]]&lt;&gt;""),Main[[#This Row],[In Stock Date]]-Main[[#This Row],[Revised Due Date]],"")</f>
        <v>80</v>
      </c>
      <c r="I1297" s="65" t="s">
        <v>765</v>
      </c>
      <c r="J1297" s="65" t="s">
        <v>4</v>
      </c>
      <c r="K1297" s="65" t="s">
        <v>4</v>
      </c>
      <c r="L1297" s="67">
        <v>40192</v>
      </c>
      <c r="M1297" s="69" t="str">
        <f>IF(Main[[#This Row],[Tech Start Date]]&lt;1/1/1990,"",IF(Main[[#This Row],[Class]]="C",WORKDAY(Main[[#This Row],[Tech Start Date]],9),IF(Main[[#This Row],[Class]]="B", WORKDAY(Main[[#This Row],[Tech Start Date]],6),IF(Main[[#This Row],[Class]]="A",WORKDAY(Main[[#This Row],[Tech Start Date]],2),""))))</f>
        <v/>
      </c>
      <c r="N1297" s="69" t="str">
        <f>IF(Main[[#This Row],[Tech Start Date]]&lt;1/1/1990,"",IF(Main[[#This Row],[Class]]="C",WORKDAY(Main[[#This Row],[Tech Start Date]],19),IF(Main[[#This Row],[Class]]="B", WORKDAY(Main[[#This Row],[Tech Start Date]],12),IF(Main[[#This Row],[Class]]="A",WORKDAY(Main[[#This Row],[Tech Start Date]],4),""))))</f>
        <v/>
      </c>
      <c r="O1297" s="69" t="str">
        <f>IF(Main[[#This Row],[Tech Start Date]]&lt;1/1/1990,"",IF(Main[[#This Row],[Class]]="C",WORKDAY(Main[[#This Row],[Tech Start Date]],23),IF(Main[[#This Row],[Class]]="B", WORKDAY(Main[[#This Row],[Tech Start Date]],15),IF(Main[[#This Row],[Class]]="A",WORKDAY(Main[[#This Row],[Tech Start Date]],5),""))))</f>
        <v/>
      </c>
      <c r="P1297" s="69" t="str">
        <f>IF(Main[[#This Row],[Tech Start Date]]&lt;1/1/1990,"",IF(Main[[#This Row],[Class]]="C",WORKDAY(Main[[#This Row],[Tech Start Date]],28),IF(Main[[#This Row],[Class]]="B", WORKDAY(Main[[#This Row],[Tech Start Date]],19),IF(Main[[#This Row],[Class]]="A",WORKDAY(Main[[#This Row],[Tech Start Date]],9),""))))</f>
        <v/>
      </c>
      <c r="Q1297" s="67">
        <v>40178</v>
      </c>
      <c r="R1297" s="67">
        <v>40225</v>
      </c>
      <c r="S1297" s="65" t="s">
        <v>11</v>
      </c>
      <c r="T1297" s="70" t="s">
        <v>4</v>
      </c>
      <c r="U1297" s="65" t="s">
        <v>14</v>
      </c>
      <c r="V1297" s="65" t="s">
        <v>1917</v>
      </c>
      <c r="W1297" s="65" t="s">
        <v>1922</v>
      </c>
      <c r="X1297" s="65" t="s">
        <v>2854</v>
      </c>
      <c r="Y1297" s="65" t="s">
        <v>4</v>
      </c>
      <c r="Z1297" s="65" t="s">
        <v>4</v>
      </c>
      <c r="AA1297" s="65" t="s">
        <v>2854</v>
      </c>
    </row>
    <row r="1298" spans="1:27" ht="17.45" hidden="1" customHeight="1">
      <c r="A1298" s="100" t="str">
        <f>IF(priority(Main[[#This Row],[Comments]])&lt;&gt;0, priority(Main[[#This Row],[Comments]]),"")</f>
        <v/>
      </c>
      <c r="B1298" s="77" t="s">
        <v>1808</v>
      </c>
      <c r="C1298" s="65" t="s">
        <v>855</v>
      </c>
      <c r="D1298" s="66" t="s">
        <v>856</v>
      </c>
      <c r="E1298" s="67"/>
      <c r="F1298" s="67">
        <v>40305</v>
      </c>
      <c r="G1298" s="64" t="str">
        <f>IF(stdProdLT(Main[[#This Row],[Comments]])=0.1,"N/A",IF(stdProdLT(Main[[#This Row],[Comments]])=0,"",stdProdLT(Main[[#This Row],[Comments]])))</f>
        <v/>
      </c>
      <c r="H1298" s="68">
        <f>IF(AND(Main[[#This Row],[In Stock Date]]&lt;&gt;"",Main[[#This Row],[Revised Due Date]]&lt;&gt;""),Main[[#This Row],[In Stock Date]]-Main[[#This Row],[Revised Due Date]],"")</f>
        <v>81</v>
      </c>
      <c r="I1298" s="65" t="s">
        <v>44</v>
      </c>
      <c r="J1298" s="65" t="s">
        <v>4</v>
      </c>
      <c r="K1298" s="65" t="s">
        <v>4</v>
      </c>
      <c r="L1298" s="67">
        <v>40192</v>
      </c>
      <c r="M1298" s="69" t="str">
        <f>IF(Main[[#This Row],[Tech Start Date]]&lt;1/1/1990,"",IF(Main[[#This Row],[Class]]="C",WORKDAY(Main[[#This Row],[Tech Start Date]],9),IF(Main[[#This Row],[Class]]="B", WORKDAY(Main[[#This Row],[Tech Start Date]],6),IF(Main[[#This Row],[Class]]="A",WORKDAY(Main[[#This Row],[Tech Start Date]],2),""))))</f>
        <v/>
      </c>
      <c r="N1298" s="69" t="str">
        <f>IF(Main[[#This Row],[Tech Start Date]]&lt;1/1/1990,"",IF(Main[[#This Row],[Class]]="C",WORKDAY(Main[[#This Row],[Tech Start Date]],19),IF(Main[[#This Row],[Class]]="B", WORKDAY(Main[[#This Row],[Tech Start Date]],12),IF(Main[[#This Row],[Class]]="A",WORKDAY(Main[[#This Row],[Tech Start Date]],4),""))))</f>
        <v/>
      </c>
      <c r="O1298" s="69" t="str">
        <f>IF(Main[[#This Row],[Tech Start Date]]&lt;1/1/1990,"",IF(Main[[#This Row],[Class]]="C",WORKDAY(Main[[#This Row],[Tech Start Date]],23),IF(Main[[#This Row],[Class]]="B", WORKDAY(Main[[#This Row],[Tech Start Date]],15),IF(Main[[#This Row],[Class]]="A",WORKDAY(Main[[#This Row],[Tech Start Date]],5),""))))</f>
        <v/>
      </c>
      <c r="P1298" s="69" t="str">
        <f>IF(Main[[#This Row],[Tech Start Date]]&lt;1/1/1990,"",IF(Main[[#This Row],[Class]]="C",WORKDAY(Main[[#This Row],[Tech Start Date]],28),IF(Main[[#This Row],[Class]]="B", WORKDAY(Main[[#This Row],[Tech Start Date]],19),IF(Main[[#This Row],[Class]]="A",WORKDAY(Main[[#This Row],[Tech Start Date]],9),""))))</f>
        <v/>
      </c>
      <c r="Q1298" s="67">
        <v>40178</v>
      </c>
      <c r="R1298" s="67">
        <v>40224</v>
      </c>
      <c r="S1298" s="65" t="s">
        <v>11</v>
      </c>
      <c r="T1298" s="70" t="s">
        <v>4</v>
      </c>
      <c r="U1298" s="65" t="s">
        <v>14</v>
      </c>
      <c r="V1298" s="65" t="s">
        <v>1917</v>
      </c>
      <c r="W1298" s="65" t="s">
        <v>1922</v>
      </c>
      <c r="X1298" s="65" t="s">
        <v>2854</v>
      </c>
      <c r="Y1298" s="65" t="s">
        <v>4</v>
      </c>
      <c r="Z1298" s="65" t="s">
        <v>4</v>
      </c>
      <c r="AA1298" s="65" t="s">
        <v>2854</v>
      </c>
    </row>
    <row r="1299" spans="1:27" ht="17.45" hidden="1" customHeight="1">
      <c r="A1299" s="100" t="str">
        <f>IF(priority(Main[[#This Row],[Comments]])&lt;&gt;0, priority(Main[[#This Row],[Comments]]),"")</f>
        <v/>
      </c>
      <c r="B1299" s="77" t="s">
        <v>1811</v>
      </c>
      <c r="C1299" s="65" t="s">
        <v>4</v>
      </c>
      <c r="D1299" s="66" t="s">
        <v>860</v>
      </c>
      <c r="E1299" s="67"/>
      <c r="F1299" s="67"/>
      <c r="G1299" s="64" t="str">
        <f>IF(stdProdLT(Main[[#This Row],[Comments]])=0.1,"N/A",IF(stdProdLT(Main[[#This Row],[Comments]])=0,"",stdProdLT(Main[[#This Row],[Comments]])))</f>
        <v/>
      </c>
      <c r="H1299" s="68" t="str">
        <f>IF(AND(Main[[#This Row],[In Stock Date]]&lt;&gt;"",Main[[#This Row],[Revised Due Date]]&lt;&gt;""),Main[[#This Row],[In Stock Date]]-Main[[#This Row],[Revised Due Date]],"")</f>
        <v/>
      </c>
      <c r="I1299" s="65" t="s">
        <v>30</v>
      </c>
      <c r="J1299" s="65" t="s">
        <v>28</v>
      </c>
      <c r="K1299" s="65" t="s">
        <v>1921</v>
      </c>
      <c r="L1299" s="67">
        <v>40231</v>
      </c>
      <c r="M1299" s="69">
        <f>IF(Main[[#This Row],[Tech Start Date]]&lt;1/1/1990,"",IF(Main[[#This Row],[Class]]="C",WORKDAY(Main[[#This Row],[Tech Start Date]],9),IF(Main[[#This Row],[Class]]="B", WORKDAY(Main[[#This Row],[Tech Start Date]],6),IF(Main[[#This Row],[Class]]="A",WORKDAY(Main[[#This Row],[Tech Start Date]],2),""))))</f>
        <v>40239</v>
      </c>
      <c r="N1299" s="69">
        <f>IF(Main[[#This Row],[Tech Start Date]]&lt;1/1/1990,"",IF(Main[[#This Row],[Class]]="C",WORKDAY(Main[[#This Row],[Tech Start Date]],19),IF(Main[[#This Row],[Class]]="B", WORKDAY(Main[[#This Row],[Tech Start Date]],12),IF(Main[[#This Row],[Class]]="A",WORKDAY(Main[[#This Row],[Tech Start Date]],4),""))))</f>
        <v>40247</v>
      </c>
      <c r="O1299" s="69">
        <f>IF(Main[[#This Row],[Tech Start Date]]&lt;1/1/1990,"",IF(Main[[#This Row],[Class]]="C",WORKDAY(Main[[#This Row],[Tech Start Date]],23),IF(Main[[#This Row],[Class]]="B", WORKDAY(Main[[#This Row],[Tech Start Date]],15),IF(Main[[#This Row],[Class]]="A",WORKDAY(Main[[#This Row],[Tech Start Date]],5),""))))</f>
        <v>40252</v>
      </c>
      <c r="P1299" s="69">
        <f>IF(Main[[#This Row],[Tech Start Date]]&lt;1/1/1990,"",IF(Main[[#This Row],[Class]]="C",WORKDAY(Main[[#This Row],[Tech Start Date]],28),IF(Main[[#This Row],[Class]]="B", WORKDAY(Main[[#This Row],[Tech Start Date]],19),IF(Main[[#This Row],[Class]]="A",WORKDAY(Main[[#This Row],[Tech Start Date]],9),""))))</f>
        <v>40256</v>
      </c>
      <c r="Q1299" s="67">
        <v>40269</v>
      </c>
      <c r="R1299" s="67">
        <v>40246</v>
      </c>
      <c r="S1299" s="65" t="s">
        <v>6</v>
      </c>
      <c r="T1299" s="70" t="s">
        <v>4</v>
      </c>
      <c r="U1299" s="65" t="s">
        <v>14</v>
      </c>
      <c r="V1299" s="65" t="s">
        <v>1917</v>
      </c>
      <c r="W1299" s="65" t="s">
        <v>1916</v>
      </c>
      <c r="X1299" s="65" t="s">
        <v>2887</v>
      </c>
      <c r="Y1299" s="65" t="s">
        <v>3043</v>
      </c>
      <c r="Z1299" s="65" t="s">
        <v>4</v>
      </c>
      <c r="AA1299" s="65" t="s">
        <v>2887</v>
      </c>
    </row>
    <row r="1300" spans="1:27" ht="17.45" hidden="1" customHeight="1">
      <c r="A1300" s="100" t="str">
        <f>IF(priority(Main[[#This Row],[Comments]])&lt;&gt;0, priority(Main[[#This Row],[Comments]]),"")</f>
        <v/>
      </c>
      <c r="B1300" s="77" t="s">
        <v>1946</v>
      </c>
      <c r="C1300" s="65" t="s">
        <v>862</v>
      </c>
      <c r="D1300" s="66" t="s">
        <v>863</v>
      </c>
      <c r="E1300" s="67"/>
      <c r="F1300" s="67"/>
      <c r="G1300" s="64" t="str">
        <f>IF(stdProdLT(Main[[#This Row],[Comments]])=0.1,"N/A",IF(stdProdLT(Main[[#This Row],[Comments]])=0,"",stdProdLT(Main[[#This Row],[Comments]])))</f>
        <v/>
      </c>
      <c r="H1300" s="68" t="str">
        <f>IF(AND(Main[[#This Row],[In Stock Date]]&lt;&gt;"",Main[[#This Row],[Revised Due Date]]&lt;&gt;""),Main[[#This Row],[In Stock Date]]-Main[[#This Row],[Revised Due Date]],"")</f>
        <v/>
      </c>
      <c r="I1300" s="65" t="s">
        <v>765</v>
      </c>
      <c r="J1300" s="65" t="s">
        <v>4</v>
      </c>
      <c r="K1300" s="71" t="s">
        <v>1926</v>
      </c>
      <c r="L1300" s="67">
        <v>40231</v>
      </c>
      <c r="M1300" s="69" t="str">
        <f>IF(Main[[#This Row],[Tech Start Date]]&lt;1/1/1990,"",IF(Main[[#This Row],[Class]]="C",WORKDAY(Main[[#This Row],[Tech Start Date]],9),IF(Main[[#This Row],[Class]]="B", WORKDAY(Main[[#This Row],[Tech Start Date]],6),IF(Main[[#This Row],[Class]]="A",WORKDAY(Main[[#This Row],[Tech Start Date]],2),""))))</f>
        <v/>
      </c>
      <c r="N1300" s="69" t="str">
        <f>IF(Main[[#This Row],[Tech Start Date]]&lt;1/1/1990,"",IF(Main[[#This Row],[Class]]="C",WORKDAY(Main[[#This Row],[Tech Start Date]],19),IF(Main[[#This Row],[Class]]="B", WORKDAY(Main[[#This Row],[Tech Start Date]],12),IF(Main[[#This Row],[Class]]="A",WORKDAY(Main[[#This Row],[Tech Start Date]],4),""))))</f>
        <v/>
      </c>
      <c r="O1300" s="69" t="str">
        <f>IF(Main[[#This Row],[Tech Start Date]]&lt;1/1/1990,"",IF(Main[[#This Row],[Class]]="C",WORKDAY(Main[[#This Row],[Tech Start Date]],23),IF(Main[[#This Row],[Class]]="B", WORKDAY(Main[[#This Row],[Tech Start Date]],15),IF(Main[[#This Row],[Class]]="A",WORKDAY(Main[[#This Row],[Tech Start Date]],5),""))))</f>
        <v/>
      </c>
      <c r="P1300" s="69" t="str">
        <f>IF(Main[[#This Row],[Tech Start Date]]&lt;1/1/1990,"",IF(Main[[#This Row],[Class]]="C",WORKDAY(Main[[#This Row],[Tech Start Date]],28),IF(Main[[#This Row],[Class]]="B", WORKDAY(Main[[#This Row],[Tech Start Date]],19),IF(Main[[#This Row],[Class]]="A",WORKDAY(Main[[#This Row],[Tech Start Date]],9),""))))</f>
        <v/>
      </c>
      <c r="Q1300" s="67">
        <v>40268</v>
      </c>
      <c r="R1300" s="67">
        <v>40268</v>
      </c>
      <c r="S1300" s="65" t="s">
        <v>17</v>
      </c>
      <c r="T1300" s="70" t="s">
        <v>4</v>
      </c>
      <c r="U1300" s="65" t="s">
        <v>14</v>
      </c>
      <c r="V1300" s="65" t="s">
        <v>1917</v>
      </c>
      <c r="W1300" s="65" t="s">
        <v>1919</v>
      </c>
      <c r="X1300" s="65" t="s">
        <v>2917</v>
      </c>
      <c r="Y1300" s="65" t="s">
        <v>3143</v>
      </c>
      <c r="Z1300" s="65" t="s">
        <v>4</v>
      </c>
      <c r="AA1300" s="65" t="s">
        <v>553</v>
      </c>
    </row>
    <row r="1301" spans="1:27" ht="17.45" hidden="1" customHeight="1">
      <c r="A1301" s="100" t="str">
        <f>IF(priority(Main[[#This Row],[Comments]])&lt;&gt;0, priority(Main[[#This Row],[Comments]]),"")</f>
        <v/>
      </c>
      <c r="B1301" s="77" t="s">
        <v>1819</v>
      </c>
      <c r="C1301" s="65" t="s">
        <v>47</v>
      </c>
      <c r="D1301" s="66" t="s">
        <v>871</v>
      </c>
      <c r="E1301" s="67">
        <v>40220.456550925926</v>
      </c>
      <c r="F1301" s="67"/>
      <c r="G1301" s="64" t="str">
        <f>IF(stdProdLT(Main[[#This Row],[Comments]])=0.1,"N/A",IF(stdProdLT(Main[[#This Row],[Comments]])=0,"",stdProdLT(Main[[#This Row],[Comments]])))</f>
        <v/>
      </c>
      <c r="H1301" s="68" t="str">
        <f>IF(AND(Main[[#This Row],[In Stock Date]]&lt;&gt;"",Main[[#This Row],[Revised Due Date]]&lt;&gt;""),Main[[#This Row],[In Stock Date]]-Main[[#This Row],[Revised Due Date]],"")</f>
        <v/>
      </c>
      <c r="I1301" s="65" t="s">
        <v>81</v>
      </c>
      <c r="J1301" s="65" t="s">
        <v>52</v>
      </c>
      <c r="K1301" s="65" t="s">
        <v>1926</v>
      </c>
      <c r="L1301" s="67">
        <v>40231</v>
      </c>
      <c r="M1301" s="69" t="str">
        <f>IF(Main[[#This Row],[Tech Start Date]]&lt;1/1/1990,"",IF(Main[[#This Row],[Class]]="C",WORKDAY(Main[[#This Row],[Tech Start Date]],9),IF(Main[[#This Row],[Class]]="B", WORKDAY(Main[[#This Row],[Tech Start Date]],6),IF(Main[[#This Row],[Class]]="A",WORKDAY(Main[[#This Row],[Tech Start Date]],2),""))))</f>
        <v/>
      </c>
      <c r="N1301" s="69" t="str">
        <f>IF(Main[[#This Row],[Tech Start Date]]&lt;1/1/1990,"",IF(Main[[#This Row],[Class]]="C",WORKDAY(Main[[#This Row],[Tech Start Date]],19),IF(Main[[#This Row],[Class]]="B", WORKDAY(Main[[#This Row],[Tech Start Date]],12),IF(Main[[#This Row],[Class]]="A",WORKDAY(Main[[#This Row],[Tech Start Date]],4),""))))</f>
        <v/>
      </c>
      <c r="O1301" s="69" t="str">
        <f>IF(Main[[#This Row],[Tech Start Date]]&lt;1/1/1990,"",IF(Main[[#This Row],[Class]]="C",WORKDAY(Main[[#This Row],[Tech Start Date]],23),IF(Main[[#This Row],[Class]]="B", WORKDAY(Main[[#This Row],[Tech Start Date]],15),IF(Main[[#This Row],[Class]]="A",WORKDAY(Main[[#This Row],[Tech Start Date]],5),""))))</f>
        <v/>
      </c>
      <c r="P1301" s="69" t="str">
        <f>IF(Main[[#This Row],[Tech Start Date]]&lt;1/1/1990,"",IF(Main[[#This Row],[Class]]="C",WORKDAY(Main[[#This Row],[Tech Start Date]],28),IF(Main[[#This Row],[Class]]="B", WORKDAY(Main[[#This Row],[Tech Start Date]],19),IF(Main[[#This Row],[Class]]="A",WORKDAY(Main[[#This Row],[Tech Start Date]],9),""))))</f>
        <v/>
      </c>
      <c r="Q1301" s="67">
        <v>40255</v>
      </c>
      <c r="R1301" s="67">
        <v>40310</v>
      </c>
      <c r="S1301" s="65" t="s">
        <v>17</v>
      </c>
      <c r="T1301" s="70" t="s">
        <v>4</v>
      </c>
      <c r="U1301" s="65" t="s">
        <v>29</v>
      </c>
      <c r="V1301" s="65" t="s">
        <v>1924</v>
      </c>
      <c r="W1301" s="65" t="s">
        <v>1916</v>
      </c>
      <c r="X1301" s="65" t="s">
        <v>2817</v>
      </c>
      <c r="Y1301" s="65" t="s">
        <v>4</v>
      </c>
      <c r="Z1301" s="65" t="s">
        <v>44</v>
      </c>
      <c r="AA1301" s="65" t="s">
        <v>2817</v>
      </c>
    </row>
    <row r="1302" spans="1:27" ht="17.45" hidden="1" customHeight="1">
      <c r="A1302" s="100" t="str">
        <f>IF(priority(Main[[#This Row],[Comments]])&lt;&gt;0, priority(Main[[#This Row],[Comments]]),"")</f>
        <v/>
      </c>
      <c r="B1302" s="77" t="s">
        <v>1814</v>
      </c>
      <c r="C1302" s="65" t="s">
        <v>47</v>
      </c>
      <c r="D1302" s="66" t="s">
        <v>865</v>
      </c>
      <c r="E1302" s="67"/>
      <c r="F1302" s="67"/>
      <c r="G1302" s="64" t="str">
        <f>IF(stdProdLT(Main[[#This Row],[Comments]])=0.1,"N/A",IF(stdProdLT(Main[[#This Row],[Comments]])=0,"",stdProdLT(Main[[#This Row],[Comments]])))</f>
        <v/>
      </c>
      <c r="H1302" s="68" t="str">
        <f>IF(AND(Main[[#This Row],[In Stock Date]]&lt;&gt;"",Main[[#This Row],[Revised Due Date]]&lt;&gt;""),Main[[#This Row],[In Stock Date]]-Main[[#This Row],[Revised Due Date]],"")</f>
        <v/>
      </c>
      <c r="I1302" s="65" t="s">
        <v>431</v>
      </c>
      <c r="J1302" s="65" t="s">
        <v>4</v>
      </c>
      <c r="K1302" s="65" t="s">
        <v>1926</v>
      </c>
      <c r="L1302" s="67">
        <v>40248</v>
      </c>
      <c r="M1302" s="69" t="str">
        <f>IF(Main[[#This Row],[Tech Start Date]]&lt;1/1/1990,"",IF(Main[[#This Row],[Class]]="C",WORKDAY(Main[[#This Row],[Tech Start Date]],9),IF(Main[[#This Row],[Class]]="B", WORKDAY(Main[[#This Row],[Tech Start Date]],6),IF(Main[[#This Row],[Class]]="A",WORKDAY(Main[[#This Row],[Tech Start Date]],2),""))))</f>
        <v/>
      </c>
      <c r="N1302" s="69" t="str">
        <f>IF(Main[[#This Row],[Tech Start Date]]&lt;1/1/1990,"",IF(Main[[#This Row],[Class]]="C",WORKDAY(Main[[#This Row],[Tech Start Date]],19),IF(Main[[#This Row],[Class]]="B", WORKDAY(Main[[#This Row],[Tech Start Date]],12),IF(Main[[#This Row],[Class]]="A",WORKDAY(Main[[#This Row],[Tech Start Date]],4),""))))</f>
        <v/>
      </c>
      <c r="O1302" s="69" t="str">
        <f>IF(Main[[#This Row],[Tech Start Date]]&lt;1/1/1990,"",IF(Main[[#This Row],[Class]]="C",WORKDAY(Main[[#This Row],[Tech Start Date]],23),IF(Main[[#This Row],[Class]]="B", WORKDAY(Main[[#This Row],[Tech Start Date]],15),IF(Main[[#This Row],[Class]]="A",WORKDAY(Main[[#This Row],[Tech Start Date]],5),""))))</f>
        <v/>
      </c>
      <c r="P1302" s="69" t="str">
        <f>IF(Main[[#This Row],[Tech Start Date]]&lt;1/1/1990,"",IF(Main[[#This Row],[Class]]="C",WORKDAY(Main[[#This Row],[Tech Start Date]],28),IF(Main[[#This Row],[Class]]="B", WORKDAY(Main[[#This Row],[Tech Start Date]],19),IF(Main[[#This Row],[Class]]="A",WORKDAY(Main[[#This Row],[Tech Start Date]],9),""))))</f>
        <v/>
      </c>
      <c r="Q1302" s="67">
        <v>40289</v>
      </c>
      <c r="R1302" s="67">
        <v>40289</v>
      </c>
      <c r="S1302" s="65" t="s">
        <v>17</v>
      </c>
      <c r="T1302" s="70" t="s">
        <v>4</v>
      </c>
      <c r="U1302" s="65" t="s">
        <v>14</v>
      </c>
      <c r="V1302" s="65" t="s">
        <v>1917</v>
      </c>
      <c r="W1302" s="65" t="s">
        <v>1920</v>
      </c>
      <c r="X1302" s="65" t="s">
        <v>530</v>
      </c>
      <c r="Y1302" s="65" t="s">
        <v>3144</v>
      </c>
      <c r="Z1302" s="65" t="s">
        <v>4</v>
      </c>
      <c r="AA1302" s="65" t="s">
        <v>530</v>
      </c>
    </row>
    <row r="1303" spans="1:27" ht="17.45" hidden="1" customHeight="1">
      <c r="A1303" s="100" t="str">
        <f>IF(priority(Main[[#This Row],[Comments]])&lt;&gt;0, priority(Main[[#This Row],[Comments]]),"")</f>
        <v/>
      </c>
      <c r="B1303" s="77" t="s">
        <v>1815</v>
      </c>
      <c r="C1303" s="65" t="s">
        <v>867</v>
      </c>
      <c r="D1303" s="66" t="s">
        <v>868</v>
      </c>
      <c r="E1303" s="67"/>
      <c r="F1303" s="67">
        <v>40299</v>
      </c>
      <c r="G1303" s="64" t="str">
        <f>IF(stdProdLT(Main[[#This Row],[Comments]])=0.1,"N/A",IF(stdProdLT(Main[[#This Row],[Comments]])=0,"",stdProdLT(Main[[#This Row],[Comments]])))</f>
        <v/>
      </c>
      <c r="H1303" s="68">
        <f>IF(AND(Main[[#This Row],[In Stock Date]]&lt;&gt;"",Main[[#This Row],[Revised Due Date]]&lt;&gt;""),Main[[#This Row],[In Stock Date]]-Main[[#This Row],[Revised Due Date]],"")</f>
        <v>8</v>
      </c>
      <c r="I1303" s="65" t="s">
        <v>652</v>
      </c>
      <c r="J1303" s="65" t="s">
        <v>28</v>
      </c>
      <c r="K1303" s="65" t="s">
        <v>1926</v>
      </c>
      <c r="L1303" s="67">
        <v>40266</v>
      </c>
      <c r="M1303" s="69" t="str">
        <f>IF(Main[[#This Row],[Tech Start Date]]&lt;1/1/1990,"",IF(Main[[#This Row],[Class]]="C",WORKDAY(Main[[#This Row],[Tech Start Date]],9),IF(Main[[#This Row],[Class]]="B", WORKDAY(Main[[#This Row],[Tech Start Date]],6),IF(Main[[#This Row],[Class]]="A",WORKDAY(Main[[#This Row],[Tech Start Date]],2),""))))</f>
        <v/>
      </c>
      <c r="N1303" s="69" t="str">
        <f>IF(Main[[#This Row],[Tech Start Date]]&lt;1/1/1990,"",IF(Main[[#This Row],[Class]]="C",WORKDAY(Main[[#This Row],[Tech Start Date]],19),IF(Main[[#This Row],[Class]]="B", WORKDAY(Main[[#This Row],[Tech Start Date]],12),IF(Main[[#This Row],[Class]]="A",WORKDAY(Main[[#This Row],[Tech Start Date]],4),""))))</f>
        <v/>
      </c>
      <c r="O1303" s="69" t="str">
        <f>IF(Main[[#This Row],[Tech Start Date]]&lt;1/1/1990,"",IF(Main[[#This Row],[Class]]="C",WORKDAY(Main[[#This Row],[Tech Start Date]],23),IF(Main[[#This Row],[Class]]="B", WORKDAY(Main[[#This Row],[Tech Start Date]],15),IF(Main[[#This Row],[Class]]="A",WORKDAY(Main[[#This Row],[Tech Start Date]],5),""))))</f>
        <v/>
      </c>
      <c r="P1303" s="69" t="str">
        <f>IF(Main[[#This Row],[Tech Start Date]]&lt;1/1/1990,"",IF(Main[[#This Row],[Class]]="C",WORKDAY(Main[[#This Row],[Tech Start Date]],28),IF(Main[[#This Row],[Class]]="B", WORKDAY(Main[[#This Row],[Tech Start Date]],19),IF(Main[[#This Row],[Class]]="A",WORKDAY(Main[[#This Row],[Tech Start Date]],9),""))))</f>
        <v/>
      </c>
      <c r="Q1303" s="67">
        <v>40299</v>
      </c>
      <c r="R1303" s="67">
        <v>40291</v>
      </c>
      <c r="S1303" s="65" t="s">
        <v>17</v>
      </c>
      <c r="T1303" s="70" t="s">
        <v>4</v>
      </c>
      <c r="U1303" s="65" t="s">
        <v>14</v>
      </c>
      <c r="V1303" s="65" t="s">
        <v>1924</v>
      </c>
      <c r="W1303" s="65" t="s">
        <v>1919</v>
      </c>
      <c r="X1303" s="65" t="s">
        <v>530</v>
      </c>
      <c r="Y1303" s="65" t="s">
        <v>3144</v>
      </c>
      <c r="Z1303" s="65" t="s">
        <v>652</v>
      </c>
      <c r="AA1303" s="65" t="s">
        <v>530</v>
      </c>
    </row>
    <row r="1304" spans="1:27" ht="17.45" hidden="1" customHeight="1">
      <c r="A1304" s="100" t="str">
        <f>IF(priority(Main[[#This Row],[Comments]])&lt;&gt;0, priority(Main[[#This Row],[Comments]]),"")</f>
        <v/>
      </c>
      <c r="B1304" s="77" t="s">
        <v>1818</v>
      </c>
      <c r="C1304" s="65" t="s">
        <v>4</v>
      </c>
      <c r="D1304" s="66" t="s">
        <v>870</v>
      </c>
      <c r="E1304" s="67"/>
      <c r="F1304" s="67"/>
      <c r="G1304" s="64" t="str">
        <f>IF(stdProdLT(Main[[#This Row],[Comments]])=0.1,"N/A",IF(stdProdLT(Main[[#This Row],[Comments]])=0,"",stdProdLT(Main[[#This Row],[Comments]])))</f>
        <v/>
      </c>
      <c r="H1304" s="68" t="str">
        <f>IF(AND(Main[[#This Row],[In Stock Date]]&lt;&gt;"",Main[[#This Row],[Revised Due Date]]&lt;&gt;""),Main[[#This Row],[In Stock Date]]-Main[[#This Row],[Revised Due Date]],"")</f>
        <v/>
      </c>
      <c r="I1304" s="65" t="s">
        <v>399</v>
      </c>
      <c r="J1304" s="65" t="s">
        <v>75</v>
      </c>
      <c r="K1304" s="65" t="s">
        <v>1923</v>
      </c>
      <c r="L1304" s="67">
        <v>40288</v>
      </c>
      <c r="M1304" s="69">
        <f>IF(Main[[#This Row],[Tech Start Date]]&lt;1/1/1990,"",IF(Main[[#This Row],[Class]]="C",WORKDAY(Main[[#This Row],[Tech Start Date]],9),IF(Main[[#This Row],[Class]]="B", WORKDAY(Main[[#This Row],[Tech Start Date]],6),IF(Main[[#This Row],[Class]]="A",WORKDAY(Main[[#This Row],[Tech Start Date]],2),""))))</f>
        <v>40290</v>
      </c>
      <c r="N1304" s="69">
        <f>IF(Main[[#This Row],[Tech Start Date]]&lt;1/1/1990,"",IF(Main[[#This Row],[Class]]="C",WORKDAY(Main[[#This Row],[Tech Start Date]],19),IF(Main[[#This Row],[Class]]="B", WORKDAY(Main[[#This Row],[Tech Start Date]],12),IF(Main[[#This Row],[Class]]="A",WORKDAY(Main[[#This Row],[Tech Start Date]],4),""))))</f>
        <v>40294</v>
      </c>
      <c r="O1304" s="69">
        <f>IF(Main[[#This Row],[Tech Start Date]]&lt;1/1/1990,"",IF(Main[[#This Row],[Class]]="C",WORKDAY(Main[[#This Row],[Tech Start Date]],23),IF(Main[[#This Row],[Class]]="B", WORKDAY(Main[[#This Row],[Tech Start Date]],15),IF(Main[[#This Row],[Class]]="A",WORKDAY(Main[[#This Row],[Tech Start Date]],5),""))))</f>
        <v>40295</v>
      </c>
      <c r="P1304" s="69">
        <f>IF(Main[[#This Row],[Tech Start Date]]&lt;1/1/1990,"",IF(Main[[#This Row],[Class]]="C",WORKDAY(Main[[#This Row],[Tech Start Date]],28),IF(Main[[#This Row],[Class]]="B", WORKDAY(Main[[#This Row],[Tech Start Date]],19),IF(Main[[#This Row],[Class]]="A",WORKDAY(Main[[#This Row],[Tech Start Date]],9),""))))</f>
        <v>40301</v>
      </c>
      <c r="Q1304" s="67"/>
      <c r="R1304" s="67">
        <v>40309</v>
      </c>
      <c r="S1304" s="65" t="s">
        <v>6</v>
      </c>
      <c r="T1304" s="70" t="s">
        <v>4</v>
      </c>
      <c r="U1304" s="65" t="s">
        <v>14</v>
      </c>
      <c r="V1304" s="65" t="s">
        <v>1917</v>
      </c>
      <c r="W1304" s="65" t="s">
        <v>4</v>
      </c>
      <c r="X1304" s="65" t="s">
        <v>2836</v>
      </c>
      <c r="Y1304" s="65" t="s">
        <v>2965</v>
      </c>
      <c r="Z1304" s="65" t="s">
        <v>306</v>
      </c>
      <c r="AA1304" s="65" t="s">
        <v>2836</v>
      </c>
    </row>
    <row r="1305" spans="1:27" ht="17.45" hidden="1" customHeight="1">
      <c r="A1305" s="100" t="str">
        <f>IF(priority(Main[[#This Row],[Comments]])&lt;&gt;0, priority(Main[[#This Row],[Comments]]),"")</f>
        <v/>
      </c>
      <c r="B1305" s="77" t="s">
        <v>1820</v>
      </c>
      <c r="C1305" s="65" t="s">
        <v>4</v>
      </c>
      <c r="D1305" s="66" t="s">
        <v>872</v>
      </c>
      <c r="E1305" s="67"/>
      <c r="F1305" s="67"/>
      <c r="G1305" s="64" t="str">
        <f>IF(stdProdLT(Main[[#This Row],[Comments]])=0.1,"N/A",IF(stdProdLT(Main[[#This Row],[Comments]])=0,"",stdProdLT(Main[[#This Row],[Comments]])))</f>
        <v/>
      </c>
      <c r="H1305" s="68" t="str">
        <f>IF(AND(Main[[#This Row],[In Stock Date]]&lt;&gt;"",Main[[#This Row],[Revised Due Date]]&lt;&gt;""),Main[[#This Row],[In Stock Date]]-Main[[#This Row],[Revised Due Date]],"")</f>
        <v/>
      </c>
      <c r="I1305" s="65" t="s">
        <v>765</v>
      </c>
      <c r="J1305" s="65" t="s">
        <v>4</v>
      </c>
      <c r="K1305" s="65" t="s">
        <v>1921</v>
      </c>
      <c r="L1305" s="67">
        <v>40291</v>
      </c>
      <c r="M1305" s="69">
        <f>IF(Main[[#This Row],[Tech Start Date]]&lt;1/1/1990,"",IF(Main[[#This Row],[Class]]="C",WORKDAY(Main[[#This Row],[Tech Start Date]],9),IF(Main[[#This Row],[Class]]="B", WORKDAY(Main[[#This Row],[Tech Start Date]],6),IF(Main[[#This Row],[Class]]="A",WORKDAY(Main[[#This Row],[Tech Start Date]],2),""))))</f>
        <v>40301</v>
      </c>
      <c r="N1305" s="69">
        <f>IF(Main[[#This Row],[Tech Start Date]]&lt;1/1/1990,"",IF(Main[[#This Row],[Class]]="C",WORKDAY(Main[[#This Row],[Tech Start Date]],19),IF(Main[[#This Row],[Class]]="B", WORKDAY(Main[[#This Row],[Tech Start Date]],12),IF(Main[[#This Row],[Class]]="A",WORKDAY(Main[[#This Row],[Tech Start Date]],4),""))))</f>
        <v>40309</v>
      </c>
      <c r="O1305" s="69">
        <f>IF(Main[[#This Row],[Tech Start Date]]&lt;1/1/1990,"",IF(Main[[#This Row],[Class]]="C",WORKDAY(Main[[#This Row],[Tech Start Date]],23),IF(Main[[#This Row],[Class]]="B", WORKDAY(Main[[#This Row],[Tech Start Date]],15),IF(Main[[#This Row],[Class]]="A",WORKDAY(Main[[#This Row],[Tech Start Date]],5),""))))</f>
        <v>40312</v>
      </c>
      <c r="P1305" s="69">
        <f>IF(Main[[#This Row],[Tech Start Date]]&lt;1/1/1990,"",IF(Main[[#This Row],[Class]]="C",WORKDAY(Main[[#This Row],[Tech Start Date]],28),IF(Main[[#This Row],[Class]]="B", WORKDAY(Main[[#This Row],[Tech Start Date]],19),IF(Main[[#This Row],[Class]]="A",WORKDAY(Main[[#This Row],[Tech Start Date]],9),""))))</f>
        <v>40318</v>
      </c>
      <c r="Q1305" s="67">
        <v>40312</v>
      </c>
      <c r="R1305" s="67">
        <v>40312</v>
      </c>
      <c r="S1305" s="65" t="s">
        <v>6</v>
      </c>
      <c r="T1305" s="70" t="s">
        <v>4</v>
      </c>
      <c r="U1305" s="65" t="s">
        <v>14</v>
      </c>
      <c r="V1305" s="65" t="s">
        <v>1917</v>
      </c>
      <c r="W1305" s="65" t="s">
        <v>4</v>
      </c>
      <c r="X1305" s="65" t="s">
        <v>2918</v>
      </c>
      <c r="Y1305" s="65" t="s">
        <v>3145</v>
      </c>
      <c r="Z1305" s="65" t="s">
        <v>4</v>
      </c>
      <c r="AA1305" s="65" t="s">
        <v>2918</v>
      </c>
    </row>
    <row r="1306" spans="1:27" ht="17.45" hidden="1" customHeight="1">
      <c r="A1306" s="100" t="str">
        <f>IF(priority(Main[[#This Row],[Comments]])&lt;&gt;0, priority(Main[[#This Row],[Comments]]),"")</f>
        <v/>
      </c>
      <c r="B1306" s="77" t="s">
        <v>1822</v>
      </c>
      <c r="C1306" s="65" t="s">
        <v>4</v>
      </c>
      <c r="D1306" s="66" t="s">
        <v>2132</v>
      </c>
      <c r="E1306" s="67"/>
      <c r="F1306" s="67"/>
      <c r="G1306" s="64" t="str">
        <f>IF(stdProdLT(Main[[#This Row],[Comments]])=0.1,"N/A",IF(stdProdLT(Main[[#This Row],[Comments]])=0,"",stdProdLT(Main[[#This Row],[Comments]])))</f>
        <v/>
      </c>
      <c r="H1306" s="68" t="str">
        <f>IF(AND(Main[[#This Row],[In Stock Date]]&lt;&gt;"",Main[[#This Row],[Revised Due Date]]&lt;&gt;""),Main[[#This Row],[In Stock Date]]-Main[[#This Row],[Revised Due Date]],"")</f>
        <v/>
      </c>
      <c r="I1306" s="65" t="s">
        <v>530</v>
      </c>
      <c r="J1306" s="65" t="s">
        <v>28</v>
      </c>
      <c r="K1306" s="65" t="s">
        <v>1921</v>
      </c>
      <c r="L1306" s="67">
        <v>40294</v>
      </c>
      <c r="M1306" s="69">
        <f>IF(Main[[#This Row],[Tech Start Date]]&lt;1/1/1990,"",IF(Main[[#This Row],[Class]]="C",WORKDAY(Main[[#This Row],[Tech Start Date]],9),IF(Main[[#This Row],[Class]]="B", WORKDAY(Main[[#This Row],[Tech Start Date]],6),IF(Main[[#This Row],[Class]]="A",WORKDAY(Main[[#This Row],[Tech Start Date]],2),""))))</f>
        <v>40302</v>
      </c>
      <c r="N1306" s="69">
        <f>IF(Main[[#This Row],[Tech Start Date]]&lt;1/1/1990,"",IF(Main[[#This Row],[Class]]="C",WORKDAY(Main[[#This Row],[Tech Start Date]],19),IF(Main[[#This Row],[Class]]="B", WORKDAY(Main[[#This Row],[Tech Start Date]],12),IF(Main[[#This Row],[Class]]="A",WORKDAY(Main[[#This Row],[Tech Start Date]],4),""))))</f>
        <v>40310</v>
      </c>
      <c r="O1306" s="69">
        <f>IF(Main[[#This Row],[Tech Start Date]]&lt;1/1/1990,"",IF(Main[[#This Row],[Class]]="C",WORKDAY(Main[[#This Row],[Tech Start Date]],23),IF(Main[[#This Row],[Class]]="B", WORKDAY(Main[[#This Row],[Tech Start Date]],15),IF(Main[[#This Row],[Class]]="A",WORKDAY(Main[[#This Row],[Tech Start Date]],5),""))))</f>
        <v>40315</v>
      </c>
      <c r="P1306" s="69">
        <f>IF(Main[[#This Row],[Tech Start Date]]&lt;1/1/1990,"",IF(Main[[#This Row],[Class]]="C",WORKDAY(Main[[#This Row],[Tech Start Date]],28),IF(Main[[#This Row],[Class]]="B", WORKDAY(Main[[#This Row],[Tech Start Date]],19),IF(Main[[#This Row],[Class]]="A",WORKDAY(Main[[#This Row],[Tech Start Date]],9),""))))</f>
        <v>40319</v>
      </c>
      <c r="Q1306" s="67">
        <v>40329</v>
      </c>
      <c r="R1306" s="67">
        <v>40326</v>
      </c>
      <c r="S1306" s="65" t="s">
        <v>6</v>
      </c>
      <c r="T1306" s="70" t="s">
        <v>4</v>
      </c>
      <c r="U1306" s="65" t="s">
        <v>14</v>
      </c>
      <c r="V1306" s="65" t="s">
        <v>1917</v>
      </c>
      <c r="W1306" s="65" t="s">
        <v>1918</v>
      </c>
      <c r="X1306" s="65" t="s">
        <v>2918</v>
      </c>
      <c r="Y1306" s="65" t="s">
        <v>3145</v>
      </c>
      <c r="Z1306" s="65" t="s">
        <v>30</v>
      </c>
      <c r="AA1306" s="65" t="s">
        <v>2918</v>
      </c>
    </row>
    <row r="1307" spans="1:27" ht="17.45" hidden="1" customHeight="1">
      <c r="A1307" s="100" t="str">
        <f>IF(priority(Main[[#This Row],[Comments]])&lt;&gt;0, priority(Main[[#This Row],[Comments]]),"")</f>
        <v/>
      </c>
      <c r="B1307" s="77" t="s">
        <v>1821</v>
      </c>
      <c r="C1307" s="65" t="s">
        <v>4</v>
      </c>
      <c r="D1307" s="66" t="s">
        <v>873</v>
      </c>
      <c r="E1307" s="67"/>
      <c r="F1307" s="67"/>
      <c r="G1307" s="64" t="str">
        <f>IF(stdProdLT(Main[[#This Row],[Comments]])=0.1,"N/A",IF(stdProdLT(Main[[#This Row],[Comments]])=0,"",stdProdLT(Main[[#This Row],[Comments]])))</f>
        <v/>
      </c>
      <c r="H1307" s="68" t="str">
        <f>IF(AND(Main[[#This Row],[In Stock Date]]&lt;&gt;"",Main[[#This Row],[Revised Due Date]]&lt;&gt;""),Main[[#This Row],[In Stock Date]]-Main[[#This Row],[Revised Due Date]],"")</f>
        <v/>
      </c>
      <c r="I1307" s="65" t="s">
        <v>489</v>
      </c>
      <c r="J1307" s="65" t="s">
        <v>4</v>
      </c>
      <c r="K1307" s="65" t="s">
        <v>1921</v>
      </c>
      <c r="L1307" s="67">
        <v>40295</v>
      </c>
      <c r="M1307" s="69">
        <f>IF(Main[[#This Row],[Tech Start Date]]&lt;1/1/1990,"",IF(Main[[#This Row],[Class]]="C",WORKDAY(Main[[#This Row],[Tech Start Date]],9),IF(Main[[#This Row],[Class]]="B", WORKDAY(Main[[#This Row],[Tech Start Date]],6),IF(Main[[#This Row],[Class]]="A",WORKDAY(Main[[#This Row],[Tech Start Date]],2),""))))</f>
        <v>40303</v>
      </c>
      <c r="N1307" s="69">
        <f>IF(Main[[#This Row],[Tech Start Date]]&lt;1/1/1990,"",IF(Main[[#This Row],[Class]]="C",WORKDAY(Main[[#This Row],[Tech Start Date]],19),IF(Main[[#This Row],[Class]]="B", WORKDAY(Main[[#This Row],[Tech Start Date]],12),IF(Main[[#This Row],[Class]]="A",WORKDAY(Main[[#This Row],[Tech Start Date]],4),""))))</f>
        <v>40311</v>
      </c>
      <c r="O1307" s="69">
        <f>IF(Main[[#This Row],[Tech Start Date]]&lt;1/1/1990,"",IF(Main[[#This Row],[Class]]="C",WORKDAY(Main[[#This Row],[Tech Start Date]],23),IF(Main[[#This Row],[Class]]="B", WORKDAY(Main[[#This Row],[Tech Start Date]],15),IF(Main[[#This Row],[Class]]="A",WORKDAY(Main[[#This Row],[Tech Start Date]],5),""))))</f>
        <v>40316</v>
      </c>
      <c r="P1307" s="69">
        <f>IF(Main[[#This Row],[Tech Start Date]]&lt;1/1/1990,"",IF(Main[[#This Row],[Class]]="C",WORKDAY(Main[[#This Row],[Tech Start Date]],28),IF(Main[[#This Row],[Class]]="B", WORKDAY(Main[[#This Row],[Tech Start Date]],19),IF(Main[[#This Row],[Class]]="A",WORKDAY(Main[[#This Row],[Tech Start Date]],9),""))))</f>
        <v>40322</v>
      </c>
      <c r="Q1307" s="67">
        <v>40329</v>
      </c>
      <c r="R1307" s="67">
        <v>40325</v>
      </c>
      <c r="S1307" s="65" t="s">
        <v>6</v>
      </c>
      <c r="T1307" s="70" t="s">
        <v>4</v>
      </c>
      <c r="U1307" s="65" t="s">
        <v>14</v>
      </c>
      <c r="V1307" s="65" t="s">
        <v>1917</v>
      </c>
      <c r="W1307" s="65" t="s">
        <v>4</v>
      </c>
      <c r="X1307" s="65" t="s">
        <v>2918</v>
      </c>
      <c r="Y1307" s="65" t="s">
        <v>3145</v>
      </c>
      <c r="Z1307" s="65" t="s">
        <v>973</v>
      </c>
      <c r="AA1307" s="65" t="s">
        <v>2918</v>
      </c>
    </row>
    <row r="1308" spans="1:27" ht="17.45" hidden="1" customHeight="1">
      <c r="A1308" s="100" t="str">
        <f>IF(priority(Main[[#This Row],[Comments]])&lt;&gt;0, priority(Main[[#This Row],[Comments]]),"")</f>
        <v/>
      </c>
      <c r="B1308" s="77" t="s">
        <v>1871</v>
      </c>
      <c r="C1308" s="65" t="s">
        <v>33</v>
      </c>
      <c r="D1308" s="66" t="s">
        <v>926</v>
      </c>
      <c r="E1308" s="67">
        <v>40314.31863425926</v>
      </c>
      <c r="F1308" s="67">
        <v>40489</v>
      </c>
      <c r="G1308" s="64" t="str">
        <f>IF(stdProdLT(Main[[#This Row],[Comments]])=0.1,"N/A",IF(stdProdLT(Main[[#This Row],[Comments]])=0,"",stdProdLT(Main[[#This Row],[Comments]])))</f>
        <v/>
      </c>
      <c r="H1308" s="68">
        <f>IF(AND(Main[[#This Row],[In Stock Date]]&lt;&gt;"",Main[[#This Row],[Revised Due Date]]&lt;&gt;""),Main[[#This Row],[In Stock Date]]-Main[[#This Row],[Revised Due Date]],"")</f>
        <v>-373</v>
      </c>
      <c r="I1308" s="65" t="s">
        <v>163</v>
      </c>
      <c r="J1308" s="65" t="s">
        <v>4</v>
      </c>
      <c r="K1308" s="65" t="s">
        <v>1926</v>
      </c>
      <c r="L1308" s="67">
        <v>40331</v>
      </c>
      <c r="M1308" s="69" t="str">
        <f>IF(Main[[#This Row],[Tech Start Date]]&lt;1/1/1990,"",IF(Main[[#This Row],[Class]]="C",WORKDAY(Main[[#This Row],[Tech Start Date]],9),IF(Main[[#This Row],[Class]]="B", WORKDAY(Main[[#This Row],[Tech Start Date]],6),IF(Main[[#This Row],[Class]]="A",WORKDAY(Main[[#This Row],[Tech Start Date]],2),""))))</f>
        <v/>
      </c>
      <c r="N1308" s="69" t="str">
        <f>IF(Main[[#This Row],[Tech Start Date]]&lt;1/1/1990,"",IF(Main[[#This Row],[Class]]="C",WORKDAY(Main[[#This Row],[Tech Start Date]],19),IF(Main[[#This Row],[Class]]="B", WORKDAY(Main[[#This Row],[Tech Start Date]],12),IF(Main[[#This Row],[Class]]="A",WORKDAY(Main[[#This Row],[Tech Start Date]],4),""))))</f>
        <v/>
      </c>
      <c r="O1308" s="69" t="str">
        <f>IF(Main[[#This Row],[Tech Start Date]]&lt;1/1/1990,"",IF(Main[[#This Row],[Class]]="C",WORKDAY(Main[[#This Row],[Tech Start Date]],23),IF(Main[[#This Row],[Class]]="B", WORKDAY(Main[[#This Row],[Tech Start Date]],15),IF(Main[[#This Row],[Class]]="A",WORKDAY(Main[[#This Row],[Tech Start Date]],5),""))))</f>
        <v/>
      </c>
      <c r="P1308" s="69" t="str">
        <f>IF(Main[[#This Row],[Tech Start Date]]&lt;1/1/1990,"",IF(Main[[#This Row],[Class]]="C",WORKDAY(Main[[#This Row],[Tech Start Date]],28),IF(Main[[#This Row],[Class]]="B", WORKDAY(Main[[#This Row],[Tech Start Date]],19),IF(Main[[#This Row],[Class]]="A",WORKDAY(Main[[#This Row],[Tech Start Date]],9),""))))</f>
        <v/>
      </c>
      <c r="Q1308" s="67">
        <v>40349</v>
      </c>
      <c r="R1308" s="67">
        <v>40862</v>
      </c>
      <c r="S1308" s="65" t="s">
        <v>17</v>
      </c>
      <c r="T1308" s="70" t="s">
        <v>4</v>
      </c>
      <c r="U1308" s="65" t="s">
        <v>29</v>
      </c>
      <c r="V1308" s="65" t="s">
        <v>1917</v>
      </c>
      <c r="W1308" s="65" t="s">
        <v>1919</v>
      </c>
      <c r="X1308" s="65" t="s">
        <v>2919</v>
      </c>
      <c r="Y1308" s="65" t="s">
        <v>4</v>
      </c>
      <c r="Z1308" s="65" t="s">
        <v>415</v>
      </c>
      <c r="AA1308" s="65" t="s">
        <v>2919</v>
      </c>
    </row>
    <row r="1309" spans="1:27" ht="17.45" hidden="1" customHeight="1">
      <c r="A1309" s="100" t="str">
        <f>IF(priority(Main[[#This Row],[Comments]])&lt;&gt;0, priority(Main[[#This Row],[Comments]]),"")</f>
        <v/>
      </c>
      <c r="B1309" s="77" t="s">
        <v>1831</v>
      </c>
      <c r="C1309" s="65" t="s">
        <v>180</v>
      </c>
      <c r="D1309" s="66" t="s">
        <v>882</v>
      </c>
      <c r="E1309" s="67"/>
      <c r="F1309" s="67">
        <v>40421</v>
      </c>
      <c r="G1309" s="64" t="str">
        <f>IF(stdProdLT(Main[[#This Row],[Comments]])=0.1,"N/A",IF(stdProdLT(Main[[#This Row],[Comments]])=0,"",stdProdLT(Main[[#This Row],[Comments]])))</f>
        <v/>
      </c>
      <c r="H1309" s="68">
        <f>IF(AND(Main[[#This Row],[In Stock Date]]&lt;&gt;"",Main[[#This Row],[Revised Due Date]]&lt;&gt;""),Main[[#This Row],[In Stock Date]]-Main[[#This Row],[Revised Due Date]],"")</f>
        <v>4</v>
      </c>
      <c r="I1309" s="65" t="s">
        <v>883</v>
      </c>
      <c r="J1309" s="65" t="s">
        <v>51</v>
      </c>
      <c r="K1309" s="65" t="s">
        <v>1923</v>
      </c>
      <c r="L1309" s="67">
        <v>40354</v>
      </c>
      <c r="M1309" s="69">
        <f>IF(Main[[#This Row],[Tech Start Date]]&lt;1/1/1990,"",IF(Main[[#This Row],[Class]]="C",WORKDAY(Main[[#This Row],[Tech Start Date]],9),IF(Main[[#This Row],[Class]]="B", WORKDAY(Main[[#This Row],[Tech Start Date]],6),IF(Main[[#This Row],[Class]]="A",WORKDAY(Main[[#This Row],[Tech Start Date]],2),""))))</f>
        <v>40358</v>
      </c>
      <c r="N1309" s="69">
        <f>IF(Main[[#This Row],[Tech Start Date]]&lt;1/1/1990,"",IF(Main[[#This Row],[Class]]="C",WORKDAY(Main[[#This Row],[Tech Start Date]],19),IF(Main[[#This Row],[Class]]="B", WORKDAY(Main[[#This Row],[Tech Start Date]],12),IF(Main[[#This Row],[Class]]="A",WORKDAY(Main[[#This Row],[Tech Start Date]],4),""))))</f>
        <v>40360</v>
      </c>
      <c r="O1309" s="69">
        <f>IF(Main[[#This Row],[Tech Start Date]]&lt;1/1/1990,"",IF(Main[[#This Row],[Class]]="C",WORKDAY(Main[[#This Row],[Tech Start Date]],23),IF(Main[[#This Row],[Class]]="B", WORKDAY(Main[[#This Row],[Tech Start Date]],15),IF(Main[[#This Row],[Class]]="A",WORKDAY(Main[[#This Row],[Tech Start Date]],5),""))))</f>
        <v>40361</v>
      </c>
      <c r="P1309" s="69">
        <f>IF(Main[[#This Row],[Tech Start Date]]&lt;1/1/1990,"",IF(Main[[#This Row],[Class]]="C",WORKDAY(Main[[#This Row],[Tech Start Date]],28),IF(Main[[#This Row],[Class]]="B", WORKDAY(Main[[#This Row],[Tech Start Date]],19),IF(Main[[#This Row],[Class]]="A",WORKDAY(Main[[#This Row],[Tech Start Date]],9),""))))</f>
        <v>40367</v>
      </c>
      <c r="Q1309" s="67">
        <v>40417</v>
      </c>
      <c r="R1309" s="67">
        <v>40417</v>
      </c>
      <c r="S1309" s="65" t="s">
        <v>11</v>
      </c>
      <c r="T1309" s="70" t="s">
        <v>4</v>
      </c>
      <c r="U1309" s="65" t="s">
        <v>14</v>
      </c>
      <c r="V1309" s="65" t="s">
        <v>1924</v>
      </c>
      <c r="W1309" s="65" t="s">
        <v>1920</v>
      </c>
      <c r="X1309" s="65" t="s">
        <v>2872</v>
      </c>
      <c r="Y1309" s="65" t="s">
        <v>2996</v>
      </c>
      <c r="Z1309" s="65" t="s">
        <v>883</v>
      </c>
      <c r="AA1309" s="65" t="s">
        <v>2872</v>
      </c>
    </row>
    <row r="1310" spans="1:27" ht="17.45" hidden="1" customHeight="1">
      <c r="A1310" s="100" t="str">
        <f>IF(priority(Main[[#This Row],[Comments]])&lt;&gt;0, priority(Main[[#This Row],[Comments]]),"")</f>
        <v/>
      </c>
      <c r="B1310" s="77" t="s">
        <v>1830</v>
      </c>
      <c r="C1310" s="65" t="s">
        <v>180</v>
      </c>
      <c r="D1310" s="66" t="s">
        <v>884</v>
      </c>
      <c r="E1310" s="67"/>
      <c r="F1310" s="67">
        <v>40421</v>
      </c>
      <c r="G1310" s="64" t="str">
        <f>IF(stdProdLT(Main[[#This Row],[Comments]])=0.1,"N/A",IF(stdProdLT(Main[[#This Row],[Comments]])=0,"",stdProdLT(Main[[#This Row],[Comments]])))</f>
        <v/>
      </c>
      <c r="H1310" s="68">
        <f>IF(AND(Main[[#This Row],[In Stock Date]]&lt;&gt;"",Main[[#This Row],[Revised Due Date]]&lt;&gt;""),Main[[#This Row],[In Stock Date]]-Main[[#This Row],[Revised Due Date]],"")</f>
        <v>4</v>
      </c>
      <c r="I1310" s="65" t="s">
        <v>883</v>
      </c>
      <c r="J1310" s="65" t="s">
        <v>51</v>
      </c>
      <c r="K1310" s="65" t="s">
        <v>1923</v>
      </c>
      <c r="L1310" s="67">
        <v>40354</v>
      </c>
      <c r="M1310" s="69">
        <f>IF(Main[[#This Row],[Tech Start Date]]&lt;1/1/1990,"",IF(Main[[#This Row],[Class]]="C",WORKDAY(Main[[#This Row],[Tech Start Date]],9),IF(Main[[#This Row],[Class]]="B", WORKDAY(Main[[#This Row],[Tech Start Date]],6),IF(Main[[#This Row],[Class]]="A",WORKDAY(Main[[#This Row],[Tech Start Date]],2),""))))</f>
        <v>40358</v>
      </c>
      <c r="N1310" s="69">
        <f>IF(Main[[#This Row],[Tech Start Date]]&lt;1/1/1990,"",IF(Main[[#This Row],[Class]]="C",WORKDAY(Main[[#This Row],[Tech Start Date]],19),IF(Main[[#This Row],[Class]]="B", WORKDAY(Main[[#This Row],[Tech Start Date]],12),IF(Main[[#This Row],[Class]]="A",WORKDAY(Main[[#This Row],[Tech Start Date]],4),""))))</f>
        <v>40360</v>
      </c>
      <c r="O1310" s="69">
        <f>IF(Main[[#This Row],[Tech Start Date]]&lt;1/1/1990,"",IF(Main[[#This Row],[Class]]="C",WORKDAY(Main[[#This Row],[Tech Start Date]],23),IF(Main[[#This Row],[Class]]="B", WORKDAY(Main[[#This Row],[Tech Start Date]],15),IF(Main[[#This Row],[Class]]="A",WORKDAY(Main[[#This Row],[Tech Start Date]],5),""))))</f>
        <v>40361</v>
      </c>
      <c r="P1310" s="69">
        <f>IF(Main[[#This Row],[Tech Start Date]]&lt;1/1/1990,"",IF(Main[[#This Row],[Class]]="C",WORKDAY(Main[[#This Row],[Tech Start Date]],28),IF(Main[[#This Row],[Class]]="B", WORKDAY(Main[[#This Row],[Tech Start Date]],19),IF(Main[[#This Row],[Class]]="A",WORKDAY(Main[[#This Row],[Tech Start Date]],9),""))))</f>
        <v>40367</v>
      </c>
      <c r="Q1310" s="67">
        <v>40417</v>
      </c>
      <c r="R1310" s="67">
        <v>40417</v>
      </c>
      <c r="S1310" s="65" t="s">
        <v>11</v>
      </c>
      <c r="T1310" s="70" t="s">
        <v>4</v>
      </c>
      <c r="U1310" s="65" t="s">
        <v>14</v>
      </c>
      <c r="V1310" s="65" t="s">
        <v>1924</v>
      </c>
      <c r="W1310" s="65" t="s">
        <v>1920</v>
      </c>
      <c r="X1310" s="65" t="s">
        <v>2872</v>
      </c>
      <c r="Y1310" s="65" t="s">
        <v>2996</v>
      </c>
      <c r="Z1310" s="65" t="s">
        <v>883</v>
      </c>
      <c r="AA1310" s="65" t="s">
        <v>2872</v>
      </c>
    </row>
    <row r="1311" spans="1:27" ht="17.45" hidden="1" customHeight="1">
      <c r="A1311" s="100" t="str">
        <f>IF(priority(Main[[#This Row],[Comments]])&lt;&gt;0, priority(Main[[#This Row],[Comments]]),"")</f>
        <v/>
      </c>
      <c r="B1311" s="77" t="s">
        <v>1828</v>
      </c>
      <c r="C1311" s="65" t="s">
        <v>879</v>
      </c>
      <c r="D1311" s="66" t="s">
        <v>880</v>
      </c>
      <c r="E1311" s="67"/>
      <c r="F1311" s="67">
        <v>40442</v>
      </c>
      <c r="G1311" s="64" t="str">
        <f>IF(stdProdLT(Main[[#This Row],[Comments]])=0.1,"N/A",IF(stdProdLT(Main[[#This Row],[Comments]])=0,"",stdProdLT(Main[[#This Row],[Comments]])))</f>
        <v/>
      </c>
      <c r="H1311" s="68">
        <f>IF(AND(Main[[#This Row],[In Stock Date]]&lt;&gt;"",Main[[#This Row],[Revised Due Date]]&lt;&gt;""),Main[[#This Row],[In Stock Date]]-Main[[#This Row],[Revised Due Date]],"")</f>
        <v>40</v>
      </c>
      <c r="I1311" s="65" t="s">
        <v>553</v>
      </c>
      <c r="J1311" s="65" t="s">
        <v>28</v>
      </c>
      <c r="K1311" s="65" t="s">
        <v>1926</v>
      </c>
      <c r="L1311" s="67">
        <v>40366</v>
      </c>
      <c r="M1311" s="69" t="str">
        <f>IF(Main[[#This Row],[Tech Start Date]]&lt;1/1/1990,"",IF(Main[[#This Row],[Class]]="C",WORKDAY(Main[[#This Row],[Tech Start Date]],9),IF(Main[[#This Row],[Class]]="B", WORKDAY(Main[[#This Row],[Tech Start Date]],6),IF(Main[[#This Row],[Class]]="A",WORKDAY(Main[[#This Row],[Tech Start Date]],2),""))))</f>
        <v/>
      </c>
      <c r="N1311" s="69" t="str">
        <f>IF(Main[[#This Row],[Tech Start Date]]&lt;1/1/1990,"",IF(Main[[#This Row],[Class]]="C",WORKDAY(Main[[#This Row],[Tech Start Date]],19),IF(Main[[#This Row],[Class]]="B", WORKDAY(Main[[#This Row],[Tech Start Date]],12),IF(Main[[#This Row],[Class]]="A",WORKDAY(Main[[#This Row],[Tech Start Date]],4),""))))</f>
        <v/>
      </c>
      <c r="O1311" s="69" t="str">
        <f>IF(Main[[#This Row],[Tech Start Date]]&lt;1/1/1990,"",IF(Main[[#This Row],[Class]]="C",WORKDAY(Main[[#This Row],[Tech Start Date]],23),IF(Main[[#This Row],[Class]]="B", WORKDAY(Main[[#This Row],[Tech Start Date]],15),IF(Main[[#This Row],[Class]]="A",WORKDAY(Main[[#This Row],[Tech Start Date]],5),""))))</f>
        <v/>
      </c>
      <c r="P1311" s="69" t="str">
        <f>IF(Main[[#This Row],[Tech Start Date]]&lt;1/1/1990,"",IF(Main[[#This Row],[Class]]="C",WORKDAY(Main[[#This Row],[Tech Start Date]],28),IF(Main[[#This Row],[Class]]="B", WORKDAY(Main[[#This Row],[Tech Start Date]],19),IF(Main[[#This Row],[Class]]="A",WORKDAY(Main[[#This Row],[Tech Start Date]],9),""))))</f>
        <v/>
      </c>
      <c r="Q1311" s="67">
        <v>40374</v>
      </c>
      <c r="R1311" s="67">
        <v>40402</v>
      </c>
      <c r="S1311" s="65" t="s">
        <v>11</v>
      </c>
      <c r="T1311" s="70" t="s">
        <v>4</v>
      </c>
      <c r="U1311" s="65" t="s">
        <v>14</v>
      </c>
      <c r="V1311" s="65" t="s">
        <v>1917</v>
      </c>
      <c r="W1311" s="65" t="s">
        <v>1919</v>
      </c>
      <c r="X1311" s="65" t="s">
        <v>2874</v>
      </c>
      <c r="Y1311" s="65" t="s">
        <v>3019</v>
      </c>
      <c r="Z1311" s="65" t="s">
        <v>4</v>
      </c>
      <c r="AA1311" s="65" t="s">
        <v>2874</v>
      </c>
    </row>
    <row r="1312" spans="1:27" ht="17.45" hidden="1" customHeight="1">
      <c r="A1312" s="100" t="str">
        <f>IF(priority(Main[[#This Row],[Comments]])&lt;&gt;0, priority(Main[[#This Row],[Comments]]),"")</f>
        <v/>
      </c>
      <c r="B1312" s="77" t="s">
        <v>1245</v>
      </c>
      <c r="C1312" s="65" t="s">
        <v>4</v>
      </c>
      <c r="D1312" s="66" t="s">
        <v>309</v>
      </c>
      <c r="E1312" s="67">
        <v>40395.401192129626</v>
      </c>
      <c r="F1312" s="67">
        <v>40574</v>
      </c>
      <c r="G1312" s="64" t="str">
        <f>IF(stdProdLT(Main[[#This Row],[Comments]])=0.1,"N/A",IF(stdProdLT(Main[[#This Row],[Comments]])=0,"",stdProdLT(Main[[#This Row],[Comments]])))</f>
        <v/>
      </c>
      <c r="H1312" s="68">
        <f>IF(AND(Main[[#This Row],[In Stock Date]]&lt;&gt;"",Main[[#This Row],[Revised Due Date]]&lt;&gt;""),Main[[#This Row],[In Stock Date]]-Main[[#This Row],[Revised Due Date]],"")</f>
        <v>-465</v>
      </c>
      <c r="I1312" s="65" t="s">
        <v>4</v>
      </c>
      <c r="J1312" s="65" t="s">
        <v>28</v>
      </c>
      <c r="K1312" s="65" t="s">
        <v>1926</v>
      </c>
      <c r="L1312" s="67">
        <v>40405</v>
      </c>
      <c r="M1312" s="69" t="str">
        <f>IF(Main[[#This Row],[Tech Start Date]]&lt;1/1/1990,"",IF(Main[[#This Row],[Class]]="C",WORKDAY(Main[[#This Row],[Tech Start Date]],9),IF(Main[[#This Row],[Class]]="B", WORKDAY(Main[[#This Row],[Tech Start Date]],6),IF(Main[[#This Row],[Class]]="A",WORKDAY(Main[[#This Row],[Tech Start Date]],2),""))))</f>
        <v/>
      </c>
      <c r="N1312" s="69" t="str">
        <f>IF(Main[[#This Row],[Tech Start Date]]&lt;1/1/1990,"",IF(Main[[#This Row],[Class]]="C",WORKDAY(Main[[#This Row],[Tech Start Date]],19),IF(Main[[#This Row],[Class]]="B", WORKDAY(Main[[#This Row],[Tech Start Date]],12),IF(Main[[#This Row],[Class]]="A",WORKDAY(Main[[#This Row],[Tech Start Date]],4),""))))</f>
        <v/>
      </c>
      <c r="O1312" s="69" t="str">
        <f>IF(Main[[#This Row],[Tech Start Date]]&lt;1/1/1990,"",IF(Main[[#This Row],[Class]]="C",WORKDAY(Main[[#This Row],[Tech Start Date]],23),IF(Main[[#This Row],[Class]]="B", WORKDAY(Main[[#This Row],[Tech Start Date]],15),IF(Main[[#This Row],[Class]]="A",WORKDAY(Main[[#This Row],[Tech Start Date]],5),""))))</f>
        <v/>
      </c>
      <c r="P1312" s="69" t="str">
        <f>IF(Main[[#This Row],[Tech Start Date]]&lt;1/1/1990,"",IF(Main[[#This Row],[Class]]="C",WORKDAY(Main[[#This Row],[Tech Start Date]],28),IF(Main[[#This Row],[Class]]="B", WORKDAY(Main[[#This Row],[Tech Start Date]],19),IF(Main[[#This Row],[Class]]="A",WORKDAY(Main[[#This Row],[Tech Start Date]],9),""))))</f>
        <v/>
      </c>
      <c r="Q1312" s="67"/>
      <c r="R1312" s="67">
        <v>41039</v>
      </c>
      <c r="S1312" s="65" t="s">
        <v>17</v>
      </c>
      <c r="T1312" s="70" t="s">
        <v>4</v>
      </c>
      <c r="U1312" s="65" t="s">
        <v>29</v>
      </c>
      <c r="V1312" s="65" t="s">
        <v>1917</v>
      </c>
      <c r="W1312" s="65" t="s">
        <v>1919</v>
      </c>
      <c r="X1312" s="65" t="s">
        <v>50</v>
      </c>
      <c r="Y1312" s="65" t="s">
        <v>2985</v>
      </c>
      <c r="Z1312" s="65" t="s">
        <v>968</v>
      </c>
      <c r="AA1312" s="65" t="s">
        <v>65</v>
      </c>
    </row>
    <row r="1313" spans="1:27" ht="17.45" hidden="1" customHeight="1">
      <c r="A1313" s="100" t="str">
        <f>IF(priority(Main[[#This Row],[Comments]])&lt;&gt;0, priority(Main[[#This Row],[Comments]]),"")</f>
        <v/>
      </c>
      <c r="B1313" s="77" t="s">
        <v>1711</v>
      </c>
      <c r="C1313" s="65" t="s">
        <v>4</v>
      </c>
      <c r="D1313" s="66" t="s">
        <v>762</v>
      </c>
      <c r="E1313" s="67">
        <v>40395.395856481482</v>
      </c>
      <c r="F1313" s="67">
        <v>40574</v>
      </c>
      <c r="G1313" s="64" t="str">
        <f>IF(stdProdLT(Main[[#This Row],[Comments]])=0.1,"N/A",IF(stdProdLT(Main[[#This Row],[Comments]])=0,"",stdProdLT(Main[[#This Row],[Comments]])))</f>
        <v/>
      </c>
      <c r="H1313" s="68">
        <f>IF(AND(Main[[#This Row],[In Stock Date]]&lt;&gt;"",Main[[#This Row],[Revised Due Date]]&lt;&gt;""),Main[[#This Row],[In Stock Date]]-Main[[#This Row],[Revised Due Date]],"")</f>
        <v>-431</v>
      </c>
      <c r="I1313" s="65" t="s">
        <v>4</v>
      </c>
      <c r="J1313" s="65" t="s">
        <v>28</v>
      </c>
      <c r="K1313" s="65" t="s">
        <v>1926</v>
      </c>
      <c r="L1313" s="67">
        <v>40405</v>
      </c>
      <c r="M1313" s="69" t="str">
        <f>IF(Main[[#This Row],[Tech Start Date]]&lt;1/1/1990,"",IF(Main[[#This Row],[Class]]="C",WORKDAY(Main[[#This Row],[Tech Start Date]],9),IF(Main[[#This Row],[Class]]="B", WORKDAY(Main[[#This Row],[Tech Start Date]],6),IF(Main[[#This Row],[Class]]="A",WORKDAY(Main[[#This Row],[Tech Start Date]],2),""))))</f>
        <v/>
      </c>
      <c r="N1313" s="69" t="str">
        <f>IF(Main[[#This Row],[Tech Start Date]]&lt;1/1/1990,"",IF(Main[[#This Row],[Class]]="C",WORKDAY(Main[[#This Row],[Tech Start Date]],19),IF(Main[[#This Row],[Class]]="B", WORKDAY(Main[[#This Row],[Tech Start Date]],12),IF(Main[[#This Row],[Class]]="A",WORKDAY(Main[[#This Row],[Tech Start Date]],4),""))))</f>
        <v/>
      </c>
      <c r="O1313" s="69" t="str">
        <f>IF(Main[[#This Row],[Tech Start Date]]&lt;1/1/1990,"",IF(Main[[#This Row],[Class]]="C",WORKDAY(Main[[#This Row],[Tech Start Date]],23),IF(Main[[#This Row],[Class]]="B", WORKDAY(Main[[#This Row],[Tech Start Date]],15),IF(Main[[#This Row],[Class]]="A",WORKDAY(Main[[#This Row],[Tech Start Date]],5),""))))</f>
        <v/>
      </c>
      <c r="P1313" s="69" t="str">
        <f>IF(Main[[#This Row],[Tech Start Date]]&lt;1/1/1990,"",IF(Main[[#This Row],[Class]]="C",WORKDAY(Main[[#This Row],[Tech Start Date]],28),IF(Main[[#This Row],[Class]]="B", WORKDAY(Main[[#This Row],[Tech Start Date]],19),IF(Main[[#This Row],[Class]]="A",WORKDAY(Main[[#This Row],[Tech Start Date]],9),""))))</f>
        <v/>
      </c>
      <c r="Q1313" s="67"/>
      <c r="R1313" s="67">
        <v>41005</v>
      </c>
      <c r="S1313" s="65" t="s">
        <v>17</v>
      </c>
      <c r="T1313" s="70" t="s">
        <v>4</v>
      </c>
      <c r="U1313" s="65" t="s">
        <v>29</v>
      </c>
      <c r="V1313" s="65" t="s">
        <v>1917</v>
      </c>
      <c r="W1313" s="65" t="s">
        <v>1919</v>
      </c>
      <c r="X1313" s="65" t="s">
        <v>50</v>
      </c>
      <c r="Y1313" s="65" t="s">
        <v>2985</v>
      </c>
      <c r="Z1313" s="65" t="s">
        <v>968</v>
      </c>
      <c r="AA1313" s="65" t="s">
        <v>65</v>
      </c>
    </row>
    <row r="1314" spans="1:27" ht="17.45" hidden="1" customHeight="1">
      <c r="A1314" s="100" t="str">
        <f>IF(priority(Main[[#This Row],[Comments]])&lt;&gt;0, priority(Main[[#This Row],[Comments]]),"")</f>
        <v/>
      </c>
      <c r="B1314" s="77" t="s">
        <v>1521</v>
      </c>
      <c r="C1314" s="65" t="s">
        <v>4</v>
      </c>
      <c r="D1314" s="66" t="s">
        <v>3784</v>
      </c>
      <c r="E1314" s="67">
        <v>40436.377106481479</v>
      </c>
      <c r="F1314" s="67"/>
      <c r="G1314" s="64" t="str">
        <f>IF(stdProdLT(Main[[#This Row],[Comments]])=0.1,"N/A",IF(stdProdLT(Main[[#This Row],[Comments]])=0,"",stdProdLT(Main[[#This Row],[Comments]])))</f>
        <v/>
      </c>
      <c r="H1314" s="68" t="str">
        <f>IF(AND(Main[[#This Row],[In Stock Date]]&lt;&gt;"",Main[[#This Row],[Revised Due Date]]&lt;&gt;""),Main[[#This Row],[In Stock Date]]-Main[[#This Row],[Revised Due Date]],"")</f>
        <v/>
      </c>
      <c r="I1314" s="65" t="s">
        <v>886</v>
      </c>
      <c r="J1314" s="65" t="s">
        <v>4</v>
      </c>
      <c r="K1314" s="65" t="s">
        <v>1926</v>
      </c>
      <c r="L1314" s="67">
        <v>40441</v>
      </c>
      <c r="M1314" s="69" t="str">
        <f>IF(Main[[#This Row],[Tech Start Date]]&lt;1/1/1990,"",IF(Main[[#This Row],[Class]]="C",WORKDAY(Main[[#This Row],[Tech Start Date]],9),IF(Main[[#This Row],[Class]]="B", WORKDAY(Main[[#This Row],[Tech Start Date]],6),IF(Main[[#This Row],[Class]]="A",WORKDAY(Main[[#This Row],[Tech Start Date]],2),""))))</f>
        <v/>
      </c>
      <c r="N1314" s="69" t="str">
        <f>IF(Main[[#This Row],[Tech Start Date]]&lt;1/1/1990,"",IF(Main[[#This Row],[Class]]="C",WORKDAY(Main[[#This Row],[Tech Start Date]],19),IF(Main[[#This Row],[Class]]="B", WORKDAY(Main[[#This Row],[Tech Start Date]],12),IF(Main[[#This Row],[Class]]="A",WORKDAY(Main[[#This Row],[Tech Start Date]],4),""))))</f>
        <v/>
      </c>
      <c r="O1314" s="69" t="str">
        <f>IF(Main[[#This Row],[Tech Start Date]]&lt;1/1/1990,"",IF(Main[[#This Row],[Class]]="C",WORKDAY(Main[[#This Row],[Tech Start Date]],23),IF(Main[[#This Row],[Class]]="B", WORKDAY(Main[[#This Row],[Tech Start Date]],15),IF(Main[[#This Row],[Class]]="A",WORKDAY(Main[[#This Row],[Tech Start Date]],5),""))))</f>
        <v/>
      </c>
      <c r="P1314" s="69" t="str">
        <f>IF(Main[[#This Row],[Tech Start Date]]&lt;1/1/1990,"",IF(Main[[#This Row],[Class]]="C",WORKDAY(Main[[#This Row],[Tech Start Date]],28),IF(Main[[#This Row],[Class]]="B", WORKDAY(Main[[#This Row],[Tech Start Date]],19),IF(Main[[#This Row],[Class]]="A",WORKDAY(Main[[#This Row],[Tech Start Date]],9),""))))</f>
        <v/>
      </c>
      <c r="Q1314" s="67">
        <v>41274</v>
      </c>
      <c r="R1314" s="67">
        <v>41180</v>
      </c>
      <c r="S1314" s="65" t="s">
        <v>17</v>
      </c>
      <c r="T1314" s="70" t="s">
        <v>2602</v>
      </c>
      <c r="U1314" s="65" t="s">
        <v>29</v>
      </c>
      <c r="V1314" s="65" t="s">
        <v>1914</v>
      </c>
      <c r="W1314" s="65" t="s">
        <v>1919</v>
      </c>
      <c r="X1314" s="65" t="s">
        <v>922</v>
      </c>
      <c r="Y1314" s="65" t="s">
        <v>3146</v>
      </c>
      <c r="Z1314" s="65" t="s">
        <v>877</v>
      </c>
      <c r="AA1314" s="65" t="s">
        <v>2828</v>
      </c>
    </row>
    <row r="1315" spans="1:27" ht="17.45" hidden="1" customHeight="1">
      <c r="A1315" s="100" t="str">
        <f>IF(priority(Main[[#This Row],[Comments]])&lt;&gt;0, priority(Main[[#This Row],[Comments]]),"")</f>
        <v/>
      </c>
      <c r="B1315" s="77" t="s">
        <v>1839</v>
      </c>
      <c r="C1315" s="65" t="s">
        <v>4</v>
      </c>
      <c r="D1315" s="66" t="s">
        <v>895</v>
      </c>
      <c r="E1315" s="67"/>
      <c r="F1315" s="67"/>
      <c r="G1315" s="64" t="str">
        <f>IF(stdProdLT(Main[[#This Row],[Comments]])=0.1,"N/A",IF(stdProdLT(Main[[#This Row],[Comments]])=0,"",stdProdLT(Main[[#This Row],[Comments]])))</f>
        <v/>
      </c>
      <c r="H1315" s="68" t="str">
        <f>IF(AND(Main[[#This Row],[In Stock Date]]&lt;&gt;"",Main[[#This Row],[Revised Due Date]]&lt;&gt;""),Main[[#This Row],[In Stock Date]]-Main[[#This Row],[Revised Due Date]],"")</f>
        <v/>
      </c>
      <c r="I1315" s="65" t="s">
        <v>708</v>
      </c>
      <c r="J1315" s="65" t="s">
        <v>4</v>
      </c>
      <c r="K1315" s="71" t="s">
        <v>4</v>
      </c>
      <c r="L1315" s="67">
        <v>40469</v>
      </c>
      <c r="M1315" s="69" t="str">
        <f>IF(Main[[#This Row],[Tech Start Date]]&lt;1/1/1990,"",IF(Main[[#This Row],[Class]]="C",WORKDAY(Main[[#This Row],[Tech Start Date]],9),IF(Main[[#This Row],[Class]]="B", WORKDAY(Main[[#This Row],[Tech Start Date]],6),IF(Main[[#This Row],[Class]]="A",WORKDAY(Main[[#This Row],[Tech Start Date]],2),""))))</f>
        <v/>
      </c>
      <c r="N1315" s="69" t="str">
        <f>IF(Main[[#This Row],[Tech Start Date]]&lt;1/1/1990,"",IF(Main[[#This Row],[Class]]="C",WORKDAY(Main[[#This Row],[Tech Start Date]],19),IF(Main[[#This Row],[Class]]="B", WORKDAY(Main[[#This Row],[Tech Start Date]],12),IF(Main[[#This Row],[Class]]="A",WORKDAY(Main[[#This Row],[Tech Start Date]],4),""))))</f>
        <v/>
      </c>
      <c r="O1315" s="69" t="str">
        <f>IF(Main[[#This Row],[Tech Start Date]]&lt;1/1/1990,"",IF(Main[[#This Row],[Class]]="C",WORKDAY(Main[[#This Row],[Tech Start Date]],23),IF(Main[[#This Row],[Class]]="B", WORKDAY(Main[[#This Row],[Tech Start Date]],15),IF(Main[[#This Row],[Class]]="A",WORKDAY(Main[[#This Row],[Tech Start Date]],5),""))))</f>
        <v/>
      </c>
      <c r="P1315" s="69" t="str">
        <f>IF(Main[[#This Row],[Tech Start Date]]&lt;1/1/1990,"",IF(Main[[#This Row],[Class]]="C",WORKDAY(Main[[#This Row],[Tech Start Date]],28),IF(Main[[#This Row],[Class]]="B", WORKDAY(Main[[#This Row],[Tech Start Date]],19),IF(Main[[#This Row],[Class]]="A",WORKDAY(Main[[#This Row],[Tech Start Date]],9),""))))</f>
        <v/>
      </c>
      <c r="Q1315" s="67"/>
      <c r="R1315" s="67">
        <v>40473</v>
      </c>
      <c r="S1315" s="65" t="s">
        <v>23</v>
      </c>
      <c r="T1315" s="70" t="s">
        <v>4</v>
      </c>
      <c r="U1315" s="65" t="s">
        <v>14</v>
      </c>
      <c r="V1315" s="65" t="s">
        <v>1914</v>
      </c>
      <c r="W1315" s="65" t="s">
        <v>1918</v>
      </c>
      <c r="X1315" s="65" t="s">
        <v>306</v>
      </c>
      <c r="Y1315" s="65" t="s">
        <v>4</v>
      </c>
      <c r="Z1315" s="65" t="s">
        <v>129</v>
      </c>
      <c r="AA1315" s="65" t="s">
        <v>3471</v>
      </c>
    </row>
    <row r="1316" spans="1:27" ht="17.45" hidden="1" customHeight="1">
      <c r="A1316" s="100" t="str">
        <f>IF(priority(Main[[#This Row],[Comments]])&lt;&gt;0, priority(Main[[#This Row],[Comments]]),"")</f>
        <v/>
      </c>
      <c r="B1316" s="77" t="s">
        <v>1089</v>
      </c>
      <c r="C1316" s="65" t="s">
        <v>4</v>
      </c>
      <c r="D1316" s="66" t="s">
        <v>2000</v>
      </c>
      <c r="E1316" s="67"/>
      <c r="F1316" s="67"/>
      <c r="G1316" s="64" t="str">
        <f>IF(stdProdLT(Main[[#This Row],[Comments]])=0.1,"N/A",IF(stdProdLT(Main[[#This Row],[Comments]])=0,"",stdProdLT(Main[[#This Row],[Comments]])))</f>
        <v/>
      </c>
      <c r="H1316" s="68" t="str">
        <f>IF(AND(Main[[#This Row],[In Stock Date]]&lt;&gt;"",Main[[#This Row],[Revised Due Date]]&lt;&gt;""),Main[[#This Row],[In Stock Date]]-Main[[#This Row],[Revised Due Date]],"")</f>
        <v/>
      </c>
      <c r="I1316" s="65" t="s">
        <v>30</v>
      </c>
      <c r="J1316" s="65" t="s">
        <v>28</v>
      </c>
      <c r="K1316" s="65" t="s">
        <v>1921</v>
      </c>
      <c r="L1316" s="67">
        <v>40486</v>
      </c>
      <c r="M1316" s="69">
        <f>IF(Main[[#This Row],[Tech Start Date]]&lt;1/1/1990,"",IF(Main[[#This Row],[Class]]="C",WORKDAY(Main[[#This Row],[Tech Start Date]],9),IF(Main[[#This Row],[Class]]="B", WORKDAY(Main[[#This Row],[Tech Start Date]],6),IF(Main[[#This Row],[Class]]="A",WORKDAY(Main[[#This Row],[Tech Start Date]],2),""))))</f>
        <v>40494</v>
      </c>
      <c r="N1316" s="69">
        <f>IF(Main[[#This Row],[Tech Start Date]]&lt;1/1/1990,"",IF(Main[[#This Row],[Class]]="C",WORKDAY(Main[[#This Row],[Tech Start Date]],19),IF(Main[[#This Row],[Class]]="B", WORKDAY(Main[[#This Row],[Tech Start Date]],12),IF(Main[[#This Row],[Class]]="A",WORKDAY(Main[[#This Row],[Tech Start Date]],4),""))))</f>
        <v>40504</v>
      </c>
      <c r="O1316" s="69">
        <f>IF(Main[[#This Row],[Tech Start Date]]&lt;1/1/1990,"",IF(Main[[#This Row],[Class]]="C",WORKDAY(Main[[#This Row],[Tech Start Date]],23),IF(Main[[#This Row],[Class]]="B", WORKDAY(Main[[#This Row],[Tech Start Date]],15),IF(Main[[#This Row],[Class]]="A",WORKDAY(Main[[#This Row],[Tech Start Date]],5),""))))</f>
        <v>40507</v>
      </c>
      <c r="P1316" s="69">
        <f>IF(Main[[#This Row],[Tech Start Date]]&lt;1/1/1990,"",IF(Main[[#This Row],[Class]]="C",WORKDAY(Main[[#This Row],[Tech Start Date]],28),IF(Main[[#This Row],[Class]]="B", WORKDAY(Main[[#This Row],[Tech Start Date]],19),IF(Main[[#This Row],[Class]]="A",WORKDAY(Main[[#This Row],[Tech Start Date]],9),""))))</f>
        <v>40513</v>
      </c>
      <c r="Q1316" s="67"/>
      <c r="R1316" s="67"/>
      <c r="S1316" s="65" t="s">
        <v>6</v>
      </c>
      <c r="T1316" s="70" t="s">
        <v>4</v>
      </c>
      <c r="U1316" s="65" t="s">
        <v>14</v>
      </c>
      <c r="V1316" s="65" t="s">
        <v>1917</v>
      </c>
      <c r="W1316" s="65" t="s">
        <v>1918</v>
      </c>
      <c r="X1316" s="65" t="s">
        <v>2866</v>
      </c>
      <c r="Y1316" s="65" t="s">
        <v>3000</v>
      </c>
      <c r="Z1316" s="65" t="s">
        <v>530</v>
      </c>
      <c r="AA1316" s="65" t="s">
        <v>2866</v>
      </c>
    </row>
    <row r="1317" spans="1:27" ht="17.45" hidden="1" customHeight="1">
      <c r="A1317" s="100" t="str">
        <f>IF(priority(Main[[#This Row],[Comments]])&lt;&gt;0, priority(Main[[#This Row],[Comments]]),"")</f>
        <v/>
      </c>
      <c r="B1317" s="77" t="s">
        <v>1712</v>
      </c>
      <c r="C1317" s="65" t="s">
        <v>4</v>
      </c>
      <c r="D1317" s="66" t="s">
        <v>763</v>
      </c>
      <c r="E1317" s="67"/>
      <c r="F1317" s="67"/>
      <c r="G1317" s="64" t="str">
        <f>IF(stdProdLT(Main[[#This Row],[Comments]])=0.1,"N/A",IF(stdProdLT(Main[[#This Row],[Comments]])=0,"",stdProdLT(Main[[#This Row],[Comments]])))</f>
        <v/>
      </c>
      <c r="H1317" s="68" t="str">
        <f>IF(AND(Main[[#This Row],[In Stock Date]]&lt;&gt;"",Main[[#This Row],[Revised Due Date]]&lt;&gt;""),Main[[#This Row],[In Stock Date]]-Main[[#This Row],[Revised Due Date]],"")</f>
        <v/>
      </c>
      <c r="I1317" s="65" t="s">
        <v>171</v>
      </c>
      <c r="J1317" s="65" t="s">
        <v>70</v>
      </c>
      <c r="K1317" s="65" t="s">
        <v>1921</v>
      </c>
      <c r="L1317" s="67">
        <v>40486</v>
      </c>
      <c r="M1317" s="69">
        <f>IF(Main[[#This Row],[Tech Start Date]]&lt;1/1/1990,"",IF(Main[[#This Row],[Class]]="C",WORKDAY(Main[[#This Row],[Tech Start Date]],9),IF(Main[[#This Row],[Class]]="B", WORKDAY(Main[[#This Row],[Tech Start Date]],6),IF(Main[[#This Row],[Class]]="A",WORKDAY(Main[[#This Row],[Tech Start Date]],2),""))))</f>
        <v>40494</v>
      </c>
      <c r="N1317" s="69">
        <f>IF(Main[[#This Row],[Tech Start Date]]&lt;1/1/1990,"",IF(Main[[#This Row],[Class]]="C",WORKDAY(Main[[#This Row],[Tech Start Date]],19),IF(Main[[#This Row],[Class]]="B", WORKDAY(Main[[#This Row],[Tech Start Date]],12),IF(Main[[#This Row],[Class]]="A",WORKDAY(Main[[#This Row],[Tech Start Date]],4),""))))</f>
        <v>40504</v>
      </c>
      <c r="O1317" s="69">
        <f>IF(Main[[#This Row],[Tech Start Date]]&lt;1/1/1990,"",IF(Main[[#This Row],[Class]]="C",WORKDAY(Main[[#This Row],[Tech Start Date]],23),IF(Main[[#This Row],[Class]]="B", WORKDAY(Main[[#This Row],[Tech Start Date]],15),IF(Main[[#This Row],[Class]]="A",WORKDAY(Main[[#This Row],[Tech Start Date]],5),""))))</f>
        <v>40507</v>
      </c>
      <c r="P1317" s="69">
        <f>IF(Main[[#This Row],[Tech Start Date]]&lt;1/1/1990,"",IF(Main[[#This Row],[Class]]="C",WORKDAY(Main[[#This Row],[Tech Start Date]],28),IF(Main[[#This Row],[Class]]="B", WORKDAY(Main[[#This Row],[Tech Start Date]],19),IF(Main[[#This Row],[Class]]="A",WORKDAY(Main[[#This Row],[Tech Start Date]],9),""))))</f>
        <v>40513</v>
      </c>
      <c r="Q1317" s="67">
        <v>40504</v>
      </c>
      <c r="R1317" s="67"/>
      <c r="S1317" s="65" t="s">
        <v>6</v>
      </c>
      <c r="T1317" s="70" t="s">
        <v>4</v>
      </c>
      <c r="U1317" s="65" t="s">
        <v>14</v>
      </c>
      <c r="V1317" s="65" t="s">
        <v>1917</v>
      </c>
      <c r="W1317" s="65" t="s">
        <v>1918</v>
      </c>
      <c r="X1317" s="65" t="s">
        <v>2822</v>
      </c>
      <c r="Y1317" s="65" t="s">
        <v>2938</v>
      </c>
      <c r="Z1317" s="65" t="s">
        <v>30</v>
      </c>
      <c r="AA1317" s="65" t="s">
        <v>2822</v>
      </c>
    </row>
    <row r="1318" spans="1:27" ht="17.45" hidden="1" customHeight="1">
      <c r="A1318" s="100" t="str">
        <f>IF(priority(Main[[#This Row],[Comments]])&lt;&gt;0, priority(Main[[#This Row],[Comments]]),"")</f>
        <v/>
      </c>
      <c r="B1318" s="77" t="s">
        <v>1725</v>
      </c>
      <c r="C1318" s="65" t="s">
        <v>4</v>
      </c>
      <c r="D1318" s="66" t="s">
        <v>2292</v>
      </c>
      <c r="E1318" s="67">
        <v>40462.421793981484</v>
      </c>
      <c r="F1318" s="67"/>
      <c r="G1318" s="64" t="str">
        <f>IF(stdProdLT(Main[[#This Row],[Comments]])=0.1,"N/A",IF(stdProdLT(Main[[#This Row],[Comments]])=0,"",stdProdLT(Main[[#This Row],[Comments]])))</f>
        <v/>
      </c>
      <c r="H1318" s="68" t="str">
        <f>IF(AND(Main[[#This Row],[In Stock Date]]&lt;&gt;"",Main[[#This Row],[Revised Due Date]]&lt;&gt;""),Main[[#This Row],[In Stock Date]]-Main[[#This Row],[Revised Due Date]],"")</f>
        <v/>
      </c>
      <c r="I1318" s="65" t="s">
        <v>894</v>
      </c>
      <c r="J1318" s="65" t="s">
        <v>52</v>
      </c>
      <c r="K1318" s="65" t="s">
        <v>1921</v>
      </c>
      <c r="L1318" s="67">
        <v>40486</v>
      </c>
      <c r="M1318" s="69">
        <f>IF(Main[[#This Row],[Tech Start Date]]&lt;1/1/1990,"",IF(Main[[#This Row],[Class]]="C",WORKDAY(Main[[#This Row],[Tech Start Date]],9),IF(Main[[#This Row],[Class]]="B", WORKDAY(Main[[#This Row],[Tech Start Date]],6),IF(Main[[#This Row],[Class]]="A",WORKDAY(Main[[#This Row],[Tech Start Date]],2),""))))</f>
        <v>40494</v>
      </c>
      <c r="N1318" s="69">
        <f>IF(Main[[#This Row],[Tech Start Date]]&lt;1/1/1990,"",IF(Main[[#This Row],[Class]]="C",WORKDAY(Main[[#This Row],[Tech Start Date]],19),IF(Main[[#This Row],[Class]]="B", WORKDAY(Main[[#This Row],[Tech Start Date]],12),IF(Main[[#This Row],[Class]]="A",WORKDAY(Main[[#This Row],[Tech Start Date]],4),""))))</f>
        <v>40504</v>
      </c>
      <c r="O1318" s="69">
        <f>IF(Main[[#This Row],[Tech Start Date]]&lt;1/1/1990,"",IF(Main[[#This Row],[Class]]="C",WORKDAY(Main[[#This Row],[Tech Start Date]],23),IF(Main[[#This Row],[Class]]="B", WORKDAY(Main[[#This Row],[Tech Start Date]],15),IF(Main[[#This Row],[Class]]="A",WORKDAY(Main[[#This Row],[Tech Start Date]],5),""))))</f>
        <v>40507</v>
      </c>
      <c r="P1318" s="69">
        <f>IF(Main[[#This Row],[Tech Start Date]]&lt;1/1/1990,"",IF(Main[[#This Row],[Class]]="C",WORKDAY(Main[[#This Row],[Tech Start Date]],28),IF(Main[[#This Row],[Class]]="B", WORKDAY(Main[[#This Row],[Tech Start Date]],19),IF(Main[[#This Row],[Class]]="A",WORKDAY(Main[[#This Row],[Tech Start Date]],9),""))))</f>
        <v>40513</v>
      </c>
      <c r="Q1318" s="67">
        <v>40543</v>
      </c>
      <c r="R1318" s="67"/>
      <c r="S1318" s="65" t="s">
        <v>6</v>
      </c>
      <c r="T1318" s="70" t="s">
        <v>4</v>
      </c>
      <c r="U1318" s="65" t="s">
        <v>29</v>
      </c>
      <c r="V1318" s="65" t="s">
        <v>1917</v>
      </c>
      <c r="W1318" s="65" t="s">
        <v>1918</v>
      </c>
      <c r="X1318" s="65" t="s">
        <v>2887</v>
      </c>
      <c r="Y1318" s="65" t="s">
        <v>3043</v>
      </c>
      <c r="Z1318" s="65" t="s">
        <v>30</v>
      </c>
      <c r="AA1318" s="65" t="s">
        <v>2887</v>
      </c>
    </row>
    <row r="1319" spans="1:27" ht="17.45" hidden="1" customHeight="1">
      <c r="A1319" s="100" t="str">
        <f>IF(priority(Main[[#This Row],[Comments]])&lt;&gt;0, priority(Main[[#This Row],[Comments]]),"")</f>
        <v/>
      </c>
      <c r="B1319" s="77" t="s">
        <v>1729</v>
      </c>
      <c r="C1319" s="65" t="s">
        <v>4</v>
      </c>
      <c r="D1319" s="66" t="s">
        <v>2019</v>
      </c>
      <c r="E1319" s="67">
        <v>40478.606620370374</v>
      </c>
      <c r="F1319" s="67"/>
      <c r="G1319" s="64" t="str">
        <f>IF(stdProdLT(Main[[#This Row],[Comments]])=0.1,"N/A",IF(stdProdLT(Main[[#This Row],[Comments]])=0,"",stdProdLT(Main[[#This Row],[Comments]])))</f>
        <v/>
      </c>
      <c r="H1319" s="68" t="str">
        <f>IF(AND(Main[[#This Row],[In Stock Date]]&lt;&gt;"",Main[[#This Row],[Revised Due Date]]&lt;&gt;""),Main[[#This Row],[In Stock Date]]-Main[[#This Row],[Revised Due Date]],"")</f>
        <v/>
      </c>
      <c r="I1319" s="65" t="s">
        <v>429</v>
      </c>
      <c r="J1319" s="65" t="s">
        <v>70</v>
      </c>
      <c r="K1319" s="65" t="s">
        <v>1926</v>
      </c>
      <c r="L1319" s="67">
        <v>40513</v>
      </c>
      <c r="M1319" s="69" t="str">
        <f>IF(Main[[#This Row],[Tech Start Date]]&lt;1/1/1990,"",IF(Main[[#This Row],[Class]]="C",WORKDAY(Main[[#This Row],[Tech Start Date]],9),IF(Main[[#This Row],[Class]]="B", WORKDAY(Main[[#This Row],[Tech Start Date]],6),IF(Main[[#This Row],[Class]]="A",WORKDAY(Main[[#This Row],[Tech Start Date]],2),""))))</f>
        <v/>
      </c>
      <c r="N1319" s="69" t="str">
        <f>IF(Main[[#This Row],[Tech Start Date]]&lt;1/1/1990,"",IF(Main[[#This Row],[Class]]="C",WORKDAY(Main[[#This Row],[Tech Start Date]],19),IF(Main[[#This Row],[Class]]="B", WORKDAY(Main[[#This Row],[Tech Start Date]],12),IF(Main[[#This Row],[Class]]="A",WORKDAY(Main[[#This Row],[Tech Start Date]],4),""))))</f>
        <v/>
      </c>
      <c r="O1319" s="69" t="str">
        <f>IF(Main[[#This Row],[Tech Start Date]]&lt;1/1/1990,"",IF(Main[[#This Row],[Class]]="C",WORKDAY(Main[[#This Row],[Tech Start Date]],23),IF(Main[[#This Row],[Class]]="B", WORKDAY(Main[[#This Row],[Tech Start Date]],15),IF(Main[[#This Row],[Class]]="A",WORKDAY(Main[[#This Row],[Tech Start Date]],5),""))))</f>
        <v/>
      </c>
      <c r="P1319" s="69" t="str">
        <f>IF(Main[[#This Row],[Tech Start Date]]&lt;1/1/1990,"",IF(Main[[#This Row],[Class]]="C",WORKDAY(Main[[#This Row],[Tech Start Date]],28),IF(Main[[#This Row],[Class]]="B", WORKDAY(Main[[#This Row],[Tech Start Date]],19),IF(Main[[#This Row],[Class]]="A",WORKDAY(Main[[#This Row],[Tech Start Date]],9),""))))</f>
        <v/>
      </c>
      <c r="Q1319" s="67">
        <v>40724</v>
      </c>
      <c r="R1319" s="67"/>
      <c r="S1319" s="65" t="s">
        <v>17</v>
      </c>
      <c r="T1319" s="70" t="s">
        <v>4</v>
      </c>
      <c r="U1319" s="65" t="s">
        <v>29</v>
      </c>
      <c r="V1319" s="65" t="s">
        <v>1917</v>
      </c>
      <c r="W1319" s="65" t="s">
        <v>1918</v>
      </c>
      <c r="X1319" s="65" t="s">
        <v>2891</v>
      </c>
      <c r="Y1319" s="65" t="s">
        <v>3102</v>
      </c>
      <c r="Z1319" s="65" t="s">
        <v>30</v>
      </c>
      <c r="AA1319" s="65" t="s">
        <v>2891</v>
      </c>
    </row>
    <row r="1320" spans="1:27" ht="17.45" hidden="1" customHeight="1">
      <c r="A1320" s="100" t="str">
        <f>IF(priority(Main[[#This Row],[Comments]])&lt;&gt;0, priority(Main[[#This Row],[Comments]]),"")</f>
        <v/>
      </c>
      <c r="B1320" s="77" t="s">
        <v>1723</v>
      </c>
      <c r="C1320" s="65" t="s">
        <v>72</v>
      </c>
      <c r="D1320" s="66" t="s">
        <v>778</v>
      </c>
      <c r="E1320" s="67"/>
      <c r="F1320" s="67">
        <v>40513</v>
      </c>
      <c r="G1320" s="64" t="str">
        <f>IF(stdProdLT(Main[[#This Row],[Comments]])=0.1,"N/A",IF(stdProdLT(Main[[#This Row],[Comments]])=0,"",stdProdLT(Main[[#This Row],[Comments]])))</f>
        <v/>
      </c>
      <c r="H1320" s="68" t="str">
        <f>IF(AND(Main[[#This Row],[In Stock Date]]&lt;&gt;"",Main[[#This Row],[Revised Due Date]]&lt;&gt;""),Main[[#This Row],[In Stock Date]]-Main[[#This Row],[Revised Due Date]],"")</f>
        <v/>
      </c>
      <c r="I1320" s="65" t="s">
        <v>30</v>
      </c>
      <c r="J1320" s="65" t="s">
        <v>28</v>
      </c>
      <c r="K1320" s="65" t="s">
        <v>1926</v>
      </c>
      <c r="L1320" s="67">
        <v>40547</v>
      </c>
      <c r="M1320" s="69" t="str">
        <f>IF(Main[[#This Row],[Tech Start Date]]&lt;1/1/1990,"",IF(Main[[#This Row],[Class]]="C",WORKDAY(Main[[#This Row],[Tech Start Date]],9),IF(Main[[#This Row],[Class]]="B", WORKDAY(Main[[#This Row],[Tech Start Date]],6),IF(Main[[#This Row],[Class]]="A",WORKDAY(Main[[#This Row],[Tech Start Date]],2),""))))</f>
        <v/>
      </c>
      <c r="N1320" s="69" t="str">
        <f>IF(Main[[#This Row],[Tech Start Date]]&lt;1/1/1990,"",IF(Main[[#This Row],[Class]]="C",WORKDAY(Main[[#This Row],[Tech Start Date]],19),IF(Main[[#This Row],[Class]]="B", WORKDAY(Main[[#This Row],[Tech Start Date]],12),IF(Main[[#This Row],[Class]]="A",WORKDAY(Main[[#This Row],[Tech Start Date]],4),""))))</f>
        <v/>
      </c>
      <c r="O1320" s="69" t="str">
        <f>IF(Main[[#This Row],[Tech Start Date]]&lt;1/1/1990,"",IF(Main[[#This Row],[Class]]="C",WORKDAY(Main[[#This Row],[Tech Start Date]],23),IF(Main[[#This Row],[Class]]="B", WORKDAY(Main[[#This Row],[Tech Start Date]],15),IF(Main[[#This Row],[Class]]="A",WORKDAY(Main[[#This Row],[Tech Start Date]],5),""))))</f>
        <v/>
      </c>
      <c r="P1320" s="69" t="str">
        <f>IF(Main[[#This Row],[Tech Start Date]]&lt;1/1/1990,"",IF(Main[[#This Row],[Class]]="C",WORKDAY(Main[[#This Row],[Tech Start Date]],28),IF(Main[[#This Row],[Class]]="B", WORKDAY(Main[[#This Row],[Tech Start Date]],19),IF(Main[[#This Row],[Class]]="A",WORKDAY(Main[[#This Row],[Tech Start Date]],9),""))))</f>
        <v/>
      </c>
      <c r="Q1320" s="67"/>
      <c r="R1320" s="67"/>
      <c r="S1320" s="65" t="s">
        <v>17</v>
      </c>
      <c r="T1320" s="70" t="s">
        <v>4</v>
      </c>
      <c r="U1320" s="65" t="s">
        <v>14</v>
      </c>
      <c r="V1320" s="65" t="s">
        <v>1917</v>
      </c>
      <c r="W1320" s="65" t="s">
        <v>1919</v>
      </c>
      <c r="X1320" s="65" t="s">
        <v>2847</v>
      </c>
      <c r="Y1320" s="65" t="s">
        <v>2978</v>
      </c>
      <c r="Z1320" s="65" t="s">
        <v>30</v>
      </c>
      <c r="AA1320" s="65" t="s">
        <v>2847</v>
      </c>
    </row>
    <row r="1321" spans="1:27" ht="17.45" hidden="1" customHeight="1">
      <c r="A1321" s="100" t="str">
        <f>IF(priority(Main[[#This Row],[Comments]])&lt;&gt;0, priority(Main[[#This Row],[Comments]]),"")</f>
        <v/>
      </c>
      <c r="B1321" s="77" t="s">
        <v>1909</v>
      </c>
      <c r="C1321" s="65" t="s">
        <v>4</v>
      </c>
      <c r="D1321" s="66" t="s">
        <v>959</v>
      </c>
      <c r="E1321" s="67">
        <v>40436.63890046296</v>
      </c>
      <c r="F1321" s="67"/>
      <c r="G1321" s="64" t="str">
        <f>IF(stdProdLT(Main[[#This Row],[Comments]])=0.1,"N/A",IF(stdProdLT(Main[[#This Row],[Comments]])=0,"",stdProdLT(Main[[#This Row],[Comments]])))</f>
        <v/>
      </c>
      <c r="H1321" s="68" t="str">
        <f>IF(AND(Main[[#This Row],[In Stock Date]]&lt;&gt;"",Main[[#This Row],[Revised Due Date]]&lt;&gt;""),Main[[#This Row],[In Stock Date]]-Main[[#This Row],[Revised Due Date]],"")</f>
        <v/>
      </c>
      <c r="I1321" s="65" t="s">
        <v>877</v>
      </c>
      <c r="J1321" s="65" t="s">
        <v>28</v>
      </c>
      <c r="K1321" s="65" t="s">
        <v>1926</v>
      </c>
      <c r="L1321" s="67">
        <v>40549</v>
      </c>
      <c r="M1321" s="69" t="str">
        <f>IF(Main[[#This Row],[Tech Start Date]]&lt;1/1/1990,"",IF(Main[[#This Row],[Class]]="C",WORKDAY(Main[[#This Row],[Tech Start Date]],9),IF(Main[[#This Row],[Class]]="B", WORKDAY(Main[[#This Row],[Tech Start Date]],6),IF(Main[[#This Row],[Class]]="A",WORKDAY(Main[[#This Row],[Tech Start Date]],2),""))))</f>
        <v/>
      </c>
      <c r="N1321" s="69" t="str">
        <f>IF(Main[[#This Row],[Tech Start Date]]&lt;1/1/1990,"",IF(Main[[#This Row],[Class]]="C",WORKDAY(Main[[#This Row],[Tech Start Date]],19),IF(Main[[#This Row],[Class]]="B", WORKDAY(Main[[#This Row],[Tech Start Date]],12),IF(Main[[#This Row],[Class]]="A",WORKDAY(Main[[#This Row],[Tech Start Date]],4),""))))</f>
        <v/>
      </c>
      <c r="O1321" s="69" t="str">
        <f>IF(Main[[#This Row],[Tech Start Date]]&lt;1/1/1990,"",IF(Main[[#This Row],[Class]]="C",WORKDAY(Main[[#This Row],[Tech Start Date]],23),IF(Main[[#This Row],[Class]]="B", WORKDAY(Main[[#This Row],[Tech Start Date]],15),IF(Main[[#This Row],[Class]]="A",WORKDAY(Main[[#This Row],[Tech Start Date]],5),""))))</f>
        <v/>
      </c>
      <c r="P1321" s="69" t="str">
        <f>IF(Main[[#This Row],[Tech Start Date]]&lt;1/1/1990,"",IF(Main[[#This Row],[Class]]="C",WORKDAY(Main[[#This Row],[Tech Start Date]],28),IF(Main[[#This Row],[Class]]="B", WORKDAY(Main[[#This Row],[Tech Start Date]],19),IF(Main[[#This Row],[Class]]="A",WORKDAY(Main[[#This Row],[Tech Start Date]],9),""))))</f>
        <v/>
      </c>
      <c r="Q1321" s="67">
        <v>40939</v>
      </c>
      <c r="R1321" s="67">
        <v>40939</v>
      </c>
      <c r="S1321" s="65" t="s">
        <v>17</v>
      </c>
      <c r="T1321" s="70" t="s">
        <v>960</v>
      </c>
      <c r="U1321" s="65" t="s">
        <v>29</v>
      </c>
      <c r="V1321" s="65" t="s">
        <v>1914</v>
      </c>
      <c r="W1321" s="65" t="s">
        <v>1918</v>
      </c>
      <c r="X1321" s="65" t="s">
        <v>922</v>
      </c>
      <c r="Y1321" s="65" t="s">
        <v>2982</v>
      </c>
      <c r="Z1321" s="65" t="s">
        <v>129</v>
      </c>
      <c r="AA1321" s="65" t="s">
        <v>922</v>
      </c>
    </row>
    <row r="1322" spans="1:27" ht="17.45" hidden="1" customHeight="1">
      <c r="A1322" s="100" t="str">
        <f>IF(priority(Main[[#This Row],[Comments]])&lt;&gt;0, priority(Main[[#This Row],[Comments]]),"")</f>
        <v/>
      </c>
      <c r="B1322" s="77" t="s">
        <v>1910</v>
      </c>
      <c r="C1322" s="65" t="s">
        <v>4</v>
      </c>
      <c r="D1322" s="66" t="s">
        <v>961</v>
      </c>
      <c r="E1322" s="67"/>
      <c r="F1322" s="67"/>
      <c r="G1322" s="64" t="str">
        <f>IF(stdProdLT(Main[[#This Row],[Comments]])=0.1,"N/A",IF(stdProdLT(Main[[#This Row],[Comments]])=0,"",stdProdLT(Main[[#This Row],[Comments]])))</f>
        <v/>
      </c>
      <c r="H1322" s="68" t="str">
        <f>IF(AND(Main[[#This Row],[In Stock Date]]&lt;&gt;"",Main[[#This Row],[Revised Due Date]]&lt;&gt;""),Main[[#This Row],[In Stock Date]]-Main[[#This Row],[Revised Due Date]],"")</f>
        <v/>
      </c>
      <c r="I1322" s="65" t="s">
        <v>2053</v>
      </c>
      <c r="J1322" s="65" t="s">
        <v>4</v>
      </c>
      <c r="K1322" s="71" t="s">
        <v>1926</v>
      </c>
      <c r="L1322" s="67">
        <v>40549</v>
      </c>
      <c r="M1322" s="69" t="str">
        <f>IF(Main[[#This Row],[Tech Start Date]]&lt;1/1/1990,"",IF(Main[[#This Row],[Class]]="C",WORKDAY(Main[[#This Row],[Tech Start Date]],9),IF(Main[[#This Row],[Class]]="B", WORKDAY(Main[[#This Row],[Tech Start Date]],6),IF(Main[[#This Row],[Class]]="A",WORKDAY(Main[[#This Row],[Tech Start Date]],2),""))))</f>
        <v/>
      </c>
      <c r="N1322" s="69" t="str">
        <f>IF(Main[[#This Row],[Tech Start Date]]&lt;1/1/1990,"",IF(Main[[#This Row],[Class]]="C",WORKDAY(Main[[#This Row],[Tech Start Date]],19),IF(Main[[#This Row],[Class]]="B", WORKDAY(Main[[#This Row],[Tech Start Date]],12),IF(Main[[#This Row],[Class]]="A",WORKDAY(Main[[#This Row],[Tech Start Date]],4),""))))</f>
        <v/>
      </c>
      <c r="O1322" s="69" t="str">
        <f>IF(Main[[#This Row],[Tech Start Date]]&lt;1/1/1990,"",IF(Main[[#This Row],[Class]]="C",WORKDAY(Main[[#This Row],[Tech Start Date]],23),IF(Main[[#This Row],[Class]]="B", WORKDAY(Main[[#This Row],[Tech Start Date]],15),IF(Main[[#This Row],[Class]]="A",WORKDAY(Main[[#This Row],[Tech Start Date]],5),""))))</f>
        <v/>
      </c>
      <c r="P1322" s="69" t="str">
        <f>IF(Main[[#This Row],[Tech Start Date]]&lt;1/1/1990,"",IF(Main[[#This Row],[Class]]="C",WORKDAY(Main[[#This Row],[Tech Start Date]],28),IF(Main[[#This Row],[Class]]="B", WORKDAY(Main[[#This Row],[Tech Start Date]],19),IF(Main[[#This Row],[Class]]="A",WORKDAY(Main[[#This Row],[Tech Start Date]],9),""))))</f>
        <v/>
      </c>
      <c r="Q1322" s="67">
        <v>40939</v>
      </c>
      <c r="R1322" s="67">
        <v>40939</v>
      </c>
      <c r="S1322" s="65" t="s">
        <v>11</v>
      </c>
      <c r="T1322" s="70" t="s">
        <v>4</v>
      </c>
      <c r="U1322" s="65" t="s">
        <v>14</v>
      </c>
      <c r="V1322" s="65" t="s">
        <v>1915</v>
      </c>
      <c r="W1322" s="65" t="s">
        <v>1918</v>
      </c>
      <c r="X1322" s="65" t="s">
        <v>922</v>
      </c>
      <c r="Y1322" s="65" t="s">
        <v>2992</v>
      </c>
      <c r="Z1322" s="65" t="s">
        <v>129</v>
      </c>
      <c r="AA1322" s="65" t="s">
        <v>3427</v>
      </c>
    </row>
    <row r="1323" spans="1:27" ht="17.45" hidden="1" customHeight="1">
      <c r="A1323" s="100" t="str">
        <f>IF(priority(Main[[#This Row],[Comments]])&lt;&gt;0, priority(Main[[#This Row],[Comments]]),"")</f>
        <v/>
      </c>
      <c r="B1323" s="77" t="s">
        <v>1908</v>
      </c>
      <c r="C1323" s="65" t="s">
        <v>4</v>
      </c>
      <c r="D1323" s="66" t="s">
        <v>958</v>
      </c>
      <c r="E1323" s="67"/>
      <c r="F1323" s="67"/>
      <c r="G1323" s="64" t="str">
        <f>IF(stdProdLT(Main[[#This Row],[Comments]])=0.1,"N/A",IF(stdProdLT(Main[[#This Row],[Comments]])=0,"",stdProdLT(Main[[#This Row],[Comments]])))</f>
        <v/>
      </c>
      <c r="H1323" s="68" t="str">
        <f>IF(AND(Main[[#This Row],[In Stock Date]]&lt;&gt;"",Main[[#This Row],[Revised Due Date]]&lt;&gt;""),Main[[#This Row],[In Stock Date]]-Main[[#This Row],[Revised Due Date]],"")</f>
        <v/>
      </c>
      <c r="I1323" s="65" t="s">
        <v>877</v>
      </c>
      <c r="J1323" s="65" t="s">
        <v>28</v>
      </c>
      <c r="K1323" s="65" t="s">
        <v>1926</v>
      </c>
      <c r="L1323" s="67">
        <v>40549</v>
      </c>
      <c r="M1323" s="69" t="str">
        <f>IF(Main[[#This Row],[Tech Start Date]]&lt;1/1/1990,"",IF(Main[[#This Row],[Class]]="C",WORKDAY(Main[[#This Row],[Tech Start Date]],9),IF(Main[[#This Row],[Class]]="B", WORKDAY(Main[[#This Row],[Tech Start Date]],6),IF(Main[[#This Row],[Class]]="A",WORKDAY(Main[[#This Row],[Tech Start Date]],2),""))))</f>
        <v/>
      </c>
      <c r="N1323" s="69" t="str">
        <f>IF(Main[[#This Row],[Tech Start Date]]&lt;1/1/1990,"",IF(Main[[#This Row],[Class]]="C",WORKDAY(Main[[#This Row],[Tech Start Date]],19),IF(Main[[#This Row],[Class]]="B", WORKDAY(Main[[#This Row],[Tech Start Date]],12),IF(Main[[#This Row],[Class]]="A",WORKDAY(Main[[#This Row],[Tech Start Date]],4),""))))</f>
        <v/>
      </c>
      <c r="O1323" s="69" t="str">
        <f>IF(Main[[#This Row],[Tech Start Date]]&lt;1/1/1990,"",IF(Main[[#This Row],[Class]]="C",WORKDAY(Main[[#This Row],[Tech Start Date]],23),IF(Main[[#This Row],[Class]]="B", WORKDAY(Main[[#This Row],[Tech Start Date]],15),IF(Main[[#This Row],[Class]]="A",WORKDAY(Main[[#This Row],[Tech Start Date]],5),""))))</f>
        <v/>
      </c>
      <c r="P1323" s="69" t="str">
        <f>IF(Main[[#This Row],[Tech Start Date]]&lt;1/1/1990,"",IF(Main[[#This Row],[Class]]="C",WORKDAY(Main[[#This Row],[Tech Start Date]],28),IF(Main[[#This Row],[Class]]="B", WORKDAY(Main[[#This Row],[Tech Start Date]],19),IF(Main[[#This Row],[Class]]="A",WORKDAY(Main[[#This Row],[Tech Start Date]],9),""))))</f>
        <v/>
      </c>
      <c r="Q1323" s="67">
        <v>40939</v>
      </c>
      <c r="R1323" s="67">
        <v>40939</v>
      </c>
      <c r="S1323" s="65" t="s">
        <v>11</v>
      </c>
      <c r="T1323" s="70" t="s">
        <v>4</v>
      </c>
      <c r="U1323" s="65" t="s">
        <v>14</v>
      </c>
      <c r="V1323" s="65" t="s">
        <v>1914</v>
      </c>
      <c r="W1323" s="65" t="s">
        <v>1918</v>
      </c>
      <c r="X1323" s="65" t="s">
        <v>922</v>
      </c>
      <c r="Y1323" s="65" t="s">
        <v>2992</v>
      </c>
      <c r="Z1323" s="65" t="s">
        <v>129</v>
      </c>
      <c r="AA1323" s="65" t="s">
        <v>3427</v>
      </c>
    </row>
    <row r="1324" spans="1:27" ht="17.45" hidden="1" customHeight="1">
      <c r="A1324" s="100" t="str">
        <f>IF(priority(Main[[#This Row],[Comments]])&lt;&gt;0, priority(Main[[#This Row],[Comments]]),"")</f>
        <v/>
      </c>
      <c r="B1324" s="77" t="s">
        <v>1911</v>
      </c>
      <c r="C1324" s="65" t="s">
        <v>4</v>
      </c>
      <c r="D1324" s="66" t="s">
        <v>962</v>
      </c>
      <c r="E1324" s="67"/>
      <c r="F1324" s="67"/>
      <c r="G1324" s="64" t="str">
        <f>IF(stdProdLT(Main[[#This Row],[Comments]])=0.1,"N/A",IF(stdProdLT(Main[[#This Row],[Comments]])=0,"",stdProdLT(Main[[#This Row],[Comments]])))</f>
        <v/>
      </c>
      <c r="H1324" s="68" t="str">
        <f>IF(AND(Main[[#This Row],[In Stock Date]]&lt;&gt;"",Main[[#This Row],[Revised Due Date]]&lt;&gt;""),Main[[#This Row],[In Stock Date]]-Main[[#This Row],[Revised Due Date]],"")</f>
        <v/>
      </c>
      <c r="I1324" s="65" t="s">
        <v>922</v>
      </c>
      <c r="J1324" s="65" t="s">
        <v>4</v>
      </c>
      <c r="K1324" s="65" t="s">
        <v>1926</v>
      </c>
      <c r="L1324" s="67">
        <v>40549</v>
      </c>
      <c r="M1324" s="69" t="str">
        <f>IF(Main[[#This Row],[Tech Start Date]]&lt;1/1/1990,"",IF(Main[[#This Row],[Class]]="C",WORKDAY(Main[[#This Row],[Tech Start Date]],9),IF(Main[[#This Row],[Class]]="B", WORKDAY(Main[[#This Row],[Tech Start Date]],6),IF(Main[[#This Row],[Class]]="A",WORKDAY(Main[[#This Row],[Tech Start Date]],2),""))))</f>
        <v/>
      </c>
      <c r="N1324" s="69" t="str">
        <f>IF(Main[[#This Row],[Tech Start Date]]&lt;1/1/1990,"",IF(Main[[#This Row],[Class]]="C",WORKDAY(Main[[#This Row],[Tech Start Date]],19),IF(Main[[#This Row],[Class]]="B", WORKDAY(Main[[#This Row],[Tech Start Date]],12),IF(Main[[#This Row],[Class]]="A",WORKDAY(Main[[#This Row],[Tech Start Date]],4),""))))</f>
        <v/>
      </c>
      <c r="O1324" s="69" t="str">
        <f>IF(Main[[#This Row],[Tech Start Date]]&lt;1/1/1990,"",IF(Main[[#This Row],[Class]]="C",WORKDAY(Main[[#This Row],[Tech Start Date]],23),IF(Main[[#This Row],[Class]]="B", WORKDAY(Main[[#This Row],[Tech Start Date]],15),IF(Main[[#This Row],[Class]]="A",WORKDAY(Main[[#This Row],[Tech Start Date]],5),""))))</f>
        <v/>
      </c>
      <c r="P1324" s="69" t="str">
        <f>IF(Main[[#This Row],[Tech Start Date]]&lt;1/1/1990,"",IF(Main[[#This Row],[Class]]="C",WORKDAY(Main[[#This Row],[Tech Start Date]],28),IF(Main[[#This Row],[Class]]="B", WORKDAY(Main[[#This Row],[Tech Start Date]],19),IF(Main[[#This Row],[Class]]="A",WORKDAY(Main[[#This Row],[Tech Start Date]],9),""))))</f>
        <v/>
      </c>
      <c r="Q1324" s="67">
        <v>40939</v>
      </c>
      <c r="R1324" s="67">
        <v>40939</v>
      </c>
      <c r="S1324" s="65" t="s">
        <v>11</v>
      </c>
      <c r="T1324" s="70" t="s">
        <v>4</v>
      </c>
      <c r="U1324" s="65" t="s">
        <v>14</v>
      </c>
      <c r="V1324" s="65" t="s">
        <v>1914</v>
      </c>
      <c r="W1324" s="65" t="s">
        <v>1918</v>
      </c>
      <c r="X1324" s="65" t="s">
        <v>922</v>
      </c>
      <c r="Y1324" s="65" t="s">
        <v>2992</v>
      </c>
      <c r="Z1324" s="65" t="s">
        <v>129</v>
      </c>
      <c r="AA1324" s="65" t="s">
        <v>3427</v>
      </c>
    </row>
    <row r="1325" spans="1:27" ht="17.45" hidden="1" customHeight="1">
      <c r="A1325" s="100" t="str">
        <f>IF(priority(Main[[#This Row],[Comments]])&lt;&gt;0, priority(Main[[#This Row],[Comments]]),"")</f>
        <v/>
      </c>
      <c r="B1325" s="77" t="s">
        <v>1866</v>
      </c>
      <c r="C1325" s="65" t="s">
        <v>4</v>
      </c>
      <c r="D1325" s="66" t="s">
        <v>2020</v>
      </c>
      <c r="E1325" s="67">
        <v>40478.350138888891</v>
      </c>
      <c r="F1325" s="67"/>
      <c r="G1325" s="64" t="str">
        <f>IF(stdProdLT(Main[[#This Row],[Comments]])=0.1,"N/A",IF(stdProdLT(Main[[#This Row],[Comments]])=0,"",stdProdLT(Main[[#This Row],[Comments]])))</f>
        <v/>
      </c>
      <c r="H1325" s="68" t="str">
        <f>IF(AND(Main[[#This Row],[In Stock Date]]&lt;&gt;"",Main[[#This Row],[Revised Due Date]]&lt;&gt;""),Main[[#This Row],[In Stock Date]]-Main[[#This Row],[Revised Due Date]],"")</f>
        <v/>
      </c>
      <c r="I1325" s="65" t="s">
        <v>922</v>
      </c>
      <c r="J1325" s="65" t="s">
        <v>28</v>
      </c>
      <c r="K1325" s="65" t="s">
        <v>1926</v>
      </c>
      <c r="L1325" s="67">
        <v>40554</v>
      </c>
      <c r="M1325" s="69" t="str">
        <f>IF(Main[[#This Row],[Tech Start Date]]&lt;1/1/1990,"",IF(Main[[#This Row],[Class]]="C",WORKDAY(Main[[#This Row],[Tech Start Date]],9),IF(Main[[#This Row],[Class]]="B", WORKDAY(Main[[#This Row],[Tech Start Date]],6),IF(Main[[#This Row],[Class]]="A",WORKDAY(Main[[#This Row],[Tech Start Date]],2),""))))</f>
        <v/>
      </c>
      <c r="N1325" s="69" t="str">
        <f>IF(Main[[#This Row],[Tech Start Date]]&lt;1/1/1990,"",IF(Main[[#This Row],[Class]]="C",WORKDAY(Main[[#This Row],[Tech Start Date]],19),IF(Main[[#This Row],[Class]]="B", WORKDAY(Main[[#This Row],[Tech Start Date]],12),IF(Main[[#This Row],[Class]]="A",WORKDAY(Main[[#This Row],[Tech Start Date]],4),""))))</f>
        <v/>
      </c>
      <c r="O1325" s="69" t="str">
        <f>IF(Main[[#This Row],[Tech Start Date]]&lt;1/1/1990,"",IF(Main[[#This Row],[Class]]="C",WORKDAY(Main[[#This Row],[Tech Start Date]],23),IF(Main[[#This Row],[Class]]="B", WORKDAY(Main[[#This Row],[Tech Start Date]],15),IF(Main[[#This Row],[Class]]="A",WORKDAY(Main[[#This Row],[Tech Start Date]],5),""))))</f>
        <v/>
      </c>
      <c r="P1325" s="69" t="str">
        <f>IF(Main[[#This Row],[Tech Start Date]]&lt;1/1/1990,"",IF(Main[[#This Row],[Class]]="C",WORKDAY(Main[[#This Row],[Tech Start Date]],28),IF(Main[[#This Row],[Class]]="B", WORKDAY(Main[[#This Row],[Tech Start Date]],19),IF(Main[[#This Row],[Class]]="A",WORKDAY(Main[[#This Row],[Tech Start Date]],9),""))))</f>
        <v/>
      </c>
      <c r="Q1325" s="67">
        <v>40979</v>
      </c>
      <c r="R1325" s="67">
        <v>40979</v>
      </c>
      <c r="S1325" s="65" t="s">
        <v>17</v>
      </c>
      <c r="T1325" s="70" t="s">
        <v>923</v>
      </c>
      <c r="U1325" s="65" t="s">
        <v>29</v>
      </c>
      <c r="V1325" s="65" t="s">
        <v>1929</v>
      </c>
      <c r="W1325" s="65" t="s">
        <v>1918</v>
      </c>
      <c r="X1325" s="65" t="s">
        <v>922</v>
      </c>
      <c r="Y1325" s="65" t="s">
        <v>2982</v>
      </c>
      <c r="Z1325" s="65" t="s">
        <v>2211</v>
      </c>
      <c r="AA1325" s="65" t="s">
        <v>922</v>
      </c>
    </row>
    <row r="1326" spans="1:27" ht="17.45" hidden="1" customHeight="1">
      <c r="A1326" s="100" t="str">
        <f>IF(priority(Main[[#This Row],[Comments]])&lt;&gt;0, priority(Main[[#This Row],[Comments]]),"")</f>
        <v/>
      </c>
      <c r="B1326" s="77" t="s">
        <v>1868</v>
      </c>
      <c r="C1326" s="65" t="s">
        <v>4</v>
      </c>
      <c r="D1326" s="66" t="s">
        <v>925</v>
      </c>
      <c r="E1326" s="67"/>
      <c r="F1326" s="67"/>
      <c r="G1326" s="64" t="str">
        <f>IF(stdProdLT(Main[[#This Row],[Comments]])=0.1,"N/A",IF(stdProdLT(Main[[#This Row],[Comments]])=0,"",stdProdLT(Main[[#This Row],[Comments]])))</f>
        <v/>
      </c>
      <c r="H1326" s="68" t="str">
        <f>IF(AND(Main[[#This Row],[In Stock Date]]&lt;&gt;"",Main[[#This Row],[Revised Due Date]]&lt;&gt;""),Main[[#This Row],[In Stock Date]]-Main[[#This Row],[Revised Due Date]],"")</f>
        <v/>
      </c>
      <c r="I1326" s="65" t="s">
        <v>30</v>
      </c>
      <c r="J1326" s="65" t="s">
        <v>52</v>
      </c>
      <c r="K1326" s="71" t="s">
        <v>1923</v>
      </c>
      <c r="L1326" s="67">
        <v>40589</v>
      </c>
      <c r="M1326" s="69">
        <f>IF(Main[[#This Row],[Tech Start Date]]&lt;1/1/1990,"",IF(Main[[#This Row],[Class]]="C",WORKDAY(Main[[#This Row],[Tech Start Date]],9),IF(Main[[#This Row],[Class]]="B", WORKDAY(Main[[#This Row],[Tech Start Date]],6),IF(Main[[#This Row],[Class]]="A",WORKDAY(Main[[#This Row],[Tech Start Date]],2),""))))</f>
        <v>40591</v>
      </c>
      <c r="N1326" s="69">
        <f>IF(Main[[#This Row],[Tech Start Date]]&lt;1/1/1990,"",IF(Main[[#This Row],[Class]]="C",WORKDAY(Main[[#This Row],[Tech Start Date]],19),IF(Main[[#This Row],[Class]]="B", WORKDAY(Main[[#This Row],[Tech Start Date]],12),IF(Main[[#This Row],[Class]]="A",WORKDAY(Main[[#This Row],[Tech Start Date]],4),""))))</f>
        <v>40595</v>
      </c>
      <c r="O1326" s="69">
        <f>IF(Main[[#This Row],[Tech Start Date]]&lt;1/1/1990,"",IF(Main[[#This Row],[Class]]="C",WORKDAY(Main[[#This Row],[Tech Start Date]],23),IF(Main[[#This Row],[Class]]="B", WORKDAY(Main[[#This Row],[Tech Start Date]],15),IF(Main[[#This Row],[Class]]="A",WORKDAY(Main[[#This Row],[Tech Start Date]],5),""))))</f>
        <v>40596</v>
      </c>
      <c r="P1326" s="69">
        <f>IF(Main[[#This Row],[Tech Start Date]]&lt;1/1/1990,"",IF(Main[[#This Row],[Class]]="C",WORKDAY(Main[[#This Row],[Tech Start Date]],28),IF(Main[[#This Row],[Class]]="B", WORKDAY(Main[[#This Row],[Tech Start Date]],19),IF(Main[[#This Row],[Class]]="A",WORKDAY(Main[[#This Row],[Tech Start Date]],9),""))))</f>
        <v>40602</v>
      </c>
      <c r="Q1326" s="67">
        <v>40592</v>
      </c>
      <c r="R1326" s="67">
        <v>40624</v>
      </c>
      <c r="S1326" s="65" t="s">
        <v>6</v>
      </c>
      <c r="T1326" s="70" t="s">
        <v>4</v>
      </c>
      <c r="U1326" s="65" t="s">
        <v>14</v>
      </c>
      <c r="V1326" s="65" t="s">
        <v>1917</v>
      </c>
      <c r="W1326" s="65" t="s">
        <v>1916</v>
      </c>
      <c r="X1326" s="65" t="s">
        <v>30</v>
      </c>
      <c r="Y1326" s="65" t="s">
        <v>3015</v>
      </c>
      <c r="Z1326" s="65" t="s">
        <v>30</v>
      </c>
      <c r="AA1326" s="65" t="s">
        <v>3401</v>
      </c>
    </row>
    <row r="1327" spans="1:27" ht="17.45" hidden="1" customHeight="1">
      <c r="A1327" s="100" t="str">
        <f>IF(priority(Main[[#This Row],[Comments]])&lt;&gt;0, priority(Main[[#This Row],[Comments]]),"")</f>
        <v/>
      </c>
      <c r="B1327" s="77" t="s">
        <v>1865</v>
      </c>
      <c r="C1327" s="65" t="s">
        <v>4</v>
      </c>
      <c r="D1327" s="66" t="s">
        <v>921</v>
      </c>
      <c r="E1327" s="67">
        <v>40590.540578703702</v>
      </c>
      <c r="F1327" s="67"/>
      <c r="G1327" s="64" t="str">
        <f>IF(stdProdLT(Main[[#This Row],[Comments]])=0.1,"N/A",IF(stdProdLT(Main[[#This Row],[Comments]])=0,"",stdProdLT(Main[[#This Row],[Comments]])))</f>
        <v/>
      </c>
      <c r="H1327" s="68" t="str">
        <f>IF(AND(Main[[#This Row],[In Stock Date]]&lt;&gt;"",Main[[#This Row],[Revised Due Date]]&lt;&gt;""),Main[[#This Row],[In Stock Date]]-Main[[#This Row],[Revised Due Date]],"")</f>
        <v/>
      </c>
      <c r="I1327" s="65" t="s">
        <v>4</v>
      </c>
      <c r="J1327" s="65" t="s">
        <v>28</v>
      </c>
      <c r="K1327" s="65" t="s">
        <v>1923</v>
      </c>
      <c r="L1327" s="67">
        <v>40590</v>
      </c>
      <c r="M1327" s="69">
        <f>IF(Main[[#This Row],[Tech Start Date]]&lt;1/1/1990,"",IF(Main[[#This Row],[Class]]="C",WORKDAY(Main[[#This Row],[Tech Start Date]],9),IF(Main[[#This Row],[Class]]="B", WORKDAY(Main[[#This Row],[Tech Start Date]],6),IF(Main[[#This Row],[Class]]="A",WORKDAY(Main[[#This Row],[Tech Start Date]],2),""))))</f>
        <v>40592</v>
      </c>
      <c r="N1327" s="69">
        <f>IF(Main[[#This Row],[Tech Start Date]]&lt;1/1/1990,"",IF(Main[[#This Row],[Class]]="C",WORKDAY(Main[[#This Row],[Tech Start Date]],19),IF(Main[[#This Row],[Class]]="B", WORKDAY(Main[[#This Row],[Tech Start Date]],12),IF(Main[[#This Row],[Class]]="A",WORKDAY(Main[[#This Row],[Tech Start Date]],4),""))))</f>
        <v>40596</v>
      </c>
      <c r="O1327" s="69">
        <f>IF(Main[[#This Row],[Tech Start Date]]&lt;1/1/1990,"",IF(Main[[#This Row],[Class]]="C",WORKDAY(Main[[#This Row],[Tech Start Date]],23),IF(Main[[#This Row],[Class]]="B", WORKDAY(Main[[#This Row],[Tech Start Date]],15),IF(Main[[#This Row],[Class]]="A",WORKDAY(Main[[#This Row],[Tech Start Date]],5),""))))</f>
        <v>40597</v>
      </c>
      <c r="P1327" s="69">
        <f>IF(Main[[#This Row],[Tech Start Date]]&lt;1/1/1990,"",IF(Main[[#This Row],[Class]]="C",WORKDAY(Main[[#This Row],[Tech Start Date]],28),IF(Main[[#This Row],[Class]]="B", WORKDAY(Main[[#This Row],[Tech Start Date]],19),IF(Main[[#This Row],[Class]]="A",WORKDAY(Main[[#This Row],[Tech Start Date]],9),""))))</f>
        <v>40603</v>
      </c>
      <c r="Q1327" s="67">
        <v>40618</v>
      </c>
      <c r="R1327" s="67">
        <v>40604</v>
      </c>
      <c r="S1327" s="65" t="s">
        <v>6</v>
      </c>
      <c r="T1327" s="70" t="s">
        <v>4</v>
      </c>
      <c r="U1327" s="65" t="s">
        <v>29</v>
      </c>
      <c r="V1327" s="65" t="s">
        <v>1914</v>
      </c>
      <c r="W1327" s="65" t="s">
        <v>1918</v>
      </c>
      <c r="X1327" s="65" t="s">
        <v>2836</v>
      </c>
      <c r="Y1327" s="65" t="s">
        <v>2965</v>
      </c>
      <c r="Z1327" s="65" t="s">
        <v>4</v>
      </c>
      <c r="AA1327" s="65" t="s">
        <v>2836</v>
      </c>
    </row>
    <row r="1328" spans="1:27" ht="17.45" hidden="1" customHeight="1">
      <c r="A1328" s="100" t="str">
        <f>IF(priority(Main[[#This Row],[Comments]])&lt;&gt;0, priority(Main[[#This Row],[Comments]]),"")</f>
        <v/>
      </c>
      <c r="B1328" s="77" t="s">
        <v>1869</v>
      </c>
      <c r="C1328" s="65" t="s">
        <v>4</v>
      </c>
      <c r="D1328" s="66" t="s">
        <v>2247</v>
      </c>
      <c r="E1328" s="67">
        <v>40577.592002314814</v>
      </c>
      <c r="F1328" s="67"/>
      <c r="G1328" s="64" t="str">
        <f>IF(stdProdLT(Main[[#This Row],[Comments]])=0.1,"N/A",IF(stdProdLT(Main[[#This Row],[Comments]])=0,"",stdProdLT(Main[[#This Row],[Comments]])))</f>
        <v/>
      </c>
      <c r="H1328" s="68" t="str">
        <f>IF(AND(Main[[#This Row],[In Stock Date]]&lt;&gt;"",Main[[#This Row],[Revised Due Date]]&lt;&gt;""),Main[[#This Row],[In Stock Date]]-Main[[#This Row],[Revised Due Date]],"")</f>
        <v/>
      </c>
      <c r="I1328" s="65" t="s">
        <v>912</v>
      </c>
      <c r="J1328" s="65" t="s">
        <v>28</v>
      </c>
      <c r="K1328" s="65" t="s">
        <v>1923</v>
      </c>
      <c r="L1328" s="67">
        <v>40591</v>
      </c>
      <c r="M1328" s="69">
        <f>IF(Main[[#This Row],[Tech Start Date]]&lt;1/1/1990,"",IF(Main[[#This Row],[Class]]="C",WORKDAY(Main[[#This Row],[Tech Start Date]],9),IF(Main[[#This Row],[Class]]="B", WORKDAY(Main[[#This Row],[Tech Start Date]],6),IF(Main[[#This Row],[Class]]="A",WORKDAY(Main[[#This Row],[Tech Start Date]],2),""))))</f>
        <v>40595</v>
      </c>
      <c r="N1328" s="69">
        <f>IF(Main[[#This Row],[Tech Start Date]]&lt;1/1/1990,"",IF(Main[[#This Row],[Class]]="C",WORKDAY(Main[[#This Row],[Tech Start Date]],19),IF(Main[[#This Row],[Class]]="B", WORKDAY(Main[[#This Row],[Tech Start Date]],12),IF(Main[[#This Row],[Class]]="A",WORKDAY(Main[[#This Row],[Tech Start Date]],4),""))))</f>
        <v>40597</v>
      </c>
      <c r="O1328" s="69">
        <f>IF(Main[[#This Row],[Tech Start Date]]&lt;1/1/1990,"",IF(Main[[#This Row],[Class]]="C",WORKDAY(Main[[#This Row],[Tech Start Date]],23),IF(Main[[#This Row],[Class]]="B", WORKDAY(Main[[#This Row],[Tech Start Date]],15),IF(Main[[#This Row],[Class]]="A",WORKDAY(Main[[#This Row],[Tech Start Date]],5),""))))</f>
        <v>40598</v>
      </c>
      <c r="P1328" s="69">
        <f>IF(Main[[#This Row],[Tech Start Date]]&lt;1/1/1990,"",IF(Main[[#This Row],[Class]]="C",WORKDAY(Main[[#This Row],[Tech Start Date]],28),IF(Main[[#This Row],[Class]]="B", WORKDAY(Main[[#This Row],[Tech Start Date]],19),IF(Main[[#This Row],[Class]]="A",WORKDAY(Main[[#This Row],[Tech Start Date]],9),""))))</f>
        <v>40604</v>
      </c>
      <c r="Q1328" s="67">
        <v>40626</v>
      </c>
      <c r="R1328" s="67">
        <v>40626</v>
      </c>
      <c r="S1328" s="65" t="s">
        <v>6</v>
      </c>
      <c r="T1328" s="70" t="s">
        <v>4</v>
      </c>
      <c r="U1328" s="65" t="s">
        <v>29</v>
      </c>
      <c r="V1328" s="65" t="s">
        <v>1914</v>
      </c>
      <c r="W1328" s="65" t="s">
        <v>1916</v>
      </c>
      <c r="X1328" s="65" t="s">
        <v>399</v>
      </c>
      <c r="Y1328" s="65" t="s">
        <v>3108</v>
      </c>
      <c r="Z1328" s="65" t="s">
        <v>912</v>
      </c>
      <c r="AA1328" s="65" t="s">
        <v>3375</v>
      </c>
    </row>
    <row r="1329" spans="1:27" ht="17.45" hidden="1" customHeight="1">
      <c r="A1329" s="100" t="str">
        <f>IF(priority(Main[[#This Row],[Comments]])&lt;&gt;0, priority(Main[[#This Row],[Comments]]),"")</f>
        <v/>
      </c>
      <c r="B1329" s="77" t="s">
        <v>1892</v>
      </c>
      <c r="C1329" s="65" t="s">
        <v>947</v>
      </c>
      <c r="D1329" s="66" t="s">
        <v>1960</v>
      </c>
      <c r="E1329" s="67"/>
      <c r="F1329" s="67">
        <v>40709</v>
      </c>
      <c r="G1329" s="64" t="str">
        <f>IF(stdProdLT(Main[[#This Row],[Comments]])=0.1,"N/A",IF(stdProdLT(Main[[#This Row],[Comments]])=0,"",stdProdLT(Main[[#This Row],[Comments]])))</f>
        <v/>
      </c>
      <c r="H1329" s="68">
        <f>IF(AND(Main[[#This Row],[In Stock Date]]&lt;&gt;"",Main[[#This Row],[Revised Due Date]]&lt;&gt;""),Main[[#This Row],[In Stock Date]]-Main[[#This Row],[Revised Due Date]],"")</f>
        <v>-44</v>
      </c>
      <c r="I1329" s="65" t="s">
        <v>907</v>
      </c>
      <c r="J1329" s="65" t="s">
        <v>28</v>
      </c>
      <c r="K1329" s="65" t="s">
        <v>1921</v>
      </c>
      <c r="L1329" s="67">
        <v>40612</v>
      </c>
      <c r="M1329" s="69">
        <f>IF(Main[[#This Row],[Tech Start Date]]&lt;1/1/1990,"",IF(Main[[#This Row],[Class]]="C",WORKDAY(Main[[#This Row],[Tech Start Date]],9),IF(Main[[#This Row],[Class]]="B", WORKDAY(Main[[#This Row],[Tech Start Date]],6),IF(Main[[#This Row],[Class]]="A",WORKDAY(Main[[#This Row],[Tech Start Date]],2),""))))</f>
        <v>40620</v>
      </c>
      <c r="N1329" s="69">
        <f>IF(Main[[#This Row],[Tech Start Date]]&lt;1/1/1990,"",IF(Main[[#This Row],[Class]]="C",WORKDAY(Main[[#This Row],[Tech Start Date]],19),IF(Main[[#This Row],[Class]]="B", WORKDAY(Main[[#This Row],[Tech Start Date]],12),IF(Main[[#This Row],[Class]]="A",WORKDAY(Main[[#This Row],[Tech Start Date]],4),""))))</f>
        <v>40630</v>
      </c>
      <c r="O1329" s="69">
        <f>IF(Main[[#This Row],[Tech Start Date]]&lt;1/1/1990,"",IF(Main[[#This Row],[Class]]="C",WORKDAY(Main[[#This Row],[Tech Start Date]],23),IF(Main[[#This Row],[Class]]="B", WORKDAY(Main[[#This Row],[Tech Start Date]],15),IF(Main[[#This Row],[Class]]="A",WORKDAY(Main[[#This Row],[Tech Start Date]],5),""))))</f>
        <v>40633</v>
      </c>
      <c r="P1329" s="69">
        <f>IF(Main[[#This Row],[Tech Start Date]]&lt;1/1/1990,"",IF(Main[[#This Row],[Class]]="C",WORKDAY(Main[[#This Row],[Tech Start Date]],28),IF(Main[[#This Row],[Class]]="B", WORKDAY(Main[[#This Row],[Tech Start Date]],19),IF(Main[[#This Row],[Class]]="A",WORKDAY(Main[[#This Row],[Tech Start Date]],9),""))))</f>
        <v>40639</v>
      </c>
      <c r="Q1329" s="67"/>
      <c r="R1329" s="67">
        <v>40753</v>
      </c>
      <c r="S1329" s="65" t="s">
        <v>11</v>
      </c>
      <c r="T1329" s="70" t="s">
        <v>2001</v>
      </c>
      <c r="U1329" s="65" t="s">
        <v>14</v>
      </c>
      <c r="V1329" s="65" t="s">
        <v>1914</v>
      </c>
      <c r="W1329" s="65" t="s">
        <v>1919</v>
      </c>
      <c r="X1329" s="65" t="s">
        <v>50</v>
      </c>
      <c r="Y1329" s="65" t="s">
        <v>3147</v>
      </c>
      <c r="Z1329" s="65" t="s">
        <v>877</v>
      </c>
      <c r="AA1329" s="65" t="s">
        <v>3472</v>
      </c>
    </row>
    <row r="1330" spans="1:27" ht="17.45" hidden="1" customHeight="1">
      <c r="A1330" s="100" t="str">
        <f>IF(priority(Main[[#This Row],[Comments]])&lt;&gt;0, priority(Main[[#This Row],[Comments]]),"")</f>
        <v/>
      </c>
      <c r="B1330" s="77" t="s">
        <v>1896</v>
      </c>
      <c r="C1330" s="65" t="s">
        <v>949</v>
      </c>
      <c r="D1330" s="66" t="s">
        <v>950</v>
      </c>
      <c r="E1330" s="67"/>
      <c r="F1330" s="67">
        <v>40775</v>
      </c>
      <c r="G1330" s="64" t="str">
        <f>IF(stdProdLT(Main[[#This Row],[Comments]])=0.1,"N/A",IF(stdProdLT(Main[[#This Row],[Comments]])=0,"",stdProdLT(Main[[#This Row],[Comments]])))</f>
        <v/>
      </c>
      <c r="H1330" s="68">
        <f>IF(AND(Main[[#This Row],[In Stock Date]]&lt;&gt;"",Main[[#This Row],[Revised Due Date]]&lt;&gt;""),Main[[#This Row],[In Stock Date]]-Main[[#This Row],[Revised Due Date]],"")</f>
        <v>51</v>
      </c>
      <c r="I1330" s="65" t="s">
        <v>889</v>
      </c>
      <c r="J1330" s="65" t="s">
        <v>28</v>
      </c>
      <c r="K1330" s="65" t="s">
        <v>1926</v>
      </c>
      <c r="L1330" s="67">
        <v>40619</v>
      </c>
      <c r="M1330" s="69" t="str">
        <f>IF(Main[[#This Row],[Tech Start Date]]&lt;1/1/1990,"",IF(Main[[#This Row],[Class]]="C",WORKDAY(Main[[#This Row],[Tech Start Date]],9),IF(Main[[#This Row],[Class]]="B", WORKDAY(Main[[#This Row],[Tech Start Date]],6),IF(Main[[#This Row],[Class]]="A",WORKDAY(Main[[#This Row],[Tech Start Date]],2),""))))</f>
        <v/>
      </c>
      <c r="N1330" s="69" t="str">
        <f>IF(Main[[#This Row],[Tech Start Date]]&lt;1/1/1990,"",IF(Main[[#This Row],[Class]]="C",WORKDAY(Main[[#This Row],[Tech Start Date]],19),IF(Main[[#This Row],[Class]]="B", WORKDAY(Main[[#This Row],[Tech Start Date]],12),IF(Main[[#This Row],[Class]]="A",WORKDAY(Main[[#This Row],[Tech Start Date]],4),""))))</f>
        <v/>
      </c>
      <c r="O1330" s="69" t="str">
        <f>IF(Main[[#This Row],[Tech Start Date]]&lt;1/1/1990,"",IF(Main[[#This Row],[Class]]="C",WORKDAY(Main[[#This Row],[Tech Start Date]],23),IF(Main[[#This Row],[Class]]="B", WORKDAY(Main[[#This Row],[Tech Start Date]],15),IF(Main[[#This Row],[Class]]="A",WORKDAY(Main[[#This Row],[Tech Start Date]],5),""))))</f>
        <v/>
      </c>
      <c r="P1330" s="69" t="str">
        <f>IF(Main[[#This Row],[Tech Start Date]]&lt;1/1/1990,"",IF(Main[[#This Row],[Class]]="C",WORKDAY(Main[[#This Row],[Tech Start Date]],28),IF(Main[[#This Row],[Class]]="B", WORKDAY(Main[[#This Row],[Tech Start Date]],19),IF(Main[[#This Row],[Class]]="A",WORKDAY(Main[[#This Row],[Tech Start Date]],9),""))))</f>
        <v/>
      </c>
      <c r="Q1330" s="67">
        <v>40635</v>
      </c>
      <c r="R1330" s="67">
        <v>40724</v>
      </c>
      <c r="S1330" s="65" t="s">
        <v>11</v>
      </c>
      <c r="T1330" s="70" t="s">
        <v>4</v>
      </c>
      <c r="U1330" s="65" t="s">
        <v>14</v>
      </c>
      <c r="V1330" s="65" t="s">
        <v>1915</v>
      </c>
      <c r="W1330" s="65" t="s">
        <v>1922</v>
      </c>
      <c r="X1330" s="65" t="s">
        <v>2904</v>
      </c>
      <c r="Y1330" s="65" t="s">
        <v>4</v>
      </c>
      <c r="Z1330" s="65" t="s">
        <v>877</v>
      </c>
      <c r="AA1330" s="65" t="s">
        <v>2904</v>
      </c>
    </row>
    <row r="1331" spans="1:27" ht="17.45" hidden="1" customHeight="1">
      <c r="A1331" s="100" t="str">
        <f>IF(priority(Main[[#This Row],[Comments]])&lt;&gt;0, priority(Main[[#This Row],[Comments]]),"")</f>
        <v/>
      </c>
      <c r="B1331" s="77" t="s">
        <v>1888</v>
      </c>
      <c r="C1331" s="65" t="s">
        <v>116</v>
      </c>
      <c r="D1331" s="66" t="s">
        <v>943</v>
      </c>
      <c r="E1331" s="67"/>
      <c r="F1331" s="67">
        <v>40725</v>
      </c>
      <c r="G1331" s="64" t="str">
        <f>IF(stdProdLT(Main[[#This Row],[Comments]])=0.1,"N/A",IF(stdProdLT(Main[[#This Row],[Comments]])=0,"",stdProdLT(Main[[#This Row],[Comments]])))</f>
        <v/>
      </c>
      <c r="H1331" s="68">
        <f>IF(AND(Main[[#This Row],[In Stock Date]]&lt;&gt;"",Main[[#This Row],[Revised Due Date]]&lt;&gt;""),Main[[#This Row],[In Stock Date]]-Main[[#This Row],[Revised Due Date]],"")</f>
        <v>11</v>
      </c>
      <c r="I1331" s="65" t="s">
        <v>171</v>
      </c>
      <c r="J1331" s="65" t="s">
        <v>28</v>
      </c>
      <c r="K1331" s="65" t="s">
        <v>1923</v>
      </c>
      <c r="L1331" s="67">
        <v>40623</v>
      </c>
      <c r="M1331" s="69">
        <f>IF(Main[[#This Row],[Tech Start Date]]&lt;1/1/1990,"",IF(Main[[#This Row],[Class]]="C",WORKDAY(Main[[#This Row],[Tech Start Date]],9),IF(Main[[#This Row],[Class]]="B", WORKDAY(Main[[#This Row],[Tech Start Date]],6),IF(Main[[#This Row],[Class]]="A",WORKDAY(Main[[#This Row],[Tech Start Date]],2),""))))</f>
        <v>40625</v>
      </c>
      <c r="N1331" s="69">
        <f>IF(Main[[#This Row],[Tech Start Date]]&lt;1/1/1990,"",IF(Main[[#This Row],[Class]]="C",WORKDAY(Main[[#This Row],[Tech Start Date]],19),IF(Main[[#This Row],[Class]]="B", WORKDAY(Main[[#This Row],[Tech Start Date]],12),IF(Main[[#This Row],[Class]]="A",WORKDAY(Main[[#This Row],[Tech Start Date]],4),""))))</f>
        <v>40627</v>
      </c>
      <c r="O1331" s="69">
        <f>IF(Main[[#This Row],[Tech Start Date]]&lt;1/1/1990,"",IF(Main[[#This Row],[Class]]="C",WORKDAY(Main[[#This Row],[Tech Start Date]],23),IF(Main[[#This Row],[Class]]="B", WORKDAY(Main[[#This Row],[Tech Start Date]],15),IF(Main[[#This Row],[Class]]="A",WORKDAY(Main[[#This Row],[Tech Start Date]],5),""))))</f>
        <v>40630</v>
      </c>
      <c r="P1331" s="69">
        <f>IF(Main[[#This Row],[Tech Start Date]]&lt;1/1/1990,"",IF(Main[[#This Row],[Class]]="C",WORKDAY(Main[[#This Row],[Tech Start Date]],28),IF(Main[[#This Row],[Class]]="B", WORKDAY(Main[[#This Row],[Tech Start Date]],19),IF(Main[[#This Row],[Class]]="A",WORKDAY(Main[[#This Row],[Tech Start Date]],9),""))))</f>
        <v>40634</v>
      </c>
      <c r="Q1331" s="67">
        <v>40714</v>
      </c>
      <c r="R1331" s="67">
        <v>40714</v>
      </c>
      <c r="S1331" s="65" t="s">
        <v>11</v>
      </c>
      <c r="T1331" s="70" t="s">
        <v>944</v>
      </c>
      <c r="U1331" s="65" t="s">
        <v>14</v>
      </c>
      <c r="V1331" s="65" t="s">
        <v>1917</v>
      </c>
      <c r="W1331" s="65" t="s">
        <v>1919</v>
      </c>
      <c r="X1331" s="65" t="s">
        <v>2845</v>
      </c>
      <c r="Y1331" s="65" t="s">
        <v>3065</v>
      </c>
      <c r="Z1331" s="65" t="s">
        <v>171</v>
      </c>
      <c r="AA1331" s="65" t="s">
        <v>2845</v>
      </c>
    </row>
    <row r="1332" spans="1:27" ht="17.45" hidden="1" customHeight="1">
      <c r="A1332" s="100" t="str">
        <f>IF(priority(Main[[#This Row],[Comments]])&lt;&gt;0, priority(Main[[#This Row],[Comments]]),"")</f>
        <v/>
      </c>
      <c r="B1332" s="77" t="s">
        <v>1436</v>
      </c>
      <c r="C1332" s="65" t="s">
        <v>4</v>
      </c>
      <c r="D1332" s="66" t="s">
        <v>514</v>
      </c>
      <c r="E1332" s="67">
        <v>40623.553414351853</v>
      </c>
      <c r="F1332" s="67"/>
      <c r="G1332" s="64" t="str">
        <f>IF(stdProdLT(Main[[#This Row],[Comments]])=0.1,"N/A",IF(stdProdLT(Main[[#This Row],[Comments]])=0,"",stdProdLT(Main[[#This Row],[Comments]])))</f>
        <v/>
      </c>
      <c r="H1332" s="68" t="str">
        <f>IF(AND(Main[[#This Row],[In Stock Date]]&lt;&gt;"",Main[[#This Row],[Revised Due Date]]&lt;&gt;""),Main[[#This Row],[In Stock Date]]-Main[[#This Row],[Revised Due Date]],"")</f>
        <v/>
      </c>
      <c r="I1332" s="65" t="s">
        <v>30</v>
      </c>
      <c r="J1332" s="65" t="s">
        <v>21</v>
      </c>
      <c r="K1332" s="65" t="s">
        <v>1923</v>
      </c>
      <c r="L1332" s="67">
        <v>40623</v>
      </c>
      <c r="M1332" s="69">
        <f>IF(Main[[#This Row],[Tech Start Date]]&lt;1/1/1990,"",IF(Main[[#This Row],[Class]]="C",WORKDAY(Main[[#This Row],[Tech Start Date]],9),IF(Main[[#This Row],[Class]]="B", WORKDAY(Main[[#This Row],[Tech Start Date]],6),IF(Main[[#This Row],[Class]]="A",WORKDAY(Main[[#This Row],[Tech Start Date]],2),""))))</f>
        <v>40625</v>
      </c>
      <c r="N1332" s="69">
        <f>IF(Main[[#This Row],[Tech Start Date]]&lt;1/1/1990,"",IF(Main[[#This Row],[Class]]="C",WORKDAY(Main[[#This Row],[Tech Start Date]],19),IF(Main[[#This Row],[Class]]="B", WORKDAY(Main[[#This Row],[Tech Start Date]],12),IF(Main[[#This Row],[Class]]="A",WORKDAY(Main[[#This Row],[Tech Start Date]],4),""))))</f>
        <v>40627</v>
      </c>
      <c r="O1332" s="69">
        <f>IF(Main[[#This Row],[Tech Start Date]]&lt;1/1/1990,"",IF(Main[[#This Row],[Class]]="C",WORKDAY(Main[[#This Row],[Tech Start Date]],23),IF(Main[[#This Row],[Class]]="B", WORKDAY(Main[[#This Row],[Tech Start Date]],15),IF(Main[[#This Row],[Class]]="A",WORKDAY(Main[[#This Row],[Tech Start Date]],5),""))))</f>
        <v>40630</v>
      </c>
      <c r="P1332" s="69">
        <f>IF(Main[[#This Row],[Tech Start Date]]&lt;1/1/1990,"",IF(Main[[#This Row],[Class]]="C",WORKDAY(Main[[#This Row],[Tech Start Date]],28),IF(Main[[#This Row],[Class]]="B", WORKDAY(Main[[#This Row],[Tech Start Date]],19),IF(Main[[#This Row],[Class]]="A",WORKDAY(Main[[#This Row],[Tech Start Date]],9),""))))</f>
        <v>40634</v>
      </c>
      <c r="Q1332" s="67">
        <v>40662</v>
      </c>
      <c r="R1332" s="67"/>
      <c r="S1332" s="65" t="s">
        <v>6</v>
      </c>
      <c r="T1332" s="70" t="s">
        <v>4</v>
      </c>
      <c r="U1332" s="65" t="s">
        <v>29</v>
      </c>
      <c r="V1332" s="65" t="s">
        <v>1924</v>
      </c>
      <c r="W1332" s="65" t="s">
        <v>1918</v>
      </c>
      <c r="X1332" s="65" t="s">
        <v>30</v>
      </c>
      <c r="Y1332" s="65" t="s">
        <v>2957</v>
      </c>
      <c r="Z1332" s="65" t="s">
        <v>30</v>
      </c>
      <c r="AA1332" s="65" t="s">
        <v>30</v>
      </c>
    </row>
    <row r="1333" spans="1:27" ht="17.45" hidden="1" customHeight="1">
      <c r="A1333" s="100">
        <f>IF(priority(Main[[#This Row],[Comments]])&lt;&gt;0, priority(Main[[#This Row],[Comments]]),"")</f>
        <v>42</v>
      </c>
      <c r="B1333" s="77" t="s">
        <v>1889</v>
      </c>
      <c r="C1333" s="65" t="s">
        <v>116</v>
      </c>
      <c r="D1333" s="66" t="s">
        <v>2133</v>
      </c>
      <c r="E1333" s="67">
        <v>40606.548784722225</v>
      </c>
      <c r="F1333" s="67">
        <v>41258</v>
      </c>
      <c r="G1333" s="64">
        <f>IF(stdProdLT(Main[[#This Row],[Comments]])=0.1,"N/A",IF(stdProdLT(Main[[#This Row],[Comments]])=0,"",stdProdLT(Main[[#This Row],[Comments]])))</f>
        <v>154</v>
      </c>
      <c r="H1333" s="68">
        <f>IF(AND(Main[[#This Row],[In Stock Date]]&lt;&gt;"",Main[[#This Row],[Revised Due Date]]&lt;&gt;""),Main[[#This Row],[In Stock Date]]-Main[[#This Row],[Revised Due Date]],"")</f>
        <v>289</v>
      </c>
      <c r="I1333" s="65" t="s">
        <v>415</v>
      </c>
      <c r="J1333" s="65" t="s">
        <v>2605</v>
      </c>
      <c r="K1333" s="65" t="s">
        <v>1927</v>
      </c>
      <c r="L1333" s="67">
        <v>40623</v>
      </c>
      <c r="M1333" s="69">
        <f>IF(Main[[#This Row],[Tech Start Date]]&lt;1/1/1990,"",IF(Main[[#This Row],[Class]]="C",WORKDAY(Main[[#This Row],[Tech Start Date]],9),IF(Main[[#This Row],[Class]]="B", WORKDAY(Main[[#This Row],[Tech Start Date]],6),IF(Main[[#This Row],[Class]]="A",WORKDAY(Main[[#This Row],[Tech Start Date]],2),""))))</f>
        <v>40634</v>
      </c>
      <c r="N1333" s="69">
        <f>IF(Main[[#This Row],[Tech Start Date]]&lt;1/1/1990,"",IF(Main[[#This Row],[Class]]="C",WORKDAY(Main[[#This Row],[Tech Start Date]],19),IF(Main[[#This Row],[Class]]="B", WORKDAY(Main[[#This Row],[Tech Start Date]],12),IF(Main[[#This Row],[Class]]="A",WORKDAY(Main[[#This Row],[Tech Start Date]],4),""))))</f>
        <v>40648</v>
      </c>
      <c r="O1333" s="69">
        <f>IF(Main[[#This Row],[Tech Start Date]]&lt;1/1/1990,"",IF(Main[[#This Row],[Class]]="C",WORKDAY(Main[[#This Row],[Tech Start Date]],23),IF(Main[[#This Row],[Class]]="B", WORKDAY(Main[[#This Row],[Tech Start Date]],15),IF(Main[[#This Row],[Class]]="A",WORKDAY(Main[[#This Row],[Tech Start Date]],5),""))))</f>
        <v>40654</v>
      </c>
      <c r="P1333" s="69">
        <f>IF(Main[[#This Row],[Tech Start Date]]&lt;1/1/1990,"",IF(Main[[#This Row],[Class]]="C",WORKDAY(Main[[#This Row],[Tech Start Date]],28),IF(Main[[#This Row],[Class]]="B", WORKDAY(Main[[#This Row],[Tech Start Date]],19),IF(Main[[#This Row],[Class]]="A",WORKDAY(Main[[#This Row],[Tech Start Date]],9),""))))</f>
        <v>40661</v>
      </c>
      <c r="Q1333" s="67">
        <v>41082</v>
      </c>
      <c r="R1333" s="67">
        <v>40969</v>
      </c>
      <c r="S1333" s="65" t="s">
        <v>11</v>
      </c>
      <c r="T1333" s="70" t="s">
        <v>3785</v>
      </c>
      <c r="U1333" s="65" t="s">
        <v>29</v>
      </c>
      <c r="V1333" s="65" t="s">
        <v>1917</v>
      </c>
      <c r="W1333" s="65" t="s">
        <v>1919</v>
      </c>
      <c r="X1333" s="65" t="s">
        <v>2844</v>
      </c>
      <c r="Y1333" s="65" t="s">
        <v>2977</v>
      </c>
      <c r="Z1333" s="65" t="s">
        <v>894</v>
      </c>
      <c r="AA1333" s="65" t="s">
        <v>2844</v>
      </c>
    </row>
    <row r="1334" spans="1:27" ht="17.45" hidden="1" customHeight="1">
      <c r="A1334" s="100" t="str">
        <f>IF(priority(Main[[#This Row],[Comments]])&lt;&gt;0, priority(Main[[#This Row],[Comments]]),"")</f>
        <v/>
      </c>
      <c r="B1334" s="77" t="s">
        <v>1874</v>
      </c>
      <c r="C1334" s="65" t="s">
        <v>31</v>
      </c>
      <c r="D1334" s="66" t="s">
        <v>927</v>
      </c>
      <c r="E1334" s="67"/>
      <c r="F1334" s="67">
        <v>40725</v>
      </c>
      <c r="G1334" s="64" t="str">
        <f>IF(stdProdLT(Main[[#This Row],[Comments]])=0.1,"N/A",IF(stdProdLT(Main[[#This Row],[Comments]])=0,"",stdProdLT(Main[[#This Row],[Comments]])))</f>
        <v/>
      </c>
      <c r="H1334" s="68">
        <f>IF(AND(Main[[#This Row],[In Stock Date]]&lt;&gt;"",Main[[#This Row],[Revised Due Date]]&lt;&gt;""),Main[[#This Row],[In Stock Date]]-Main[[#This Row],[Revised Due Date]],"")</f>
        <v>66</v>
      </c>
      <c r="I1334" s="65" t="s">
        <v>171</v>
      </c>
      <c r="J1334" s="65" t="s">
        <v>28</v>
      </c>
      <c r="K1334" s="65" t="s">
        <v>1923</v>
      </c>
      <c r="L1334" s="67">
        <v>40623</v>
      </c>
      <c r="M1334" s="69">
        <f>IF(Main[[#This Row],[Tech Start Date]]&lt;1/1/1990,"",IF(Main[[#This Row],[Class]]="C",WORKDAY(Main[[#This Row],[Tech Start Date]],9),IF(Main[[#This Row],[Class]]="B", WORKDAY(Main[[#This Row],[Tech Start Date]],6),IF(Main[[#This Row],[Class]]="A",WORKDAY(Main[[#This Row],[Tech Start Date]],2),""))))</f>
        <v>40625</v>
      </c>
      <c r="N1334" s="69">
        <f>IF(Main[[#This Row],[Tech Start Date]]&lt;1/1/1990,"",IF(Main[[#This Row],[Class]]="C",WORKDAY(Main[[#This Row],[Tech Start Date]],19),IF(Main[[#This Row],[Class]]="B", WORKDAY(Main[[#This Row],[Tech Start Date]],12),IF(Main[[#This Row],[Class]]="A",WORKDAY(Main[[#This Row],[Tech Start Date]],4),""))))</f>
        <v>40627</v>
      </c>
      <c r="O1334" s="69">
        <f>IF(Main[[#This Row],[Tech Start Date]]&lt;1/1/1990,"",IF(Main[[#This Row],[Class]]="C",WORKDAY(Main[[#This Row],[Tech Start Date]],23),IF(Main[[#This Row],[Class]]="B", WORKDAY(Main[[#This Row],[Tech Start Date]],15),IF(Main[[#This Row],[Class]]="A",WORKDAY(Main[[#This Row],[Tech Start Date]],5),""))))</f>
        <v>40630</v>
      </c>
      <c r="P1334" s="69">
        <f>IF(Main[[#This Row],[Tech Start Date]]&lt;1/1/1990,"",IF(Main[[#This Row],[Class]]="C",WORKDAY(Main[[#This Row],[Tech Start Date]],28),IF(Main[[#This Row],[Class]]="B", WORKDAY(Main[[#This Row],[Tech Start Date]],19),IF(Main[[#This Row],[Class]]="A",WORKDAY(Main[[#This Row],[Tech Start Date]],9),""))))</f>
        <v>40634</v>
      </c>
      <c r="Q1334" s="67">
        <v>40659</v>
      </c>
      <c r="R1334" s="67">
        <v>40659</v>
      </c>
      <c r="S1334" s="65" t="s">
        <v>11</v>
      </c>
      <c r="T1334" s="70" t="s">
        <v>4</v>
      </c>
      <c r="U1334" s="65" t="s">
        <v>14</v>
      </c>
      <c r="V1334" s="65" t="s">
        <v>1917</v>
      </c>
      <c r="W1334" s="65" t="s">
        <v>1920</v>
      </c>
      <c r="X1334" s="65" t="s">
        <v>2845</v>
      </c>
      <c r="Y1334" s="65" t="s">
        <v>3065</v>
      </c>
      <c r="Z1334" s="65" t="s">
        <v>171</v>
      </c>
      <c r="AA1334" s="65" t="s">
        <v>2845</v>
      </c>
    </row>
    <row r="1335" spans="1:27" ht="17.45" hidden="1" customHeight="1">
      <c r="A1335" s="100" t="str">
        <f>IF(priority(Main[[#This Row],[Comments]])&lt;&gt;0, priority(Main[[#This Row],[Comments]]),"")</f>
        <v/>
      </c>
      <c r="B1335" s="77" t="s">
        <v>1876</v>
      </c>
      <c r="C1335" s="65" t="s">
        <v>4</v>
      </c>
      <c r="D1335" s="66" t="s">
        <v>3786</v>
      </c>
      <c r="E1335" s="67">
        <v>40624.55673611111</v>
      </c>
      <c r="F1335" s="67"/>
      <c r="G1335" s="64" t="str">
        <f>IF(stdProdLT(Main[[#This Row],[Comments]])=0.1,"N/A",IF(stdProdLT(Main[[#This Row],[Comments]])=0,"",stdProdLT(Main[[#This Row],[Comments]])))</f>
        <v/>
      </c>
      <c r="H1335" s="68" t="str">
        <f>IF(AND(Main[[#This Row],[In Stock Date]]&lt;&gt;"",Main[[#This Row],[Revised Due Date]]&lt;&gt;""),Main[[#This Row],[In Stock Date]]-Main[[#This Row],[Revised Due Date]],"")</f>
        <v/>
      </c>
      <c r="I1335" s="65" t="s">
        <v>69</v>
      </c>
      <c r="J1335" s="65" t="s">
        <v>70</v>
      </c>
      <c r="K1335" s="65" t="s">
        <v>1923</v>
      </c>
      <c r="L1335" s="67">
        <v>40638</v>
      </c>
      <c r="M1335" s="69">
        <f>IF(Main[[#This Row],[Tech Start Date]]&lt;1/1/1990,"",IF(Main[[#This Row],[Class]]="C",WORKDAY(Main[[#This Row],[Tech Start Date]],9),IF(Main[[#This Row],[Class]]="B", WORKDAY(Main[[#This Row],[Tech Start Date]],6),IF(Main[[#This Row],[Class]]="A",WORKDAY(Main[[#This Row],[Tech Start Date]],2),""))))</f>
        <v>40640</v>
      </c>
      <c r="N1335" s="69">
        <f>IF(Main[[#This Row],[Tech Start Date]]&lt;1/1/1990,"",IF(Main[[#This Row],[Class]]="C",WORKDAY(Main[[#This Row],[Tech Start Date]],19),IF(Main[[#This Row],[Class]]="B", WORKDAY(Main[[#This Row],[Tech Start Date]],12),IF(Main[[#This Row],[Class]]="A",WORKDAY(Main[[#This Row],[Tech Start Date]],4),""))))</f>
        <v>40644</v>
      </c>
      <c r="O1335" s="69">
        <f>IF(Main[[#This Row],[Tech Start Date]]&lt;1/1/1990,"",IF(Main[[#This Row],[Class]]="C",WORKDAY(Main[[#This Row],[Tech Start Date]],23),IF(Main[[#This Row],[Class]]="B", WORKDAY(Main[[#This Row],[Tech Start Date]],15),IF(Main[[#This Row],[Class]]="A",WORKDAY(Main[[#This Row],[Tech Start Date]],5),""))))</f>
        <v>40645</v>
      </c>
      <c r="P1335" s="69">
        <f>IF(Main[[#This Row],[Tech Start Date]]&lt;1/1/1990,"",IF(Main[[#This Row],[Class]]="C",WORKDAY(Main[[#This Row],[Tech Start Date]],28),IF(Main[[#This Row],[Class]]="B", WORKDAY(Main[[#This Row],[Tech Start Date]],19),IF(Main[[#This Row],[Class]]="A",WORKDAY(Main[[#This Row],[Tech Start Date]],9),""))))</f>
        <v>40651</v>
      </c>
      <c r="Q1335" s="67"/>
      <c r="R1335" s="67">
        <v>40675</v>
      </c>
      <c r="S1335" s="65" t="s">
        <v>6</v>
      </c>
      <c r="T1335" s="70" t="s">
        <v>4</v>
      </c>
      <c r="U1335" s="65" t="s">
        <v>29</v>
      </c>
      <c r="V1335" s="65" t="s">
        <v>1917</v>
      </c>
      <c r="W1335" s="65" t="s">
        <v>1918</v>
      </c>
      <c r="X1335" s="65" t="s">
        <v>2920</v>
      </c>
      <c r="Y1335" s="65" t="s">
        <v>3148</v>
      </c>
      <c r="Z1335" s="65" t="s">
        <v>30</v>
      </c>
      <c r="AA1335" s="65" t="s">
        <v>2920</v>
      </c>
    </row>
    <row r="1336" spans="1:27" ht="17.45" hidden="1" customHeight="1">
      <c r="A1336" s="100" t="str">
        <f>IF(priority(Main[[#This Row],[Comments]])&lt;&gt;0, priority(Main[[#This Row],[Comments]]),"")</f>
        <v/>
      </c>
      <c r="B1336" s="77" t="s">
        <v>1872</v>
      </c>
      <c r="C1336" s="65" t="s">
        <v>4</v>
      </c>
      <c r="D1336" s="66" t="s">
        <v>2606</v>
      </c>
      <c r="E1336" s="67">
        <v>40627.819594907407</v>
      </c>
      <c r="F1336" s="67"/>
      <c r="G1336" s="64" t="str">
        <f>IF(stdProdLT(Main[[#This Row],[Comments]])=0.1,"N/A",IF(stdProdLT(Main[[#This Row],[Comments]])=0,"",stdProdLT(Main[[#This Row],[Comments]])))</f>
        <v/>
      </c>
      <c r="H1336" s="68" t="str">
        <f>IF(AND(Main[[#This Row],[In Stock Date]]&lt;&gt;"",Main[[#This Row],[Revised Due Date]]&lt;&gt;""),Main[[#This Row],[In Stock Date]]-Main[[#This Row],[Revised Due Date]],"")</f>
        <v/>
      </c>
      <c r="I1336" s="65" t="s">
        <v>30</v>
      </c>
      <c r="J1336" s="65" t="s">
        <v>75</v>
      </c>
      <c r="K1336" s="65" t="s">
        <v>1923</v>
      </c>
      <c r="L1336" s="67">
        <v>40639</v>
      </c>
      <c r="M1336" s="69">
        <f>IF(Main[[#This Row],[Tech Start Date]]&lt;1/1/1990,"",IF(Main[[#This Row],[Class]]="C",WORKDAY(Main[[#This Row],[Tech Start Date]],9),IF(Main[[#This Row],[Class]]="B", WORKDAY(Main[[#This Row],[Tech Start Date]],6),IF(Main[[#This Row],[Class]]="A",WORKDAY(Main[[#This Row],[Tech Start Date]],2),""))))</f>
        <v>40641</v>
      </c>
      <c r="N1336" s="69">
        <f>IF(Main[[#This Row],[Tech Start Date]]&lt;1/1/1990,"",IF(Main[[#This Row],[Class]]="C",WORKDAY(Main[[#This Row],[Tech Start Date]],19),IF(Main[[#This Row],[Class]]="B", WORKDAY(Main[[#This Row],[Tech Start Date]],12),IF(Main[[#This Row],[Class]]="A",WORKDAY(Main[[#This Row],[Tech Start Date]],4),""))))</f>
        <v>40645</v>
      </c>
      <c r="O1336" s="69">
        <f>IF(Main[[#This Row],[Tech Start Date]]&lt;1/1/1990,"",IF(Main[[#This Row],[Class]]="C",WORKDAY(Main[[#This Row],[Tech Start Date]],23),IF(Main[[#This Row],[Class]]="B", WORKDAY(Main[[#This Row],[Tech Start Date]],15),IF(Main[[#This Row],[Class]]="A",WORKDAY(Main[[#This Row],[Tech Start Date]],5),""))))</f>
        <v>40646</v>
      </c>
      <c r="P1336" s="69">
        <f>IF(Main[[#This Row],[Tech Start Date]]&lt;1/1/1990,"",IF(Main[[#This Row],[Class]]="C",WORKDAY(Main[[#This Row],[Tech Start Date]],28),IF(Main[[#This Row],[Class]]="B", WORKDAY(Main[[#This Row],[Tech Start Date]],19),IF(Main[[#This Row],[Class]]="A",WORKDAY(Main[[#This Row],[Tech Start Date]],9),""))))</f>
        <v>40652</v>
      </c>
      <c r="Q1336" s="67">
        <v>40659</v>
      </c>
      <c r="R1336" s="67">
        <v>40646</v>
      </c>
      <c r="S1336" s="65" t="s">
        <v>6</v>
      </c>
      <c r="T1336" s="70" t="s">
        <v>4</v>
      </c>
      <c r="U1336" s="65" t="s">
        <v>29</v>
      </c>
      <c r="V1336" s="65" t="s">
        <v>1917</v>
      </c>
      <c r="W1336" s="65" t="s">
        <v>1918</v>
      </c>
      <c r="X1336" s="65" t="s">
        <v>30</v>
      </c>
      <c r="Y1336" s="65" t="s">
        <v>2957</v>
      </c>
      <c r="Z1336" s="65" t="s">
        <v>30</v>
      </c>
      <c r="AA1336" s="65" t="s">
        <v>30</v>
      </c>
    </row>
    <row r="1337" spans="1:27" ht="17.45" hidden="1" customHeight="1">
      <c r="A1337" s="100" t="str">
        <f>IF(priority(Main[[#This Row],[Comments]])&lt;&gt;0, priority(Main[[#This Row],[Comments]]),"")</f>
        <v/>
      </c>
      <c r="B1337" s="77" t="s">
        <v>1879</v>
      </c>
      <c r="C1337" s="65" t="s">
        <v>4</v>
      </c>
      <c r="D1337" s="66" t="s">
        <v>2134</v>
      </c>
      <c r="E1337" s="67"/>
      <c r="F1337" s="67"/>
      <c r="G1337" s="64" t="str">
        <f>IF(stdProdLT(Main[[#This Row],[Comments]])=0.1,"N/A",IF(stdProdLT(Main[[#This Row],[Comments]])=0,"",stdProdLT(Main[[#This Row],[Comments]])))</f>
        <v/>
      </c>
      <c r="H1337" s="68" t="str">
        <f>IF(AND(Main[[#This Row],[In Stock Date]]&lt;&gt;"",Main[[#This Row],[Revised Due Date]]&lt;&gt;""),Main[[#This Row],[In Stock Date]]-Main[[#This Row],[Revised Due Date]],"")</f>
        <v/>
      </c>
      <c r="I1337" s="65" t="s">
        <v>306</v>
      </c>
      <c r="J1337" s="65" t="s">
        <v>75</v>
      </c>
      <c r="K1337" s="65" t="s">
        <v>1923</v>
      </c>
      <c r="L1337" s="67">
        <v>40651</v>
      </c>
      <c r="M1337" s="69">
        <f>IF(Main[[#This Row],[Tech Start Date]]&lt;1/1/1990,"",IF(Main[[#This Row],[Class]]="C",WORKDAY(Main[[#This Row],[Tech Start Date]],9),IF(Main[[#This Row],[Class]]="B", WORKDAY(Main[[#This Row],[Tech Start Date]],6),IF(Main[[#This Row],[Class]]="A",WORKDAY(Main[[#This Row],[Tech Start Date]],2),""))))</f>
        <v>40653</v>
      </c>
      <c r="N1337" s="69">
        <f>IF(Main[[#This Row],[Tech Start Date]]&lt;1/1/1990,"",IF(Main[[#This Row],[Class]]="C",WORKDAY(Main[[#This Row],[Tech Start Date]],19),IF(Main[[#This Row],[Class]]="B", WORKDAY(Main[[#This Row],[Tech Start Date]],12),IF(Main[[#This Row],[Class]]="A",WORKDAY(Main[[#This Row],[Tech Start Date]],4),""))))</f>
        <v>40655</v>
      </c>
      <c r="O1337" s="69">
        <f>IF(Main[[#This Row],[Tech Start Date]]&lt;1/1/1990,"",IF(Main[[#This Row],[Class]]="C",WORKDAY(Main[[#This Row],[Tech Start Date]],23),IF(Main[[#This Row],[Class]]="B", WORKDAY(Main[[#This Row],[Tech Start Date]],15),IF(Main[[#This Row],[Class]]="A",WORKDAY(Main[[#This Row],[Tech Start Date]],5),""))))</f>
        <v>40658</v>
      </c>
      <c r="P1337" s="69">
        <f>IF(Main[[#This Row],[Tech Start Date]]&lt;1/1/1990,"",IF(Main[[#This Row],[Class]]="C",WORKDAY(Main[[#This Row],[Tech Start Date]],28),IF(Main[[#This Row],[Class]]="B", WORKDAY(Main[[#This Row],[Tech Start Date]],19),IF(Main[[#This Row],[Class]]="A",WORKDAY(Main[[#This Row],[Tech Start Date]],9),""))))</f>
        <v>40662</v>
      </c>
      <c r="Q1337" s="67">
        <v>40480</v>
      </c>
      <c r="R1337" s="67">
        <v>40689</v>
      </c>
      <c r="S1337" s="65" t="s">
        <v>6</v>
      </c>
      <c r="T1337" s="70" t="s">
        <v>4</v>
      </c>
      <c r="U1337" s="65" t="s">
        <v>14</v>
      </c>
      <c r="V1337" s="65" t="s">
        <v>1924</v>
      </c>
      <c r="W1337" s="65" t="s">
        <v>1918</v>
      </c>
      <c r="X1337" s="65" t="s">
        <v>2818</v>
      </c>
      <c r="Y1337" s="65" t="s">
        <v>2929</v>
      </c>
      <c r="Z1337" s="65" t="s">
        <v>30</v>
      </c>
      <c r="AA1337" s="65" t="s">
        <v>2818</v>
      </c>
    </row>
    <row r="1338" spans="1:27" ht="17.45" hidden="1" customHeight="1">
      <c r="A1338" s="100" t="str">
        <f>IF(priority(Main[[#This Row],[Comments]])&lt;&gt;0, priority(Main[[#This Row],[Comments]]),"")</f>
        <v/>
      </c>
      <c r="B1338" s="77" t="s">
        <v>1878</v>
      </c>
      <c r="C1338" s="65" t="s">
        <v>4</v>
      </c>
      <c r="D1338" s="66" t="s">
        <v>930</v>
      </c>
      <c r="E1338" s="67"/>
      <c r="F1338" s="67"/>
      <c r="G1338" s="64" t="str">
        <f>IF(stdProdLT(Main[[#This Row],[Comments]])=0.1,"N/A",IF(stdProdLT(Main[[#This Row],[Comments]])=0,"",stdProdLT(Main[[#This Row],[Comments]])))</f>
        <v/>
      </c>
      <c r="H1338" s="68" t="str">
        <f>IF(AND(Main[[#This Row],[In Stock Date]]&lt;&gt;"",Main[[#This Row],[Revised Due Date]]&lt;&gt;""),Main[[#This Row],[In Stock Date]]-Main[[#This Row],[Revised Due Date]],"")</f>
        <v/>
      </c>
      <c r="I1338" s="65" t="s">
        <v>44</v>
      </c>
      <c r="J1338" s="65" t="s">
        <v>28</v>
      </c>
      <c r="K1338" s="65" t="s">
        <v>1923</v>
      </c>
      <c r="L1338" s="67">
        <v>40651</v>
      </c>
      <c r="M1338" s="69">
        <f>IF(Main[[#This Row],[Tech Start Date]]&lt;1/1/1990,"",IF(Main[[#This Row],[Class]]="C",WORKDAY(Main[[#This Row],[Tech Start Date]],9),IF(Main[[#This Row],[Class]]="B", WORKDAY(Main[[#This Row],[Tech Start Date]],6),IF(Main[[#This Row],[Class]]="A",WORKDAY(Main[[#This Row],[Tech Start Date]],2),""))))</f>
        <v>40653</v>
      </c>
      <c r="N1338" s="69">
        <f>IF(Main[[#This Row],[Tech Start Date]]&lt;1/1/1990,"",IF(Main[[#This Row],[Class]]="C",WORKDAY(Main[[#This Row],[Tech Start Date]],19),IF(Main[[#This Row],[Class]]="B", WORKDAY(Main[[#This Row],[Tech Start Date]],12),IF(Main[[#This Row],[Class]]="A",WORKDAY(Main[[#This Row],[Tech Start Date]],4),""))))</f>
        <v>40655</v>
      </c>
      <c r="O1338" s="69">
        <f>IF(Main[[#This Row],[Tech Start Date]]&lt;1/1/1990,"",IF(Main[[#This Row],[Class]]="C",WORKDAY(Main[[#This Row],[Tech Start Date]],23),IF(Main[[#This Row],[Class]]="B", WORKDAY(Main[[#This Row],[Tech Start Date]],15),IF(Main[[#This Row],[Class]]="A",WORKDAY(Main[[#This Row],[Tech Start Date]],5),""))))</f>
        <v>40658</v>
      </c>
      <c r="P1338" s="69">
        <f>IF(Main[[#This Row],[Tech Start Date]]&lt;1/1/1990,"",IF(Main[[#This Row],[Class]]="C",WORKDAY(Main[[#This Row],[Tech Start Date]],28),IF(Main[[#This Row],[Class]]="B", WORKDAY(Main[[#This Row],[Tech Start Date]],19),IF(Main[[#This Row],[Class]]="A",WORKDAY(Main[[#This Row],[Tech Start Date]],9),""))))</f>
        <v>40662</v>
      </c>
      <c r="Q1338" s="67">
        <v>40494</v>
      </c>
      <c r="R1338" s="67">
        <v>40689</v>
      </c>
      <c r="S1338" s="65" t="s">
        <v>6</v>
      </c>
      <c r="T1338" s="70" t="s">
        <v>4</v>
      </c>
      <c r="U1338" s="65" t="s">
        <v>14</v>
      </c>
      <c r="V1338" s="65" t="s">
        <v>1917</v>
      </c>
      <c r="W1338" s="65" t="s">
        <v>1918</v>
      </c>
      <c r="X1338" s="65" t="s">
        <v>2819</v>
      </c>
      <c r="Y1338" s="65" t="s">
        <v>2932</v>
      </c>
      <c r="Z1338" s="65" t="s">
        <v>44</v>
      </c>
      <c r="AA1338" s="65" t="s">
        <v>2819</v>
      </c>
    </row>
    <row r="1339" spans="1:27" ht="17.45" hidden="1" customHeight="1">
      <c r="A1339" s="100">
        <f>IF(priority(Main[[#This Row],[Comments]])&lt;&gt;0, priority(Main[[#This Row],[Comments]]),"")</f>
        <v>1</v>
      </c>
      <c r="B1339" s="77" t="s">
        <v>1881</v>
      </c>
      <c r="C1339" s="65" t="s">
        <v>931</v>
      </c>
      <c r="D1339" s="66" t="s">
        <v>932</v>
      </c>
      <c r="E1339" s="67"/>
      <c r="F1339" s="67">
        <v>40787</v>
      </c>
      <c r="G1339" s="64" t="str">
        <f>IF(stdProdLT(Main[[#This Row],[Comments]])=0.1,"N/A",IF(stdProdLT(Main[[#This Row],[Comments]])=0,"",stdProdLT(Main[[#This Row],[Comments]])))</f>
        <v/>
      </c>
      <c r="H1339" s="68">
        <f>IF(AND(Main[[#This Row],[In Stock Date]]&lt;&gt;"",Main[[#This Row],[Revised Due Date]]&lt;&gt;""),Main[[#This Row],[In Stock Date]]-Main[[#This Row],[Revised Due Date]],"")</f>
        <v>91</v>
      </c>
      <c r="I1339" s="65" t="s">
        <v>489</v>
      </c>
      <c r="J1339" s="65" t="s">
        <v>70</v>
      </c>
      <c r="K1339" s="65" t="s">
        <v>1923</v>
      </c>
      <c r="L1339" s="67">
        <v>40658</v>
      </c>
      <c r="M1339" s="69">
        <f>IF(Main[[#This Row],[Tech Start Date]]&lt;1/1/1990,"",IF(Main[[#This Row],[Class]]="C",WORKDAY(Main[[#This Row],[Tech Start Date]],9),IF(Main[[#This Row],[Class]]="B", WORKDAY(Main[[#This Row],[Tech Start Date]],6),IF(Main[[#This Row],[Class]]="A",WORKDAY(Main[[#This Row],[Tech Start Date]],2),""))))</f>
        <v>40660</v>
      </c>
      <c r="N1339" s="69">
        <f>IF(Main[[#This Row],[Tech Start Date]]&lt;1/1/1990,"",IF(Main[[#This Row],[Class]]="C",WORKDAY(Main[[#This Row],[Tech Start Date]],19),IF(Main[[#This Row],[Class]]="B", WORKDAY(Main[[#This Row],[Tech Start Date]],12),IF(Main[[#This Row],[Class]]="A",WORKDAY(Main[[#This Row],[Tech Start Date]],4),""))))</f>
        <v>40662</v>
      </c>
      <c r="O1339" s="69">
        <f>IF(Main[[#This Row],[Tech Start Date]]&lt;1/1/1990,"",IF(Main[[#This Row],[Class]]="C",WORKDAY(Main[[#This Row],[Tech Start Date]],23),IF(Main[[#This Row],[Class]]="B", WORKDAY(Main[[#This Row],[Tech Start Date]],15),IF(Main[[#This Row],[Class]]="A",WORKDAY(Main[[#This Row],[Tech Start Date]],5),""))))</f>
        <v>40665</v>
      </c>
      <c r="P1339" s="69">
        <f>IF(Main[[#This Row],[Tech Start Date]]&lt;1/1/1990,"",IF(Main[[#This Row],[Class]]="C",WORKDAY(Main[[#This Row],[Tech Start Date]],28),IF(Main[[#This Row],[Class]]="B", WORKDAY(Main[[#This Row],[Tech Start Date]],19),IF(Main[[#This Row],[Class]]="A",WORKDAY(Main[[#This Row],[Tech Start Date]],9),""))))</f>
        <v>40669</v>
      </c>
      <c r="Q1339" s="67">
        <v>40696</v>
      </c>
      <c r="R1339" s="67">
        <v>40696</v>
      </c>
      <c r="S1339" s="65" t="s">
        <v>11</v>
      </c>
      <c r="T1339" s="70" t="s">
        <v>933</v>
      </c>
      <c r="U1339" s="65" t="s">
        <v>14</v>
      </c>
      <c r="V1339" s="65" t="s">
        <v>1917</v>
      </c>
      <c r="W1339" s="65" t="s">
        <v>1920</v>
      </c>
      <c r="X1339" s="65" t="s">
        <v>2872</v>
      </c>
      <c r="Y1339" s="65" t="s">
        <v>2996</v>
      </c>
      <c r="Z1339" s="65" t="s">
        <v>2051</v>
      </c>
      <c r="AA1339" s="65" t="s">
        <v>2872</v>
      </c>
    </row>
    <row r="1340" spans="1:27" ht="17.45" hidden="1" customHeight="1">
      <c r="A1340" s="100" t="str">
        <f>IF(priority(Main[[#This Row],[Comments]])&lt;&gt;0, priority(Main[[#This Row],[Comments]]),"")</f>
        <v/>
      </c>
      <c r="B1340" s="77" t="s">
        <v>1877</v>
      </c>
      <c r="C1340" s="65" t="s">
        <v>4</v>
      </c>
      <c r="D1340" s="66" t="s">
        <v>929</v>
      </c>
      <c r="E1340" s="67"/>
      <c r="F1340" s="67"/>
      <c r="G1340" s="64" t="str">
        <f>IF(stdProdLT(Main[[#This Row],[Comments]])=0.1,"N/A",IF(stdProdLT(Main[[#This Row],[Comments]])=0,"",stdProdLT(Main[[#This Row],[Comments]])))</f>
        <v/>
      </c>
      <c r="H1340" s="68" t="str">
        <f>IF(AND(Main[[#This Row],[In Stock Date]]&lt;&gt;"",Main[[#This Row],[Revised Due Date]]&lt;&gt;""),Main[[#This Row],[In Stock Date]]-Main[[#This Row],[Revised Due Date]],"")</f>
        <v/>
      </c>
      <c r="I1340" s="65" t="s">
        <v>130</v>
      </c>
      <c r="J1340" s="65" t="s">
        <v>70</v>
      </c>
      <c r="K1340" s="65" t="s">
        <v>1923</v>
      </c>
      <c r="L1340" s="67">
        <v>40658</v>
      </c>
      <c r="M1340" s="69">
        <f>IF(Main[[#This Row],[Tech Start Date]]&lt;1/1/1990,"",IF(Main[[#This Row],[Class]]="C",WORKDAY(Main[[#This Row],[Tech Start Date]],9),IF(Main[[#This Row],[Class]]="B", WORKDAY(Main[[#This Row],[Tech Start Date]],6),IF(Main[[#This Row],[Class]]="A",WORKDAY(Main[[#This Row],[Tech Start Date]],2),""))))</f>
        <v>40660</v>
      </c>
      <c r="N1340" s="69">
        <f>IF(Main[[#This Row],[Tech Start Date]]&lt;1/1/1990,"",IF(Main[[#This Row],[Class]]="C",WORKDAY(Main[[#This Row],[Tech Start Date]],19),IF(Main[[#This Row],[Class]]="B", WORKDAY(Main[[#This Row],[Tech Start Date]],12),IF(Main[[#This Row],[Class]]="A",WORKDAY(Main[[#This Row],[Tech Start Date]],4),""))))</f>
        <v>40662</v>
      </c>
      <c r="O1340" s="69">
        <f>IF(Main[[#This Row],[Tech Start Date]]&lt;1/1/1990,"",IF(Main[[#This Row],[Class]]="C",WORKDAY(Main[[#This Row],[Tech Start Date]],23),IF(Main[[#This Row],[Class]]="B", WORKDAY(Main[[#This Row],[Tech Start Date]],15),IF(Main[[#This Row],[Class]]="A",WORKDAY(Main[[#This Row],[Tech Start Date]],5),""))))</f>
        <v>40665</v>
      </c>
      <c r="P1340" s="69">
        <f>IF(Main[[#This Row],[Tech Start Date]]&lt;1/1/1990,"",IF(Main[[#This Row],[Class]]="C",WORKDAY(Main[[#This Row],[Tech Start Date]],28),IF(Main[[#This Row],[Class]]="B", WORKDAY(Main[[#This Row],[Tech Start Date]],19),IF(Main[[#This Row],[Class]]="A",WORKDAY(Main[[#This Row],[Tech Start Date]],9),""))))</f>
        <v>40669</v>
      </c>
      <c r="Q1340" s="67">
        <v>40665</v>
      </c>
      <c r="R1340" s="67">
        <v>40686</v>
      </c>
      <c r="S1340" s="65" t="s">
        <v>6</v>
      </c>
      <c r="T1340" s="70" t="s">
        <v>4</v>
      </c>
      <c r="U1340" s="65" t="s">
        <v>14</v>
      </c>
      <c r="V1340" s="65" t="s">
        <v>1917</v>
      </c>
      <c r="W1340" s="65" t="s">
        <v>1916</v>
      </c>
      <c r="X1340" s="65" t="s">
        <v>2851</v>
      </c>
      <c r="Y1340" s="65" t="s">
        <v>2986</v>
      </c>
      <c r="Z1340" s="65" t="s">
        <v>30</v>
      </c>
      <c r="AA1340" s="65" t="s">
        <v>2851</v>
      </c>
    </row>
    <row r="1341" spans="1:27" ht="17.45" hidden="1" customHeight="1">
      <c r="A1341" s="100" t="str">
        <f>IF(priority(Main[[#This Row],[Comments]])&lt;&gt;0, priority(Main[[#This Row],[Comments]]),"")</f>
        <v/>
      </c>
      <c r="B1341" s="77" t="s">
        <v>1900</v>
      </c>
      <c r="C1341" s="65" t="s">
        <v>4</v>
      </c>
      <c r="D1341" s="66" t="s">
        <v>2607</v>
      </c>
      <c r="E1341" s="67">
        <v>40659.398043981484</v>
      </c>
      <c r="F1341" s="67"/>
      <c r="G1341" s="64" t="str">
        <f>IF(stdProdLT(Main[[#This Row],[Comments]])=0.1,"N/A",IF(stdProdLT(Main[[#This Row],[Comments]])=0,"",stdProdLT(Main[[#This Row],[Comments]])))</f>
        <v/>
      </c>
      <c r="H1341" s="68" t="str">
        <f>IF(AND(Main[[#This Row],[In Stock Date]]&lt;&gt;"",Main[[#This Row],[Revised Due Date]]&lt;&gt;""),Main[[#This Row],[In Stock Date]]-Main[[#This Row],[Revised Due Date]],"")</f>
        <v/>
      </c>
      <c r="I1341" s="65" t="s">
        <v>969</v>
      </c>
      <c r="J1341" s="65" t="s">
        <v>28</v>
      </c>
      <c r="K1341" s="65" t="s">
        <v>1926</v>
      </c>
      <c r="L1341" s="67">
        <v>40665</v>
      </c>
      <c r="M1341" s="69" t="str">
        <f>IF(Main[[#This Row],[Tech Start Date]]&lt;1/1/1990,"",IF(Main[[#This Row],[Class]]="C",WORKDAY(Main[[#This Row],[Tech Start Date]],9),IF(Main[[#This Row],[Class]]="B", WORKDAY(Main[[#This Row],[Tech Start Date]],6),IF(Main[[#This Row],[Class]]="A",WORKDAY(Main[[#This Row],[Tech Start Date]],2),""))))</f>
        <v/>
      </c>
      <c r="N1341" s="69" t="str">
        <f>IF(Main[[#This Row],[Tech Start Date]]&lt;1/1/1990,"",IF(Main[[#This Row],[Class]]="C",WORKDAY(Main[[#This Row],[Tech Start Date]],19),IF(Main[[#This Row],[Class]]="B", WORKDAY(Main[[#This Row],[Tech Start Date]],12),IF(Main[[#This Row],[Class]]="A",WORKDAY(Main[[#This Row],[Tech Start Date]],4),""))))</f>
        <v/>
      </c>
      <c r="O1341" s="69" t="str">
        <f>IF(Main[[#This Row],[Tech Start Date]]&lt;1/1/1990,"",IF(Main[[#This Row],[Class]]="C",WORKDAY(Main[[#This Row],[Tech Start Date]],23),IF(Main[[#This Row],[Class]]="B", WORKDAY(Main[[#This Row],[Tech Start Date]],15),IF(Main[[#This Row],[Class]]="A",WORKDAY(Main[[#This Row],[Tech Start Date]],5),""))))</f>
        <v/>
      </c>
      <c r="P1341" s="69" t="str">
        <f>IF(Main[[#This Row],[Tech Start Date]]&lt;1/1/1990,"",IF(Main[[#This Row],[Class]]="C",WORKDAY(Main[[#This Row],[Tech Start Date]],28),IF(Main[[#This Row],[Class]]="B", WORKDAY(Main[[#This Row],[Tech Start Date]],19),IF(Main[[#This Row],[Class]]="A",WORKDAY(Main[[#This Row],[Tech Start Date]],9),""))))</f>
        <v/>
      </c>
      <c r="Q1341" s="67">
        <v>40877</v>
      </c>
      <c r="R1341" s="67">
        <v>40900</v>
      </c>
      <c r="S1341" s="65" t="s">
        <v>17</v>
      </c>
      <c r="T1341" s="70" t="s">
        <v>2608</v>
      </c>
      <c r="U1341" s="65" t="s">
        <v>29</v>
      </c>
      <c r="V1341" s="65" t="s">
        <v>1914</v>
      </c>
      <c r="W1341" s="65" t="s">
        <v>1918</v>
      </c>
      <c r="X1341" s="65" t="s">
        <v>907</v>
      </c>
      <c r="Y1341" s="65" t="s">
        <v>3017</v>
      </c>
      <c r="Z1341" s="65" t="s">
        <v>877</v>
      </c>
      <c r="AA1341" s="65" t="s">
        <v>907</v>
      </c>
    </row>
    <row r="1342" spans="1:27" ht="17.45" customHeight="1">
      <c r="A1342" s="100">
        <f>IF(priority(Main[[#This Row],[Comments]])&lt;&gt;0, priority(Main[[#This Row],[Comments]]),"")</f>
        <v>18</v>
      </c>
      <c r="B1342" s="77" t="s">
        <v>2534</v>
      </c>
      <c r="C1342" s="65" t="s">
        <v>3241</v>
      </c>
      <c r="D1342" s="66" t="s">
        <v>3818</v>
      </c>
      <c r="E1342" s="67">
        <v>40848.481932870367</v>
      </c>
      <c r="F1342" s="67">
        <v>41153</v>
      </c>
      <c r="G1342" s="64">
        <f>IF(stdProdLT(Main[[#This Row],[Comments]])=0.1,"N/A",IF(stdProdLT(Main[[#This Row],[Comments]])=0,"",stdProdLT(Main[[#This Row],[Comments]])))</f>
        <v>126</v>
      </c>
      <c r="H1342" s="68">
        <f>IF(AND(Main[[#This Row],[In Stock Date]]&lt;&gt;"",Main[[#This Row],[Revised Due Date]]&lt;&gt;""),Main[[#This Row],[In Stock Date]]-Main[[#This Row],[Revised Due Date]],"")</f>
        <v>183</v>
      </c>
      <c r="I1342" s="65" t="s">
        <v>399</v>
      </c>
      <c r="J1342" s="65" t="s">
        <v>51</v>
      </c>
      <c r="K1342" s="71" t="s">
        <v>1921</v>
      </c>
      <c r="L1342" s="67">
        <v>40918</v>
      </c>
      <c r="M1342" s="69">
        <f>IF(Main[[#This Row],[Tech Start Date]]&lt;1/1/1990,"",IF(Main[[#This Row],[Class]]="C",WORKDAY(Main[[#This Row],[Tech Start Date]],9),IF(Main[[#This Row],[Class]]="B", WORKDAY(Main[[#This Row],[Tech Start Date]],6),IF(Main[[#This Row],[Class]]="A",WORKDAY(Main[[#This Row],[Tech Start Date]],2),""))))</f>
        <v>40926</v>
      </c>
      <c r="N1342" s="69">
        <f>IF(Main[[#This Row],[Tech Start Date]]&lt;1/1/1990,"",IF(Main[[#This Row],[Class]]="C",WORKDAY(Main[[#This Row],[Tech Start Date]],19),IF(Main[[#This Row],[Class]]="B", WORKDAY(Main[[#This Row],[Tech Start Date]],12),IF(Main[[#This Row],[Class]]="A",WORKDAY(Main[[#This Row],[Tech Start Date]],4),""))))</f>
        <v>40934</v>
      </c>
      <c r="O1342" s="69">
        <f>IF(Main[[#This Row],[Tech Start Date]]&lt;1/1/1990,"",IF(Main[[#This Row],[Class]]="C",WORKDAY(Main[[#This Row],[Tech Start Date]],23),IF(Main[[#This Row],[Class]]="B", WORKDAY(Main[[#This Row],[Tech Start Date]],15),IF(Main[[#This Row],[Class]]="A",WORKDAY(Main[[#This Row],[Tech Start Date]],5),""))))</f>
        <v>40939</v>
      </c>
      <c r="P1342" s="69">
        <f>IF(Main[[#This Row],[Tech Start Date]]&lt;1/1/1990,"",IF(Main[[#This Row],[Class]]="C",WORKDAY(Main[[#This Row],[Tech Start Date]],28),IF(Main[[#This Row],[Class]]="B", WORKDAY(Main[[#This Row],[Tech Start Date]],19),IF(Main[[#This Row],[Class]]="A",WORKDAY(Main[[#This Row],[Tech Start Date]],9),""))))</f>
        <v>40945</v>
      </c>
      <c r="Q1342" s="67">
        <v>41153</v>
      </c>
      <c r="R1342" s="67">
        <v>40970</v>
      </c>
      <c r="S1342" s="65" t="s">
        <v>11</v>
      </c>
      <c r="T1342" s="70" t="s">
        <v>3819</v>
      </c>
      <c r="U1342" s="65" t="s">
        <v>29</v>
      </c>
      <c r="V1342" s="65" t="s">
        <v>1914</v>
      </c>
      <c r="W1342" s="65" t="s">
        <v>1920</v>
      </c>
      <c r="X1342" s="65" t="s">
        <v>2909</v>
      </c>
      <c r="Y1342" s="65" t="s">
        <v>2930</v>
      </c>
      <c r="Z1342" s="65" t="s">
        <v>129</v>
      </c>
      <c r="AA1342" s="65" t="s">
        <v>2909</v>
      </c>
    </row>
    <row r="1343" spans="1:27" ht="17.45" hidden="1" customHeight="1">
      <c r="A1343" s="100" t="str">
        <f>IF(priority(Main[[#This Row],[Comments]])&lt;&gt;0, priority(Main[[#This Row],[Comments]]),"")</f>
        <v/>
      </c>
      <c r="B1343" s="77" t="s">
        <v>1883</v>
      </c>
      <c r="C1343" s="65" t="s">
        <v>113</v>
      </c>
      <c r="D1343" s="66" t="s">
        <v>2610</v>
      </c>
      <c r="E1343" s="67">
        <v>40596.601666666669</v>
      </c>
      <c r="F1343" s="67">
        <v>40605</v>
      </c>
      <c r="G1343" s="64" t="str">
        <f>IF(stdProdLT(Main[[#This Row],[Comments]])=0.1,"N/A",IF(stdProdLT(Main[[#This Row],[Comments]])=0,"",stdProdLT(Main[[#This Row],[Comments]])))</f>
        <v/>
      </c>
      <c r="H1343" s="68" t="str">
        <f>IF(AND(Main[[#This Row],[In Stock Date]]&lt;&gt;"",Main[[#This Row],[Revised Due Date]]&lt;&gt;""),Main[[#This Row],[In Stock Date]]-Main[[#This Row],[Revised Due Date]],"")</f>
        <v/>
      </c>
      <c r="I1343" s="65" t="s">
        <v>4</v>
      </c>
      <c r="J1343" s="65" t="s">
        <v>52</v>
      </c>
      <c r="K1343" s="65" t="s">
        <v>1927</v>
      </c>
      <c r="L1343" s="67">
        <v>40666</v>
      </c>
      <c r="M1343" s="69">
        <f>IF(Main[[#This Row],[Tech Start Date]]&lt;1/1/1990,"",IF(Main[[#This Row],[Class]]="C",WORKDAY(Main[[#This Row],[Tech Start Date]],9),IF(Main[[#This Row],[Class]]="B", WORKDAY(Main[[#This Row],[Tech Start Date]],6),IF(Main[[#This Row],[Class]]="A",WORKDAY(Main[[#This Row],[Tech Start Date]],2),""))))</f>
        <v>40679</v>
      </c>
      <c r="N1343" s="69">
        <f>IF(Main[[#This Row],[Tech Start Date]]&lt;1/1/1990,"",IF(Main[[#This Row],[Class]]="C",WORKDAY(Main[[#This Row],[Tech Start Date]],19),IF(Main[[#This Row],[Class]]="B", WORKDAY(Main[[#This Row],[Tech Start Date]],12),IF(Main[[#This Row],[Class]]="A",WORKDAY(Main[[#This Row],[Tech Start Date]],4),""))))</f>
        <v>40693</v>
      </c>
      <c r="O1343" s="69">
        <f>IF(Main[[#This Row],[Tech Start Date]]&lt;1/1/1990,"",IF(Main[[#This Row],[Class]]="C",WORKDAY(Main[[#This Row],[Tech Start Date]],23),IF(Main[[#This Row],[Class]]="B", WORKDAY(Main[[#This Row],[Tech Start Date]],15),IF(Main[[#This Row],[Class]]="A",WORKDAY(Main[[#This Row],[Tech Start Date]],5),""))))</f>
        <v>40697</v>
      </c>
      <c r="P1343" s="69">
        <f>IF(Main[[#This Row],[Tech Start Date]]&lt;1/1/1990,"",IF(Main[[#This Row],[Class]]="C",WORKDAY(Main[[#This Row],[Tech Start Date]],28),IF(Main[[#This Row],[Class]]="B", WORKDAY(Main[[#This Row],[Tech Start Date]],19),IF(Main[[#This Row],[Class]]="A",WORKDAY(Main[[#This Row],[Tech Start Date]],9),""))))</f>
        <v>40704</v>
      </c>
      <c r="Q1343" s="67">
        <v>40701</v>
      </c>
      <c r="R1343" s="67"/>
      <c r="S1343" s="65" t="s">
        <v>17</v>
      </c>
      <c r="T1343" s="70" t="s">
        <v>2002</v>
      </c>
      <c r="U1343" s="65" t="s">
        <v>29</v>
      </c>
      <c r="V1343" s="65" t="s">
        <v>1914</v>
      </c>
      <c r="W1343" s="65" t="s">
        <v>1925</v>
      </c>
      <c r="X1343" s="65" t="s">
        <v>2861</v>
      </c>
      <c r="Y1343" s="65" t="s">
        <v>3005</v>
      </c>
      <c r="Z1343" s="65" t="s">
        <v>129</v>
      </c>
      <c r="AA1343" s="65" t="s">
        <v>2861</v>
      </c>
    </row>
    <row r="1344" spans="1:27" ht="17.45" hidden="1" customHeight="1">
      <c r="A1344" s="100">
        <f>IF(priority(Main[[#This Row],[Comments]])&lt;&gt;0, priority(Main[[#This Row],[Comments]]),"")</f>
        <v>1.01</v>
      </c>
      <c r="B1344" s="77" t="s">
        <v>1880</v>
      </c>
      <c r="C1344" s="65" t="s">
        <v>113</v>
      </c>
      <c r="D1344" s="66" t="s">
        <v>3787</v>
      </c>
      <c r="E1344" s="67">
        <v>40633.588854166665</v>
      </c>
      <c r="F1344" s="67">
        <v>40674</v>
      </c>
      <c r="G1344" s="64" t="str">
        <f>IF(stdProdLT(Main[[#This Row],[Comments]])=0.1,"N/A",IF(stdProdLT(Main[[#This Row],[Comments]])=0,"",stdProdLT(Main[[#This Row],[Comments]])))</f>
        <v/>
      </c>
      <c r="H1344" s="68">
        <f>IF(AND(Main[[#This Row],[In Stock Date]]&lt;&gt;"",Main[[#This Row],[Revised Due Date]]&lt;&gt;""),Main[[#This Row],[In Stock Date]]-Main[[#This Row],[Revised Due Date]],"")</f>
        <v>-355</v>
      </c>
      <c r="I1344" s="65" t="s">
        <v>937</v>
      </c>
      <c r="J1344" s="65" t="s">
        <v>28</v>
      </c>
      <c r="K1344" s="65" t="s">
        <v>1926</v>
      </c>
      <c r="L1344" s="67">
        <v>40666</v>
      </c>
      <c r="M1344" s="69" t="str">
        <f>IF(Main[[#This Row],[Tech Start Date]]&lt;1/1/1990,"",IF(Main[[#This Row],[Class]]="C",WORKDAY(Main[[#This Row],[Tech Start Date]],9),IF(Main[[#This Row],[Class]]="B", WORKDAY(Main[[#This Row],[Tech Start Date]],6),IF(Main[[#This Row],[Class]]="A",WORKDAY(Main[[#This Row],[Tech Start Date]],2),""))))</f>
        <v/>
      </c>
      <c r="N1344" s="69" t="str">
        <f>IF(Main[[#This Row],[Tech Start Date]]&lt;1/1/1990,"",IF(Main[[#This Row],[Class]]="C",WORKDAY(Main[[#This Row],[Tech Start Date]],19),IF(Main[[#This Row],[Class]]="B", WORKDAY(Main[[#This Row],[Tech Start Date]],12),IF(Main[[#This Row],[Class]]="A",WORKDAY(Main[[#This Row],[Tech Start Date]],4),""))))</f>
        <v/>
      </c>
      <c r="O1344" s="69" t="str">
        <f>IF(Main[[#This Row],[Tech Start Date]]&lt;1/1/1990,"",IF(Main[[#This Row],[Class]]="C",WORKDAY(Main[[#This Row],[Tech Start Date]],23),IF(Main[[#This Row],[Class]]="B", WORKDAY(Main[[#This Row],[Tech Start Date]],15),IF(Main[[#This Row],[Class]]="A",WORKDAY(Main[[#This Row],[Tech Start Date]],5),""))))</f>
        <v/>
      </c>
      <c r="P1344" s="69" t="str">
        <f>IF(Main[[#This Row],[Tech Start Date]]&lt;1/1/1990,"",IF(Main[[#This Row],[Class]]="C",WORKDAY(Main[[#This Row],[Tech Start Date]],28),IF(Main[[#This Row],[Class]]="B", WORKDAY(Main[[#This Row],[Tech Start Date]],19),IF(Main[[#This Row],[Class]]="A",WORKDAY(Main[[#This Row],[Tech Start Date]],9),""))))</f>
        <v/>
      </c>
      <c r="Q1344" s="67">
        <v>40939</v>
      </c>
      <c r="R1344" s="67">
        <v>41029</v>
      </c>
      <c r="S1344" s="65" t="s">
        <v>17</v>
      </c>
      <c r="T1344" s="70" t="s">
        <v>2609</v>
      </c>
      <c r="U1344" s="65" t="s">
        <v>29</v>
      </c>
      <c r="V1344" s="65" t="s">
        <v>1914</v>
      </c>
      <c r="W1344" s="65" t="s">
        <v>1925</v>
      </c>
      <c r="X1344" s="65" t="s">
        <v>2833</v>
      </c>
      <c r="Y1344" s="65" t="s">
        <v>2939</v>
      </c>
      <c r="Z1344" s="65" t="s">
        <v>129</v>
      </c>
      <c r="AA1344" s="65" t="s">
        <v>2833</v>
      </c>
    </row>
    <row r="1345" spans="1:27" ht="17.45" hidden="1" customHeight="1">
      <c r="A1345" s="100" t="str">
        <f>IF(priority(Main[[#This Row],[Comments]])&lt;&gt;0, priority(Main[[#This Row],[Comments]]),"")</f>
        <v/>
      </c>
      <c r="B1345" s="77" t="s">
        <v>1884</v>
      </c>
      <c r="C1345" s="65" t="s">
        <v>935</v>
      </c>
      <c r="D1345" s="66" t="s">
        <v>936</v>
      </c>
      <c r="E1345" s="67"/>
      <c r="F1345" s="67">
        <v>40701</v>
      </c>
      <c r="G1345" s="64" t="str">
        <f>IF(stdProdLT(Main[[#This Row],[Comments]])=0.1,"N/A",IF(stdProdLT(Main[[#This Row],[Comments]])=0,"",stdProdLT(Main[[#This Row],[Comments]])))</f>
        <v/>
      </c>
      <c r="H1345" s="68">
        <f>IF(AND(Main[[#This Row],[In Stock Date]]&lt;&gt;"",Main[[#This Row],[Revised Due Date]]&lt;&gt;""),Main[[#This Row],[In Stock Date]]-Main[[#This Row],[Revised Due Date]],"")</f>
        <v>0</v>
      </c>
      <c r="I1345" s="65" t="s">
        <v>937</v>
      </c>
      <c r="J1345" s="65" t="s">
        <v>28</v>
      </c>
      <c r="K1345" s="65" t="s">
        <v>1927</v>
      </c>
      <c r="L1345" s="67">
        <v>40666</v>
      </c>
      <c r="M1345" s="69">
        <f>IF(Main[[#This Row],[Tech Start Date]]&lt;1/1/1990,"",IF(Main[[#This Row],[Class]]="C",WORKDAY(Main[[#This Row],[Tech Start Date]],9),IF(Main[[#This Row],[Class]]="B", WORKDAY(Main[[#This Row],[Tech Start Date]],6),IF(Main[[#This Row],[Class]]="A",WORKDAY(Main[[#This Row],[Tech Start Date]],2),""))))</f>
        <v>40679</v>
      </c>
      <c r="N1345" s="69">
        <f>IF(Main[[#This Row],[Tech Start Date]]&lt;1/1/1990,"",IF(Main[[#This Row],[Class]]="C",WORKDAY(Main[[#This Row],[Tech Start Date]],19),IF(Main[[#This Row],[Class]]="B", WORKDAY(Main[[#This Row],[Tech Start Date]],12),IF(Main[[#This Row],[Class]]="A",WORKDAY(Main[[#This Row],[Tech Start Date]],4),""))))</f>
        <v>40693</v>
      </c>
      <c r="O1345" s="69">
        <f>IF(Main[[#This Row],[Tech Start Date]]&lt;1/1/1990,"",IF(Main[[#This Row],[Class]]="C",WORKDAY(Main[[#This Row],[Tech Start Date]],23),IF(Main[[#This Row],[Class]]="B", WORKDAY(Main[[#This Row],[Tech Start Date]],15),IF(Main[[#This Row],[Class]]="A",WORKDAY(Main[[#This Row],[Tech Start Date]],5),""))))</f>
        <v>40697</v>
      </c>
      <c r="P1345" s="69">
        <f>IF(Main[[#This Row],[Tech Start Date]]&lt;1/1/1990,"",IF(Main[[#This Row],[Class]]="C",WORKDAY(Main[[#This Row],[Tech Start Date]],28),IF(Main[[#This Row],[Class]]="B", WORKDAY(Main[[#This Row],[Tech Start Date]],19),IF(Main[[#This Row],[Class]]="A",WORKDAY(Main[[#This Row],[Tech Start Date]],9),""))))</f>
        <v>40704</v>
      </c>
      <c r="Q1345" s="67">
        <v>40701</v>
      </c>
      <c r="R1345" s="67">
        <v>40701</v>
      </c>
      <c r="S1345" s="65" t="s">
        <v>11</v>
      </c>
      <c r="T1345" s="70" t="s">
        <v>938</v>
      </c>
      <c r="U1345" s="65" t="s">
        <v>14</v>
      </c>
      <c r="V1345" s="65" t="s">
        <v>1914</v>
      </c>
      <c r="W1345" s="65" t="s">
        <v>1919</v>
      </c>
      <c r="X1345" s="65" t="s">
        <v>2854</v>
      </c>
      <c r="Y1345" s="65" t="s">
        <v>3150</v>
      </c>
      <c r="Z1345" s="65" t="s">
        <v>129</v>
      </c>
      <c r="AA1345" s="65" t="s">
        <v>2854</v>
      </c>
    </row>
    <row r="1346" spans="1:27" ht="17.45" hidden="1" customHeight="1">
      <c r="A1346" s="100" t="str">
        <f>IF(priority(Main[[#This Row],[Comments]])&lt;&gt;0, priority(Main[[#This Row],[Comments]]),"")</f>
        <v/>
      </c>
      <c r="B1346" s="77" t="s">
        <v>1689</v>
      </c>
      <c r="C1346" s="65" t="s">
        <v>518</v>
      </c>
      <c r="D1346" s="66" t="s">
        <v>744</v>
      </c>
      <c r="E1346" s="67">
        <v>40661.601064814815</v>
      </c>
      <c r="F1346" s="67">
        <v>40862</v>
      </c>
      <c r="G1346" s="64" t="str">
        <f>IF(stdProdLT(Main[[#This Row],[Comments]])=0.1,"N/A",IF(stdProdLT(Main[[#This Row],[Comments]])=0,"",stdProdLT(Main[[#This Row],[Comments]])))</f>
        <v/>
      </c>
      <c r="H1346" s="68">
        <f>IF(AND(Main[[#This Row],[In Stock Date]]&lt;&gt;"",Main[[#This Row],[Revised Due Date]]&lt;&gt;""),Main[[#This Row],[In Stock Date]]-Main[[#This Row],[Revised Due Date]],"")</f>
        <v>1</v>
      </c>
      <c r="I1346" s="65" t="s">
        <v>745</v>
      </c>
      <c r="J1346" s="65" t="s">
        <v>28</v>
      </c>
      <c r="K1346" s="65" t="s">
        <v>1926</v>
      </c>
      <c r="L1346" s="67">
        <v>40668</v>
      </c>
      <c r="M1346" s="69" t="str">
        <f>IF(Main[[#This Row],[Tech Start Date]]&lt;1/1/1990,"",IF(Main[[#This Row],[Class]]="C",WORKDAY(Main[[#This Row],[Tech Start Date]],9),IF(Main[[#This Row],[Class]]="B", WORKDAY(Main[[#This Row],[Tech Start Date]],6),IF(Main[[#This Row],[Class]]="A",WORKDAY(Main[[#This Row],[Tech Start Date]],2),""))))</f>
        <v/>
      </c>
      <c r="N1346" s="69" t="str">
        <f>IF(Main[[#This Row],[Tech Start Date]]&lt;1/1/1990,"",IF(Main[[#This Row],[Class]]="C",WORKDAY(Main[[#This Row],[Tech Start Date]],19),IF(Main[[#This Row],[Class]]="B", WORKDAY(Main[[#This Row],[Tech Start Date]],12),IF(Main[[#This Row],[Class]]="A",WORKDAY(Main[[#This Row],[Tech Start Date]],4),""))))</f>
        <v/>
      </c>
      <c r="O1346" s="69" t="str">
        <f>IF(Main[[#This Row],[Tech Start Date]]&lt;1/1/1990,"",IF(Main[[#This Row],[Class]]="C",WORKDAY(Main[[#This Row],[Tech Start Date]],23),IF(Main[[#This Row],[Class]]="B", WORKDAY(Main[[#This Row],[Tech Start Date]],15),IF(Main[[#This Row],[Class]]="A",WORKDAY(Main[[#This Row],[Tech Start Date]],5),""))))</f>
        <v/>
      </c>
      <c r="P1346" s="69" t="str">
        <f>IF(Main[[#This Row],[Tech Start Date]]&lt;1/1/1990,"",IF(Main[[#This Row],[Class]]="C",WORKDAY(Main[[#This Row],[Tech Start Date]],28),IF(Main[[#This Row],[Class]]="B", WORKDAY(Main[[#This Row],[Tech Start Date]],19),IF(Main[[#This Row],[Class]]="A",WORKDAY(Main[[#This Row],[Tech Start Date]],9),""))))</f>
        <v/>
      </c>
      <c r="Q1346" s="67">
        <v>40739</v>
      </c>
      <c r="R1346" s="67">
        <v>40861</v>
      </c>
      <c r="S1346" s="65" t="s">
        <v>17</v>
      </c>
      <c r="T1346" s="70" t="s">
        <v>4</v>
      </c>
      <c r="U1346" s="65" t="s">
        <v>29</v>
      </c>
      <c r="V1346" s="65" t="s">
        <v>1917</v>
      </c>
      <c r="W1346" s="65" t="s">
        <v>1919</v>
      </c>
      <c r="X1346" s="65" t="s">
        <v>553</v>
      </c>
      <c r="Y1346" s="65" t="s">
        <v>3151</v>
      </c>
      <c r="Z1346" s="65" t="s">
        <v>968</v>
      </c>
      <c r="AA1346" s="65" t="s">
        <v>3473</v>
      </c>
    </row>
    <row r="1347" spans="1:27" ht="17.45" hidden="1" customHeight="1">
      <c r="A1347" s="100">
        <f>IF(priority(Main[[#This Row],[Comments]])&lt;&gt;0, priority(Main[[#This Row],[Comments]]),"")</f>
        <v>43</v>
      </c>
      <c r="B1347" s="77" t="s">
        <v>1887</v>
      </c>
      <c r="C1347" s="65" t="s">
        <v>116</v>
      </c>
      <c r="D1347" s="66" t="s">
        <v>2318</v>
      </c>
      <c r="E1347" s="67">
        <v>40668.56144675926</v>
      </c>
      <c r="F1347" s="67">
        <v>40714</v>
      </c>
      <c r="G1347" s="64" t="str">
        <f>IF(stdProdLT(Main[[#This Row],[Comments]])=0.1,"N/A",IF(stdProdLT(Main[[#This Row],[Comments]])=0,"",stdProdLT(Main[[#This Row],[Comments]])))</f>
        <v/>
      </c>
      <c r="H1347" s="68">
        <f>IF(AND(Main[[#This Row],[In Stock Date]]&lt;&gt;"",Main[[#This Row],[Revised Due Date]]&lt;&gt;""),Main[[#This Row],[In Stock Date]]-Main[[#This Row],[Revised Due Date]],"")</f>
        <v>0</v>
      </c>
      <c r="I1347" s="65" t="s">
        <v>912</v>
      </c>
      <c r="J1347" s="65" t="s">
        <v>21</v>
      </c>
      <c r="K1347" s="71" t="s">
        <v>1927</v>
      </c>
      <c r="L1347" s="67">
        <v>40679</v>
      </c>
      <c r="M1347" s="69">
        <f>IF(Main[[#This Row],[Tech Start Date]]&lt;1/1/1990,"",IF(Main[[#This Row],[Class]]="C",WORKDAY(Main[[#This Row],[Tech Start Date]],9),IF(Main[[#This Row],[Class]]="B", WORKDAY(Main[[#This Row],[Tech Start Date]],6),IF(Main[[#This Row],[Class]]="A",WORKDAY(Main[[#This Row],[Tech Start Date]],2),""))))</f>
        <v>40690</v>
      </c>
      <c r="N1347" s="69">
        <f>IF(Main[[#This Row],[Tech Start Date]]&lt;1/1/1990,"",IF(Main[[#This Row],[Class]]="C",WORKDAY(Main[[#This Row],[Tech Start Date]],19),IF(Main[[#This Row],[Class]]="B", WORKDAY(Main[[#This Row],[Tech Start Date]],12),IF(Main[[#This Row],[Class]]="A",WORKDAY(Main[[#This Row],[Tech Start Date]],4),""))))</f>
        <v>40704</v>
      </c>
      <c r="O1347" s="69">
        <f>IF(Main[[#This Row],[Tech Start Date]]&lt;1/1/1990,"",IF(Main[[#This Row],[Class]]="C",WORKDAY(Main[[#This Row],[Tech Start Date]],23),IF(Main[[#This Row],[Class]]="B", WORKDAY(Main[[#This Row],[Tech Start Date]],15),IF(Main[[#This Row],[Class]]="A",WORKDAY(Main[[#This Row],[Tech Start Date]],5),""))))</f>
        <v>40710</v>
      </c>
      <c r="P1347" s="69">
        <f>IF(Main[[#This Row],[Tech Start Date]]&lt;1/1/1990,"",IF(Main[[#This Row],[Class]]="C",WORKDAY(Main[[#This Row],[Tech Start Date]],28),IF(Main[[#This Row],[Class]]="B", WORKDAY(Main[[#This Row],[Tech Start Date]],19),IF(Main[[#This Row],[Class]]="A",WORKDAY(Main[[#This Row],[Tech Start Date]],9),""))))</f>
        <v>40717</v>
      </c>
      <c r="Q1347" s="67">
        <v>40714</v>
      </c>
      <c r="R1347" s="67">
        <v>40714</v>
      </c>
      <c r="S1347" s="65" t="s">
        <v>6</v>
      </c>
      <c r="T1347" s="70" t="s">
        <v>2501</v>
      </c>
      <c r="U1347" s="65" t="s">
        <v>29</v>
      </c>
      <c r="V1347" s="65" t="s">
        <v>1914</v>
      </c>
      <c r="W1347" s="65" t="s">
        <v>1916</v>
      </c>
      <c r="X1347" s="65" t="s">
        <v>126</v>
      </c>
      <c r="Y1347" s="65" t="s">
        <v>3033</v>
      </c>
      <c r="Z1347" s="65" t="s">
        <v>129</v>
      </c>
      <c r="AA1347" s="65" t="s">
        <v>126</v>
      </c>
    </row>
    <row r="1348" spans="1:27" ht="17.45" hidden="1" customHeight="1">
      <c r="A1348" s="100">
        <f>IF(priority(Main[[#This Row],[Comments]])&lt;&gt;0, priority(Main[[#This Row],[Comments]]),"")</f>
        <v>42</v>
      </c>
      <c r="B1348" s="77" t="s">
        <v>1886</v>
      </c>
      <c r="C1348" s="65" t="s">
        <v>116</v>
      </c>
      <c r="D1348" s="66" t="s">
        <v>2317</v>
      </c>
      <c r="E1348" s="67">
        <v>40641.274907407409</v>
      </c>
      <c r="F1348" s="67">
        <v>40714</v>
      </c>
      <c r="G1348" s="64" t="str">
        <f>IF(stdProdLT(Main[[#This Row],[Comments]])=0.1,"N/A",IF(stdProdLT(Main[[#This Row],[Comments]])=0,"",stdProdLT(Main[[#This Row],[Comments]])))</f>
        <v/>
      </c>
      <c r="H1348" s="68">
        <f>IF(AND(Main[[#This Row],[In Stock Date]]&lt;&gt;"",Main[[#This Row],[Revised Due Date]]&lt;&gt;""),Main[[#This Row],[In Stock Date]]-Main[[#This Row],[Revised Due Date]],"")</f>
        <v>0</v>
      </c>
      <c r="I1348" s="65" t="s">
        <v>912</v>
      </c>
      <c r="J1348" s="65" t="s">
        <v>21</v>
      </c>
      <c r="K1348" s="65" t="s">
        <v>1927</v>
      </c>
      <c r="L1348" s="67">
        <v>40679</v>
      </c>
      <c r="M1348" s="69">
        <f>IF(Main[[#This Row],[Tech Start Date]]&lt;1/1/1990,"",IF(Main[[#This Row],[Class]]="C",WORKDAY(Main[[#This Row],[Tech Start Date]],9),IF(Main[[#This Row],[Class]]="B", WORKDAY(Main[[#This Row],[Tech Start Date]],6),IF(Main[[#This Row],[Class]]="A",WORKDAY(Main[[#This Row],[Tech Start Date]],2),""))))</f>
        <v>40690</v>
      </c>
      <c r="N1348" s="69">
        <f>IF(Main[[#This Row],[Tech Start Date]]&lt;1/1/1990,"",IF(Main[[#This Row],[Class]]="C",WORKDAY(Main[[#This Row],[Tech Start Date]],19),IF(Main[[#This Row],[Class]]="B", WORKDAY(Main[[#This Row],[Tech Start Date]],12),IF(Main[[#This Row],[Class]]="A",WORKDAY(Main[[#This Row],[Tech Start Date]],4),""))))</f>
        <v>40704</v>
      </c>
      <c r="O1348" s="69">
        <f>IF(Main[[#This Row],[Tech Start Date]]&lt;1/1/1990,"",IF(Main[[#This Row],[Class]]="C",WORKDAY(Main[[#This Row],[Tech Start Date]],23),IF(Main[[#This Row],[Class]]="B", WORKDAY(Main[[#This Row],[Tech Start Date]],15),IF(Main[[#This Row],[Class]]="A",WORKDAY(Main[[#This Row],[Tech Start Date]],5),""))))</f>
        <v>40710</v>
      </c>
      <c r="P1348" s="69">
        <f>IF(Main[[#This Row],[Tech Start Date]]&lt;1/1/1990,"",IF(Main[[#This Row],[Class]]="C",WORKDAY(Main[[#This Row],[Tech Start Date]],28),IF(Main[[#This Row],[Class]]="B", WORKDAY(Main[[#This Row],[Tech Start Date]],19),IF(Main[[#This Row],[Class]]="A",WORKDAY(Main[[#This Row],[Tech Start Date]],9),""))))</f>
        <v>40717</v>
      </c>
      <c r="Q1348" s="67">
        <v>40714</v>
      </c>
      <c r="R1348" s="67">
        <v>40714</v>
      </c>
      <c r="S1348" s="65" t="s">
        <v>6</v>
      </c>
      <c r="T1348" s="70" t="s">
        <v>2036</v>
      </c>
      <c r="U1348" s="65" t="s">
        <v>29</v>
      </c>
      <c r="V1348" s="65" t="s">
        <v>1914</v>
      </c>
      <c r="W1348" s="65" t="s">
        <v>1916</v>
      </c>
      <c r="X1348" s="65" t="s">
        <v>126</v>
      </c>
      <c r="Y1348" s="65" t="s">
        <v>3033</v>
      </c>
      <c r="Z1348" s="65" t="s">
        <v>129</v>
      </c>
      <c r="AA1348" s="65" t="s">
        <v>126</v>
      </c>
    </row>
    <row r="1349" spans="1:27" ht="17.45" hidden="1" customHeight="1">
      <c r="A1349" s="100" t="str">
        <f>IF(priority(Main[[#This Row],[Comments]])&lt;&gt;0, priority(Main[[#This Row],[Comments]]),"")</f>
        <v/>
      </c>
      <c r="B1349" s="77" t="s">
        <v>1882</v>
      </c>
      <c r="C1349" s="65" t="s">
        <v>4</v>
      </c>
      <c r="D1349" s="66" t="s">
        <v>934</v>
      </c>
      <c r="E1349" s="67"/>
      <c r="F1349" s="67"/>
      <c r="G1349" s="64" t="str">
        <f>IF(stdProdLT(Main[[#This Row],[Comments]])=0.1,"N/A",IF(stdProdLT(Main[[#This Row],[Comments]])=0,"",stdProdLT(Main[[#This Row],[Comments]])))</f>
        <v/>
      </c>
      <c r="H1349" s="68" t="str">
        <f>IF(AND(Main[[#This Row],[In Stock Date]]&lt;&gt;"",Main[[#This Row],[Revised Due Date]]&lt;&gt;""),Main[[#This Row],[In Stock Date]]-Main[[#This Row],[Revised Due Date]],"")</f>
        <v/>
      </c>
      <c r="I1349" s="65" t="s">
        <v>30</v>
      </c>
      <c r="J1349" s="65" t="s">
        <v>28</v>
      </c>
      <c r="K1349" s="65" t="s">
        <v>1923</v>
      </c>
      <c r="L1349" s="67">
        <v>40686</v>
      </c>
      <c r="M1349" s="69">
        <f>IF(Main[[#This Row],[Tech Start Date]]&lt;1/1/1990,"",IF(Main[[#This Row],[Class]]="C",WORKDAY(Main[[#This Row],[Tech Start Date]],9),IF(Main[[#This Row],[Class]]="B", WORKDAY(Main[[#This Row],[Tech Start Date]],6),IF(Main[[#This Row],[Class]]="A",WORKDAY(Main[[#This Row],[Tech Start Date]],2),""))))</f>
        <v>40688</v>
      </c>
      <c r="N1349" s="69">
        <f>IF(Main[[#This Row],[Tech Start Date]]&lt;1/1/1990,"",IF(Main[[#This Row],[Class]]="C",WORKDAY(Main[[#This Row],[Tech Start Date]],19),IF(Main[[#This Row],[Class]]="B", WORKDAY(Main[[#This Row],[Tech Start Date]],12),IF(Main[[#This Row],[Class]]="A",WORKDAY(Main[[#This Row],[Tech Start Date]],4),""))))</f>
        <v>40690</v>
      </c>
      <c r="O1349" s="69">
        <f>IF(Main[[#This Row],[Tech Start Date]]&lt;1/1/1990,"",IF(Main[[#This Row],[Class]]="C",WORKDAY(Main[[#This Row],[Tech Start Date]],23),IF(Main[[#This Row],[Class]]="B", WORKDAY(Main[[#This Row],[Tech Start Date]],15),IF(Main[[#This Row],[Class]]="A",WORKDAY(Main[[#This Row],[Tech Start Date]],5),""))))</f>
        <v>40693</v>
      </c>
      <c r="P1349" s="69">
        <f>IF(Main[[#This Row],[Tech Start Date]]&lt;1/1/1990,"",IF(Main[[#This Row],[Class]]="C",WORKDAY(Main[[#This Row],[Tech Start Date]],28),IF(Main[[#This Row],[Class]]="B", WORKDAY(Main[[#This Row],[Tech Start Date]],19),IF(Main[[#This Row],[Class]]="A",WORKDAY(Main[[#This Row],[Tech Start Date]],9),""))))</f>
        <v>40697</v>
      </c>
      <c r="Q1349" s="67">
        <v>40669</v>
      </c>
      <c r="R1349" s="67">
        <v>40700</v>
      </c>
      <c r="S1349" s="65" t="s">
        <v>6</v>
      </c>
      <c r="T1349" s="70" t="s">
        <v>4</v>
      </c>
      <c r="U1349" s="65" t="s">
        <v>14</v>
      </c>
      <c r="V1349" s="65" t="s">
        <v>1917</v>
      </c>
      <c r="W1349" s="65" t="s">
        <v>1916</v>
      </c>
      <c r="X1349" s="65" t="s">
        <v>2819</v>
      </c>
      <c r="Y1349" s="65" t="s">
        <v>2932</v>
      </c>
      <c r="Z1349" s="65" t="s">
        <v>530</v>
      </c>
      <c r="AA1349" s="65" t="s">
        <v>2819</v>
      </c>
    </row>
    <row r="1350" spans="1:27" ht="17.45" hidden="1" customHeight="1">
      <c r="A1350" s="100" t="str">
        <f>IF(priority(Main[[#This Row],[Comments]])&lt;&gt;0, priority(Main[[#This Row],[Comments]]),"")</f>
        <v/>
      </c>
      <c r="B1350" s="77" t="s">
        <v>1211</v>
      </c>
      <c r="C1350" s="65" t="s">
        <v>4</v>
      </c>
      <c r="D1350" s="66" t="s">
        <v>271</v>
      </c>
      <c r="E1350" s="67">
        <v>40683.573206018518</v>
      </c>
      <c r="F1350" s="67"/>
      <c r="G1350" s="64" t="str">
        <f>IF(stdProdLT(Main[[#This Row],[Comments]])=0.1,"N/A",IF(stdProdLT(Main[[#This Row],[Comments]])=0,"",stdProdLT(Main[[#This Row],[Comments]])))</f>
        <v/>
      </c>
      <c r="H1350" s="68" t="str">
        <f>IF(AND(Main[[#This Row],[In Stock Date]]&lt;&gt;"",Main[[#This Row],[Revised Due Date]]&lt;&gt;""),Main[[#This Row],[In Stock Date]]-Main[[#This Row],[Revised Due Date]],"")</f>
        <v/>
      </c>
      <c r="I1350" s="65" t="s">
        <v>272</v>
      </c>
      <c r="J1350" s="65" t="s">
        <v>28</v>
      </c>
      <c r="K1350" s="71" t="s">
        <v>1926</v>
      </c>
      <c r="L1350" s="67">
        <v>40687</v>
      </c>
      <c r="M1350" s="69" t="str">
        <f>IF(Main[[#This Row],[Tech Start Date]]&lt;1/1/1990,"",IF(Main[[#This Row],[Class]]="C",WORKDAY(Main[[#This Row],[Tech Start Date]],9),IF(Main[[#This Row],[Class]]="B", WORKDAY(Main[[#This Row],[Tech Start Date]],6),IF(Main[[#This Row],[Class]]="A",WORKDAY(Main[[#This Row],[Tech Start Date]],2),""))))</f>
        <v/>
      </c>
      <c r="N1350" s="69" t="str">
        <f>IF(Main[[#This Row],[Tech Start Date]]&lt;1/1/1990,"",IF(Main[[#This Row],[Class]]="C",WORKDAY(Main[[#This Row],[Tech Start Date]],19),IF(Main[[#This Row],[Class]]="B", WORKDAY(Main[[#This Row],[Tech Start Date]],12),IF(Main[[#This Row],[Class]]="A",WORKDAY(Main[[#This Row],[Tech Start Date]],4),""))))</f>
        <v/>
      </c>
      <c r="O1350" s="69" t="str">
        <f>IF(Main[[#This Row],[Tech Start Date]]&lt;1/1/1990,"",IF(Main[[#This Row],[Class]]="C",WORKDAY(Main[[#This Row],[Tech Start Date]],23),IF(Main[[#This Row],[Class]]="B", WORKDAY(Main[[#This Row],[Tech Start Date]],15),IF(Main[[#This Row],[Class]]="A",WORKDAY(Main[[#This Row],[Tech Start Date]],5),""))))</f>
        <v/>
      </c>
      <c r="P1350" s="69" t="str">
        <f>IF(Main[[#This Row],[Tech Start Date]]&lt;1/1/1990,"",IF(Main[[#This Row],[Class]]="C",WORKDAY(Main[[#This Row],[Tech Start Date]],28),IF(Main[[#This Row],[Class]]="B", WORKDAY(Main[[#This Row],[Tech Start Date]],19),IF(Main[[#This Row],[Class]]="A",WORKDAY(Main[[#This Row],[Tech Start Date]],9),""))))</f>
        <v/>
      </c>
      <c r="Q1350" s="67">
        <v>41274</v>
      </c>
      <c r="R1350" s="67">
        <v>41241</v>
      </c>
      <c r="S1350" s="65" t="s">
        <v>17</v>
      </c>
      <c r="T1350" s="70" t="s">
        <v>4</v>
      </c>
      <c r="U1350" s="65" t="s">
        <v>29</v>
      </c>
      <c r="V1350" s="65" t="s">
        <v>1917</v>
      </c>
      <c r="W1350" s="65" t="s">
        <v>1919</v>
      </c>
      <c r="X1350" s="65" t="s">
        <v>553</v>
      </c>
      <c r="Y1350" s="65" t="s">
        <v>2952</v>
      </c>
      <c r="Z1350" s="65" t="s">
        <v>968</v>
      </c>
      <c r="AA1350" s="65" t="s">
        <v>553</v>
      </c>
    </row>
    <row r="1351" spans="1:27" ht="17.45" hidden="1" customHeight="1">
      <c r="A1351" s="100">
        <f>IF(priority(Main[[#This Row],[Comments]])&lt;&gt;0, priority(Main[[#This Row],[Comments]]),"")</f>
        <v>26</v>
      </c>
      <c r="B1351" s="77" t="s">
        <v>1904</v>
      </c>
      <c r="C1351" s="65" t="s">
        <v>954</v>
      </c>
      <c r="D1351" s="66" t="s">
        <v>2021</v>
      </c>
      <c r="E1351" s="67"/>
      <c r="F1351" s="67"/>
      <c r="G1351" s="64">
        <f>IF(stdProdLT(Main[[#This Row],[Comments]])=0.1,"N/A",IF(stdProdLT(Main[[#This Row],[Comments]])=0,"",stdProdLT(Main[[#This Row],[Comments]])))</f>
        <v>112</v>
      </c>
      <c r="H1351" s="68" t="str">
        <f>IF(AND(Main[[#This Row],[In Stock Date]]&lt;&gt;"",Main[[#This Row],[Revised Due Date]]&lt;&gt;""),Main[[#This Row],[In Stock Date]]-Main[[#This Row],[Revised Due Date]],"")</f>
        <v/>
      </c>
      <c r="I1351" s="65" t="s">
        <v>4</v>
      </c>
      <c r="J1351" s="65" t="s">
        <v>52</v>
      </c>
      <c r="K1351" s="65" t="s">
        <v>1927</v>
      </c>
      <c r="L1351" s="67">
        <v>40694</v>
      </c>
      <c r="M1351" s="69">
        <f>IF(Main[[#This Row],[Tech Start Date]]&lt;1/1/1990,"",IF(Main[[#This Row],[Class]]="C",WORKDAY(Main[[#This Row],[Tech Start Date]],9),IF(Main[[#This Row],[Class]]="B", WORKDAY(Main[[#This Row],[Tech Start Date]],6),IF(Main[[#This Row],[Class]]="A",WORKDAY(Main[[#This Row],[Tech Start Date]],2),""))))</f>
        <v>40707</v>
      </c>
      <c r="N1351" s="69">
        <f>IF(Main[[#This Row],[Tech Start Date]]&lt;1/1/1990,"",IF(Main[[#This Row],[Class]]="C",WORKDAY(Main[[#This Row],[Tech Start Date]],19),IF(Main[[#This Row],[Class]]="B", WORKDAY(Main[[#This Row],[Tech Start Date]],12),IF(Main[[#This Row],[Class]]="A",WORKDAY(Main[[#This Row],[Tech Start Date]],4),""))))</f>
        <v>40721</v>
      </c>
      <c r="O1351" s="69">
        <f>IF(Main[[#This Row],[Tech Start Date]]&lt;1/1/1990,"",IF(Main[[#This Row],[Class]]="C",WORKDAY(Main[[#This Row],[Tech Start Date]],23),IF(Main[[#This Row],[Class]]="B", WORKDAY(Main[[#This Row],[Tech Start Date]],15),IF(Main[[#This Row],[Class]]="A",WORKDAY(Main[[#This Row],[Tech Start Date]],5),""))))</f>
        <v>40725</v>
      </c>
      <c r="P1351" s="69">
        <f>IF(Main[[#This Row],[Tech Start Date]]&lt;1/1/1990,"",IF(Main[[#This Row],[Class]]="C",WORKDAY(Main[[#This Row],[Tech Start Date]],28),IF(Main[[#This Row],[Class]]="B", WORKDAY(Main[[#This Row],[Tech Start Date]],19),IF(Main[[#This Row],[Class]]="A",WORKDAY(Main[[#This Row],[Tech Start Date]],9),""))))</f>
        <v>40732</v>
      </c>
      <c r="Q1351" s="67">
        <v>40723</v>
      </c>
      <c r="R1351" s="67">
        <v>40753</v>
      </c>
      <c r="S1351" s="65" t="s">
        <v>11</v>
      </c>
      <c r="T1351" s="70" t="s">
        <v>2003</v>
      </c>
      <c r="U1351" s="65" t="s">
        <v>14</v>
      </c>
      <c r="V1351" s="65" t="s">
        <v>1914</v>
      </c>
      <c r="W1351" s="65" t="s">
        <v>1916</v>
      </c>
      <c r="X1351" s="65" t="s">
        <v>2883</v>
      </c>
      <c r="Y1351" s="65" t="s">
        <v>3152</v>
      </c>
      <c r="Z1351" s="65" t="s">
        <v>3160</v>
      </c>
      <c r="AA1351" s="65" t="s">
        <v>2883</v>
      </c>
    </row>
    <row r="1352" spans="1:27" ht="17.45" hidden="1" customHeight="1">
      <c r="A1352" s="100" t="str">
        <f>IF(priority(Main[[#This Row],[Comments]])&lt;&gt;0, priority(Main[[#This Row],[Comments]]),"")</f>
        <v/>
      </c>
      <c r="B1352" s="77" t="s">
        <v>1906</v>
      </c>
      <c r="C1352" s="65" t="s">
        <v>122</v>
      </c>
      <c r="D1352" s="66" t="s">
        <v>1954</v>
      </c>
      <c r="E1352" s="67">
        <v>40703.615451388891</v>
      </c>
      <c r="F1352" s="67">
        <v>40907</v>
      </c>
      <c r="G1352" s="64" t="str">
        <f>IF(stdProdLT(Main[[#This Row],[Comments]])=0.1,"N/A",IF(stdProdLT(Main[[#This Row],[Comments]])=0,"",stdProdLT(Main[[#This Row],[Comments]])))</f>
        <v/>
      </c>
      <c r="H1352" s="68">
        <f>IF(AND(Main[[#This Row],[In Stock Date]]&lt;&gt;"",Main[[#This Row],[Revised Due Date]]&lt;&gt;""),Main[[#This Row],[In Stock Date]]-Main[[#This Row],[Revised Due Date]],"")</f>
        <v>0</v>
      </c>
      <c r="I1352" s="65" t="s">
        <v>956</v>
      </c>
      <c r="J1352" s="65" t="s">
        <v>28</v>
      </c>
      <c r="K1352" s="65" t="s">
        <v>1926</v>
      </c>
      <c r="L1352" s="67">
        <v>40703</v>
      </c>
      <c r="M1352" s="69" t="str">
        <f>IF(Main[[#This Row],[Tech Start Date]]&lt;1/1/1990,"",IF(Main[[#This Row],[Class]]="C",WORKDAY(Main[[#This Row],[Tech Start Date]],9),IF(Main[[#This Row],[Class]]="B", WORKDAY(Main[[#This Row],[Tech Start Date]],6),IF(Main[[#This Row],[Class]]="A",WORKDAY(Main[[#This Row],[Tech Start Date]],2),""))))</f>
        <v/>
      </c>
      <c r="N1352" s="69" t="str">
        <f>IF(Main[[#This Row],[Tech Start Date]]&lt;1/1/1990,"",IF(Main[[#This Row],[Class]]="C",WORKDAY(Main[[#This Row],[Tech Start Date]],19),IF(Main[[#This Row],[Class]]="B", WORKDAY(Main[[#This Row],[Tech Start Date]],12),IF(Main[[#This Row],[Class]]="A",WORKDAY(Main[[#This Row],[Tech Start Date]],4),""))))</f>
        <v/>
      </c>
      <c r="O1352" s="69" t="str">
        <f>IF(Main[[#This Row],[Tech Start Date]]&lt;1/1/1990,"",IF(Main[[#This Row],[Class]]="C",WORKDAY(Main[[#This Row],[Tech Start Date]],23),IF(Main[[#This Row],[Class]]="B", WORKDAY(Main[[#This Row],[Tech Start Date]],15),IF(Main[[#This Row],[Class]]="A",WORKDAY(Main[[#This Row],[Tech Start Date]],5),""))))</f>
        <v/>
      </c>
      <c r="P1352" s="69" t="str">
        <f>IF(Main[[#This Row],[Tech Start Date]]&lt;1/1/1990,"",IF(Main[[#This Row],[Class]]="C",WORKDAY(Main[[#This Row],[Tech Start Date]],28),IF(Main[[#This Row],[Class]]="B", WORKDAY(Main[[#This Row],[Tech Start Date]],19),IF(Main[[#This Row],[Class]]="A",WORKDAY(Main[[#This Row],[Tech Start Date]],9),""))))</f>
        <v/>
      </c>
      <c r="Q1352" s="67">
        <v>40864</v>
      </c>
      <c r="R1352" s="67">
        <v>40907</v>
      </c>
      <c r="S1352" s="65" t="s">
        <v>17</v>
      </c>
      <c r="T1352" s="70" t="s">
        <v>1955</v>
      </c>
      <c r="U1352" s="65" t="s">
        <v>29</v>
      </c>
      <c r="V1352" s="65" t="s">
        <v>1915</v>
      </c>
      <c r="W1352" s="65" t="s">
        <v>1925</v>
      </c>
      <c r="X1352" s="65" t="s">
        <v>956</v>
      </c>
      <c r="Y1352" s="65" t="s">
        <v>4</v>
      </c>
      <c r="Z1352" s="65" t="s">
        <v>4</v>
      </c>
      <c r="AA1352" s="65" t="s">
        <v>975</v>
      </c>
    </row>
    <row r="1353" spans="1:27" ht="17.45" hidden="1" customHeight="1">
      <c r="A1353" s="100">
        <f>IF(priority(Main[[#This Row],[Comments]])&lt;&gt;0, priority(Main[[#This Row],[Comments]]),"")</f>
        <v>13</v>
      </c>
      <c r="B1353" s="77" t="s">
        <v>1895</v>
      </c>
      <c r="C1353" s="65" t="s">
        <v>815</v>
      </c>
      <c r="D1353" s="66" t="s">
        <v>1963</v>
      </c>
      <c r="E1353" s="67"/>
      <c r="F1353" s="67">
        <v>40767</v>
      </c>
      <c r="G1353" s="64" t="str">
        <f>IF(stdProdLT(Main[[#This Row],[Comments]])=0.1,"N/A",IF(stdProdLT(Main[[#This Row],[Comments]])=0,"",stdProdLT(Main[[#This Row],[Comments]])))</f>
        <v/>
      </c>
      <c r="H1353" s="68">
        <f>IF(AND(Main[[#This Row],[In Stock Date]]&lt;&gt;"",Main[[#This Row],[Revised Due Date]]&lt;&gt;""),Main[[#This Row],[In Stock Date]]-Main[[#This Row],[Revised Due Date]],"")</f>
        <v>21</v>
      </c>
      <c r="I1353" s="65" t="s">
        <v>941</v>
      </c>
      <c r="J1353" s="65" t="s">
        <v>28</v>
      </c>
      <c r="K1353" s="65" t="s">
        <v>1923</v>
      </c>
      <c r="L1353" s="67">
        <v>40704</v>
      </c>
      <c r="M1353" s="69">
        <f>IF(Main[[#This Row],[Tech Start Date]]&lt;1/1/1990,"",IF(Main[[#This Row],[Class]]="C",WORKDAY(Main[[#This Row],[Tech Start Date]],9),IF(Main[[#This Row],[Class]]="B", WORKDAY(Main[[#This Row],[Tech Start Date]],6),IF(Main[[#This Row],[Class]]="A",WORKDAY(Main[[#This Row],[Tech Start Date]],2),""))))</f>
        <v>40708</v>
      </c>
      <c r="N1353" s="69">
        <f>IF(Main[[#This Row],[Tech Start Date]]&lt;1/1/1990,"",IF(Main[[#This Row],[Class]]="C",WORKDAY(Main[[#This Row],[Tech Start Date]],19),IF(Main[[#This Row],[Class]]="B", WORKDAY(Main[[#This Row],[Tech Start Date]],12),IF(Main[[#This Row],[Class]]="A",WORKDAY(Main[[#This Row],[Tech Start Date]],4),""))))</f>
        <v>40710</v>
      </c>
      <c r="O1353" s="69">
        <f>IF(Main[[#This Row],[Tech Start Date]]&lt;1/1/1990,"",IF(Main[[#This Row],[Class]]="C",WORKDAY(Main[[#This Row],[Tech Start Date]],23),IF(Main[[#This Row],[Class]]="B", WORKDAY(Main[[#This Row],[Tech Start Date]],15),IF(Main[[#This Row],[Class]]="A",WORKDAY(Main[[#This Row],[Tech Start Date]],5),""))))</f>
        <v>40711</v>
      </c>
      <c r="P1353" s="69">
        <f>IF(Main[[#This Row],[Tech Start Date]]&lt;1/1/1990,"",IF(Main[[#This Row],[Class]]="C",WORKDAY(Main[[#This Row],[Tech Start Date]],28),IF(Main[[#This Row],[Class]]="B", WORKDAY(Main[[#This Row],[Tech Start Date]],19),IF(Main[[#This Row],[Class]]="A",WORKDAY(Main[[#This Row],[Tech Start Date]],9),""))))</f>
        <v>40717</v>
      </c>
      <c r="Q1353" s="67"/>
      <c r="R1353" s="67">
        <v>40746</v>
      </c>
      <c r="S1353" s="65" t="s">
        <v>11</v>
      </c>
      <c r="T1353" s="70" t="s">
        <v>2004</v>
      </c>
      <c r="U1353" s="65" t="s">
        <v>14</v>
      </c>
      <c r="V1353" s="65" t="s">
        <v>1915</v>
      </c>
      <c r="W1353" s="65" t="s">
        <v>1922</v>
      </c>
      <c r="X1353" s="65" t="s">
        <v>2053</v>
      </c>
      <c r="Y1353" s="65" t="s">
        <v>3153</v>
      </c>
      <c r="Z1353" s="65" t="s">
        <v>3159</v>
      </c>
      <c r="AA1353" s="65" t="s">
        <v>2053</v>
      </c>
    </row>
    <row r="1354" spans="1:27" ht="17.45" customHeight="1">
      <c r="A1354" s="100">
        <f>IF(priority(Main[[#This Row],[Comments]])&lt;&gt;0, priority(Main[[#This Row],[Comments]]),"")</f>
        <v>19</v>
      </c>
      <c r="B1354" s="77" t="s">
        <v>3307</v>
      </c>
      <c r="C1354" s="65" t="s">
        <v>3261</v>
      </c>
      <c r="D1354" s="66" t="s">
        <v>3482</v>
      </c>
      <c r="E1354" s="67">
        <v>40934.65960648148</v>
      </c>
      <c r="F1354" s="67">
        <v>41065</v>
      </c>
      <c r="G1354" s="64">
        <f>IF(stdProdLT(Main[[#This Row],[Comments]])=0.1,"N/A",IF(stdProdLT(Main[[#This Row],[Comments]])=0,"",stdProdLT(Main[[#This Row],[Comments]])))</f>
        <v>84</v>
      </c>
      <c r="H1354" s="68">
        <f>IF(AND(Main[[#This Row],[In Stock Date]]&lt;&gt;"",Main[[#This Row],[Revised Due Date]]&lt;&gt;""),Main[[#This Row],[In Stock Date]]-Main[[#This Row],[Revised Due Date]],"")</f>
        <v>82</v>
      </c>
      <c r="I1354" s="65" t="s">
        <v>894</v>
      </c>
      <c r="J1354" s="65" t="s">
        <v>28</v>
      </c>
      <c r="K1354" s="65" t="s">
        <v>1921</v>
      </c>
      <c r="L1354" s="67">
        <v>40954</v>
      </c>
      <c r="M1354" s="69">
        <f>IF(Main[[#This Row],[Tech Start Date]]&lt;1/1/1990,"",IF(Main[[#This Row],[Class]]="C",WORKDAY(Main[[#This Row],[Tech Start Date]],9),IF(Main[[#This Row],[Class]]="B", WORKDAY(Main[[#This Row],[Tech Start Date]],6),IF(Main[[#This Row],[Class]]="A",WORKDAY(Main[[#This Row],[Tech Start Date]],2),""))))</f>
        <v>40962</v>
      </c>
      <c r="N1354" s="69">
        <f>IF(Main[[#This Row],[Tech Start Date]]&lt;1/1/1990,"",IF(Main[[#This Row],[Class]]="C",WORKDAY(Main[[#This Row],[Tech Start Date]],19),IF(Main[[#This Row],[Class]]="B", WORKDAY(Main[[#This Row],[Tech Start Date]],12),IF(Main[[#This Row],[Class]]="A",WORKDAY(Main[[#This Row],[Tech Start Date]],4),""))))</f>
        <v>40970</v>
      </c>
      <c r="O1354" s="69">
        <f>IF(Main[[#This Row],[Tech Start Date]]&lt;1/1/1990,"",IF(Main[[#This Row],[Class]]="C",WORKDAY(Main[[#This Row],[Tech Start Date]],23),IF(Main[[#This Row],[Class]]="B", WORKDAY(Main[[#This Row],[Tech Start Date]],15),IF(Main[[#This Row],[Class]]="A",WORKDAY(Main[[#This Row],[Tech Start Date]],5),""))))</f>
        <v>40975</v>
      </c>
      <c r="P1354" s="69">
        <f>IF(Main[[#This Row],[Tech Start Date]]&lt;1/1/1990,"",IF(Main[[#This Row],[Class]]="C",WORKDAY(Main[[#This Row],[Tech Start Date]],28),IF(Main[[#This Row],[Class]]="B", WORKDAY(Main[[#This Row],[Tech Start Date]],19),IF(Main[[#This Row],[Class]]="A",WORKDAY(Main[[#This Row],[Tech Start Date]],9),""))))</f>
        <v>40981</v>
      </c>
      <c r="Q1354" s="67">
        <v>40983</v>
      </c>
      <c r="R1354" s="67">
        <v>40983</v>
      </c>
      <c r="S1354" s="65" t="s">
        <v>11</v>
      </c>
      <c r="T1354" s="70" t="s">
        <v>3858</v>
      </c>
      <c r="U1354" s="65" t="s">
        <v>29</v>
      </c>
      <c r="V1354" s="65" t="s">
        <v>1914</v>
      </c>
      <c r="W1354" s="65" t="s">
        <v>1922</v>
      </c>
      <c r="X1354" s="65" t="s">
        <v>2829</v>
      </c>
      <c r="Y1354" s="65" t="s">
        <v>2951</v>
      </c>
      <c r="Z1354" s="65" t="s">
        <v>129</v>
      </c>
      <c r="AA1354" s="65" t="s">
        <v>2829</v>
      </c>
    </row>
    <row r="1355" spans="1:27" ht="17.45" hidden="1" customHeight="1">
      <c r="A1355" s="100">
        <f>IF(priority(Main[[#This Row],[Comments]])&lt;&gt;0, priority(Main[[#This Row],[Comments]]),"")</f>
        <v>2</v>
      </c>
      <c r="B1355" s="77" t="s">
        <v>2045</v>
      </c>
      <c r="C1355" s="65" t="s">
        <v>299</v>
      </c>
      <c r="D1355" s="66" t="s">
        <v>2319</v>
      </c>
      <c r="E1355" s="67">
        <v>40682.272986111115</v>
      </c>
      <c r="F1355" s="67">
        <v>40909</v>
      </c>
      <c r="G1355" s="64">
        <f>IF(stdProdLT(Main[[#This Row],[Comments]])=0.1,"N/A",IF(stdProdLT(Main[[#This Row],[Comments]])=0,"",stdProdLT(Main[[#This Row],[Comments]])))</f>
        <v>182</v>
      </c>
      <c r="H1355" s="68">
        <f>IF(AND(Main[[#This Row],[In Stock Date]]&lt;&gt;"",Main[[#This Row],[Revised Due Date]]&lt;&gt;""),Main[[#This Row],[In Stock Date]]-Main[[#This Row],[Revised Due Date]],"")</f>
        <v>78</v>
      </c>
      <c r="I1355" s="65" t="s">
        <v>946</v>
      </c>
      <c r="J1355" s="65" t="s">
        <v>28</v>
      </c>
      <c r="K1355" s="65" t="s">
        <v>1927</v>
      </c>
      <c r="L1355" s="67">
        <v>40725</v>
      </c>
      <c r="M1355" s="69">
        <f>IF(Main[[#This Row],[Tech Start Date]]&lt;1/1/1990,"",IF(Main[[#This Row],[Class]]="C",WORKDAY(Main[[#This Row],[Tech Start Date]],9),IF(Main[[#This Row],[Class]]="B", WORKDAY(Main[[#This Row],[Tech Start Date]],6),IF(Main[[#This Row],[Class]]="A",WORKDAY(Main[[#This Row],[Tech Start Date]],2),""))))</f>
        <v>40738</v>
      </c>
      <c r="N1355" s="69">
        <f>IF(Main[[#This Row],[Tech Start Date]]&lt;1/1/1990,"",IF(Main[[#This Row],[Class]]="C",WORKDAY(Main[[#This Row],[Tech Start Date]],19),IF(Main[[#This Row],[Class]]="B", WORKDAY(Main[[#This Row],[Tech Start Date]],12),IF(Main[[#This Row],[Class]]="A",WORKDAY(Main[[#This Row],[Tech Start Date]],4),""))))</f>
        <v>40752</v>
      </c>
      <c r="O1355" s="69">
        <f>IF(Main[[#This Row],[Tech Start Date]]&lt;1/1/1990,"",IF(Main[[#This Row],[Class]]="C",WORKDAY(Main[[#This Row],[Tech Start Date]],23),IF(Main[[#This Row],[Class]]="B", WORKDAY(Main[[#This Row],[Tech Start Date]],15),IF(Main[[#This Row],[Class]]="A",WORKDAY(Main[[#This Row],[Tech Start Date]],5),""))))</f>
        <v>40758</v>
      </c>
      <c r="P1355" s="69">
        <f>IF(Main[[#This Row],[Tech Start Date]]&lt;1/1/1990,"",IF(Main[[#This Row],[Class]]="C",WORKDAY(Main[[#This Row],[Tech Start Date]],28),IF(Main[[#This Row],[Class]]="B", WORKDAY(Main[[#This Row],[Tech Start Date]],19),IF(Main[[#This Row],[Class]]="A",WORKDAY(Main[[#This Row],[Tech Start Date]],9),""))))</f>
        <v>40765</v>
      </c>
      <c r="Q1355" s="67">
        <v>40724</v>
      </c>
      <c r="R1355" s="67">
        <v>40831</v>
      </c>
      <c r="S1355" s="65" t="s">
        <v>17</v>
      </c>
      <c r="T1355" s="70" t="s">
        <v>2207</v>
      </c>
      <c r="U1355" s="65" t="s">
        <v>29</v>
      </c>
      <c r="V1355" s="65" t="s">
        <v>1915</v>
      </c>
      <c r="W1355" s="65" t="s">
        <v>1919</v>
      </c>
      <c r="X1355" s="65" t="s">
        <v>2835</v>
      </c>
      <c r="Y1355" s="65" t="s">
        <v>4</v>
      </c>
      <c r="Z1355" s="65" t="s">
        <v>2053</v>
      </c>
      <c r="AA1355" s="65" t="s">
        <v>2835</v>
      </c>
    </row>
    <row r="1356" spans="1:27" ht="17.45" hidden="1" customHeight="1">
      <c r="A1356" s="100">
        <f>IF(priority(Main[[#This Row],[Comments]])&lt;&gt;0, priority(Main[[#This Row],[Comments]]),"")</f>
        <v>26</v>
      </c>
      <c r="B1356" s="77" t="s">
        <v>1435</v>
      </c>
      <c r="C1356" s="65" t="s">
        <v>131</v>
      </c>
      <c r="D1356" s="66" t="s">
        <v>2005</v>
      </c>
      <c r="E1356" s="67"/>
      <c r="F1356" s="67">
        <v>40939</v>
      </c>
      <c r="G1356" s="64">
        <f>IF(stdProdLT(Main[[#This Row],[Comments]])=0.1,"N/A",IF(stdProdLT(Main[[#This Row],[Comments]])=0,"",stdProdLT(Main[[#This Row],[Comments]])))</f>
        <v>126</v>
      </c>
      <c r="H1356" s="68">
        <f>IF(AND(Main[[#This Row],[In Stock Date]]&lt;&gt;"",Main[[#This Row],[Revised Due Date]]&lt;&gt;""),Main[[#This Row],[In Stock Date]]-Main[[#This Row],[Revised Due Date]],"")</f>
        <v>154</v>
      </c>
      <c r="I1356" s="65" t="s">
        <v>126</v>
      </c>
      <c r="J1356" s="65" t="s">
        <v>28</v>
      </c>
      <c r="K1356" s="65" t="s">
        <v>1927</v>
      </c>
      <c r="L1356" s="67">
        <v>40736</v>
      </c>
      <c r="M1356" s="69">
        <f>IF(Main[[#This Row],[Tech Start Date]]&lt;1/1/1990,"",IF(Main[[#This Row],[Class]]="C",WORKDAY(Main[[#This Row],[Tech Start Date]],9),IF(Main[[#This Row],[Class]]="B", WORKDAY(Main[[#This Row],[Tech Start Date]],6),IF(Main[[#This Row],[Class]]="A",WORKDAY(Main[[#This Row],[Tech Start Date]],2),""))))</f>
        <v>40749</v>
      </c>
      <c r="N1356" s="69">
        <f>IF(Main[[#This Row],[Tech Start Date]]&lt;1/1/1990,"",IF(Main[[#This Row],[Class]]="C",WORKDAY(Main[[#This Row],[Tech Start Date]],19),IF(Main[[#This Row],[Class]]="B", WORKDAY(Main[[#This Row],[Tech Start Date]],12),IF(Main[[#This Row],[Class]]="A",WORKDAY(Main[[#This Row],[Tech Start Date]],4),""))))</f>
        <v>40763</v>
      </c>
      <c r="O1356" s="69">
        <f>IF(Main[[#This Row],[Tech Start Date]]&lt;1/1/1990,"",IF(Main[[#This Row],[Class]]="C",WORKDAY(Main[[#This Row],[Tech Start Date]],23),IF(Main[[#This Row],[Class]]="B", WORKDAY(Main[[#This Row],[Tech Start Date]],15),IF(Main[[#This Row],[Class]]="A",WORKDAY(Main[[#This Row],[Tech Start Date]],5),""))))</f>
        <v>40767</v>
      </c>
      <c r="P1356" s="69">
        <f>IF(Main[[#This Row],[Tech Start Date]]&lt;1/1/1990,"",IF(Main[[#This Row],[Class]]="C",WORKDAY(Main[[#This Row],[Tech Start Date]],28),IF(Main[[#This Row],[Class]]="B", WORKDAY(Main[[#This Row],[Tech Start Date]],19),IF(Main[[#This Row],[Class]]="A",WORKDAY(Main[[#This Row],[Tech Start Date]],9),""))))</f>
        <v>40774</v>
      </c>
      <c r="Q1356" s="67">
        <v>40799</v>
      </c>
      <c r="R1356" s="67">
        <v>40785</v>
      </c>
      <c r="S1356" s="65" t="s">
        <v>11</v>
      </c>
      <c r="T1356" s="70" t="s">
        <v>2006</v>
      </c>
      <c r="U1356" s="65" t="s">
        <v>14</v>
      </c>
      <c r="V1356" s="65" t="s">
        <v>1914</v>
      </c>
      <c r="W1356" s="65" t="s">
        <v>1925</v>
      </c>
      <c r="X1356" s="65" t="s">
        <v>2852</v>
      </c>
      <c r="Y1356" s="65" t="s">
        <v>3134</v>
      </c>
      <c r="Z1356" s="65" t="s">
        <v>129</v>
      </c>
      <c r="AA1356" s="65" t="s">
        <v>2852</v>
      </c>
    </row>
    <row r="1357" spans="1:27" ht="17.45" hidden="1" customHeight="1">
      <c r="A1357" s="100" t="str">
        <f>IF(priority(Main[[#This Row],[Comments]])&lt;&gt;0, priority(Main[[#This Row],[Comments]]),"")</f>
        <v/>
      </c>
      <c r="B1357" s="77" t="s">
        <v>2007</v>
      </c>
      <c r="C1357" s="65" t="s">
        <v>2008</v>
      </c>
      <c r="D1357" s="66" t="s">
        <v>2022</v>
      </c>
      <c r="E1357" s="67">
        <v>40737.577511574076</v>
      </c>
      <c r="F1357" s="67"/>
      <c r="G1357" s="64" t="str">
        <f>IF(stdProdLT(Main[[#This Row],[Comments]])=0.1,"N/A",IF(stdProdLT(Main[[#This Row],[Comments]])=0,"",stdProdLT(Main[[#This Row],[Comments]])))</f>
        <v/>
      </c>
      <c r="H1357" s="68" t="str">
        <f>IF(AND(Main[[#This Row],[In Stock Date]]&lt;&gt;"",Main[[#This Row],[Revised Due Date]]&lt;&gt;""),Main[[#This Row],[In Stock Date]]-Main[[#This Row],[Revised Due Date]],"")</f>
        <v/>
      </c>
      <c r="I1357" s="65" t="s">
        <v>4</v>
      </c>
      <c r="J1357" s="65" t="s">
        <v>28</v>
      </c>
      <c r="K1357" s="65" t="s">
        <v>1926</v>
      </c>
      <c r="L1357" s="67">
        <v>40742</v>
      </c>
      <c r="M1357" s="69" t="str">
        <f>IF(Main[[#This Row],[Tech Start Date]]&lt;1/1/1990,"",IF(Main[[#This Row],[Class]]="C",WORKDAY(Main[[#This Row],[Tech Start Date]],9),IF(Main[[#This Row],[Class]]="B", WORKDAY(Main[[#This Row],[Tech Start Date]],6),IF(Main[[#This Row],[Class]]="A",WORKDAY(Main[[#This Row],[Tech Start Date]],2),""))))</f>
        <v/>
      </c>
      <c r="N1357" s="69" t="str">
        <f>IF(Main[[#This Row],[Tech Start Date]]&lt;1/1/1990,"",IF(Main[[#This Row],[Class]]="C",WORKDAY(Main[[#This Row],[Tech Start Date]],19),IF(Main[[#This Row],[Class]]="B", WORKDAY(Main[[#This Row],[Tech Start Date]],12),IF(Main[[#This Row],[Class]]="A",WORKDAY(Main[[#This Row],[Tech Start Date]],4),""))))</f>
        <v/>
      </c>
      <c r="O1357" s="69" t="str">
        <f>IF(Main[[#This Row],[Tech Start Date]]&lt;1/1/1990,"",IF(Main[[#This Row],[Class]]="C",WORKDAY(Main[[#This Row],[Tech Start Date]],23),IF(Main[[#This Row],[Class]]="B", WORKDAY(Main[[#This Row],[Tech Start Date]],15),IF(Main[[#This Row],[Class]]="A",WORKDAY(Main[[#This Row],[Tech Start Date]],5),""))))</f>
        <v/>
      </c>
      <c r="P1357" s="69" t="str">
        <f>IF(Main[[#This Row],[Tech Start Date]]&lt;1/1/1990,"",IF(Main[[#This Row],[Class]]="C",WORKDAY(Main[[#This Row],[Tech Start Date]],28),IF(Main[[#This Row],[Class]]="B", WORKDAY(Main[[#This Row],[Tech Start Date]],19),IF(Main[[#This Row],[Class]]="A",WORKDAY(Main[[#This Row],[Tech Start Date]],9),""))))</f>
        <v/>
      </c>
      <c r="Q1357" s="67"/>
      <c r="R1357" s="67"/>
      <c r="S1357" s="65" t="s">
        <v>17</v>
      </c>
      <c r="T1357" s="70" t="s">
        <v>4</v>
      </c>
      <c r="U1357" s="65" t="s">
        <v>29</v>
      </c>
      <c r="V1357" s="65" t="s">
        <v>1914</v>
      </c>
      <c r="W1357" s="65" t="s">
        <v>1922</v>
      </c>
      <c r="X1357" s="65" t="s">
        <v>129</v>
      </c>
      <c r="Y1357" s="65" t="s">
        <v>2959</v>
      </c>
      <c r="Z1357" s="65" t="s">
        <v>129</v>
      </c>
      <c r="AA1357" s="65" t="s">
        <v>2828</v>
      </c>
    </row>
    <row r="1358" spans="1:27" ht="17.45" hidden="1" customHeight="1">
      <c r="A1358" s="100" t="str">
        <f>IF(priority(Main[[#This Row],[Comments]])&lt;&gt;0, priority(Main[[#This Row],[Comments]]),"")</f>
        <v/>
      </c>
      <c r="B1358" s="77" t="s">
        <v>1686</v>
      </c>
      <c r="C1358" s="65" t="s">
        <v>741</v>
      </c>
      <c r="D1358" s="66" t="s">
        <v>1972</v>
      </c>
      <c r="E1358" s="67">
        <v>40681.50267361111</v>
      </c>
      <c r="F1358" s="67"/>
      <c r="G1358" s="64" t="str">
        <f>IF(stdProdLT(Main[[#This Row],[Comments]])=0.1,"N/A",IF(stdProdLT(Main[[#This Row],[Comments]])=0,"",stdProdLT(Main[[#This Row],[Comments]])))</f>
        <v/>
      </c>
      <c r="H1358" s="68" t="str">
        <f>IF(AND(Main[[#This Row],[In Stock Date]]&lt;&gt;"",Main[[#This Row],[Revised Due Date]]&lt;&gt;""),Main[[#This Row],[In Stock Date]]-Main[[#This Row],[Revised Due Date]],"")</f>
        <v/>
      </c>
      <c r="I1358" s="65" t="s">
        <v>745</v>
      </c>
      <c r="J1358" s="65" t="s">
        <v>28</v>
      </c>
      <c r="K1358" s="71" t="s">
        <v>1926</v>
      </c>
      <c r="L1358" s="67">
        <v>40742</v>
      </c>
      <c r="M1358" s="69" t="str">
        <f>IF(Main[[#This Row],[Tech Start Date]]&lt;1/1/1990,"",IF(Main[[#This Row],[Class]]="C",WORKDAY(Main[[#This Row],[Tech Start Date]],9),IF(Main[[#This Row],[Class]]="B", WORKDAY(Main[[#This Row],[Tech Start Date]],6),IF(Main[[#This Row],[Class]]="A",WORKDAY(Main[[#This Row],[Tech Start Date]],2),""))))</f>
        <v/>
      </c>
      <c r="N1358" s="69" t="str">
        <f>IF(Main[[#This Row],[Tech Start Date]]&lt;1/1/1990,"",IF(Main[[#This Row],[Class]]="C",WORKDAY(Main[[#This Row],[Tech Start Date]],19),IF(Main[[#This Row],[Class]]="B", WORKDAY(Main[[#This Row],[Tech Start Date]],12),IF(Main[[#This Row],[Class]]="A",WORKDAY(Main[[#This Row],[Tech Start Date]],4),""))))</f>
        <v/>
      </c>
      <c r="O1358" s="69" t="str">
        <f>IF(Main[[#This Row],[Tech Start Date]]&lt;1/1/1990,"",IF(Main[[#This Row],[Class]]="C",WORKDAY(Main[[#This Row],[Tech Start Date]],23),IF(Main[[#This Row],[Class]]="B", WORKDAY(Main[[#This Row],[Tech Start Date]],15),IF(Main[[#This Row],[Class]]="A",WORKDAY(Main[[#This Row],[Tech Start Date]],5),""))))</f>
        <v/>
      </c>
      <c r="P1358" s="69" t="str">
        <f>IF(Main[[#This Row],[Tech Start Date]]&lt;1/1/1990,"",IF(Main[[#This Row],[Class]]="C",WORKDAY(Main[[#This Row],[Tech Start Date]],28),IF(Main[[#This Row],[Class]]="B", WORKDAY(Main[[#This Row],[Tech Start Date]],19),IF(Main[[#This Row],[Class]]="A",WORKDAY(Main[[#This Row],[Tech Start Date]],9),""))))</f>
        <v/>
      </c>
      <c r="Q1358" s="67">
        <v>40939</v>
      </c>
      <c r="R1358" s="67">
        <v>40879</v>
      </c>
      <c r="S1358" s="65" t="s">
        <v>17</v>
      </c>
      <c r="T1358" s="70" t="s">
        <v>4</v>
      </c>
      <c r="U1358" s="65" t="s">
        <v>29</v>
      </c>
      <c r="V1358" s="65" t="s">
        <v>1917</v>
      </c>
      <c r="W1358" s="65" t="s">
        <v>1919</v>
      </c>
      <c r="X1358" s="65" t="s">
        <v>553</v>
      </c>
      <c r="Y1358" s="65" t="s">
        <v>2952</v>
      </c>
      <c r="Z1358" s="65" t="s">
        <v>652</v>
      </c>
      <c r="AA1358" s="65" t="s">
        <v>553</v>
      </c>
    </row>
    <row r="1359" spans="1:27" ht="17.45" hidden="1" customHeight="1">
      <c r="A1359" s="100" t="str">
        <f>IF(priority(Main[[#This Row],[Comments]])&lt;&gt;0, priority(Main[[#This Row],[Comments]]),"")</f>
        <v/>
      </c>
      <c r="B1359" s="77" t="s">
        <v>2039</v>
      </c>
      <c r="C1359" s="65" t="s">
        <v>116</v>
      </c>
      <c r="D1359" s="66" t="s">
        <v>2248</v>
      </c>
      <c r="E1359" s="67">
        <v>40751.429224537038</v>
      </c>
      <c r="F1359" s="67"/>
      <c r="G1359" s="64" t="str">
        <f>IF(stdProdLT(Main[[#This Row],[Comments]])=0.1,"N/A",IF(stdProdLT(Main[[#This Row],[Comments]])=0,"",stdProdLT(Main[[#This Row],[Comments]])))</f>
        <v/>
      </c>
      <c r="H1359" s="68" t="str">
        <f>IF(AND(Main[[#This Row],[In Stock Date]]&lt;&gt;"",Main[[#This Row],[Revised Due Date]]&lt;&gt;""),Main[[#This Row],[In Stock Date]]-Main[[#This Row],[Revised Due Date]],"")</f>
        <v/>
      </c>
      <c r="I1359" s="65" t="s">
        <v>2043</v>
      </c>
      <c r="J1359" s="65" t="s">
        <v>28</v>
      </c>
      <c r="K1359" s="65" t="s">
        <v>1926</v>
      </c>
      <c r="L1359" s="67">
        <v>40742</v>
      </c>
      <c r="M1359" s="69" t="str">
        <f>IF(Main[[#This Row],[Tech Start Date]]&lt;1/1/1990,"",IF(Main[[#This Row],[Class]]="C",WORKDAY(Main[[#This Row],[Tech Start Date]],9),IF(Main[[#This Row],[Class]]="B", WORKDAY(Main[[#This Row],[Tech Start Date]],6),IF(Main[[#This Row],[Class]]="A",WORKDAY(Main[[#This Row],[Tech Start Date]],2),""))))</f>
        <v/>
      </c>
      <c r="N1359" s="69" t="str">
        <f>IF(Main[[#This Row],[Tech Start Date]]&lt;1/1/1990,"",IF(Main[[#This Row],[Class]]="C",WORKDAY(Main[[#This Row],[Tech Start Date]],19),IF(Main[[#This Row],[Class]]="B", WORKDAY(Main[[#This Row],[Tech Start Date]],12),IF(Main[[#This Row],[Class]]="A",WORKDAY(Main[[#This Row],[Tech Start Date]],4),""))))</f>
        <v/>
      </c>
      <c r="O1359" s="69" t="str">
        <f>IF(Main[[#This Row],[Tech Start Date]]&lt;1/1/1990,"",IF(Main[[#This Row],[Class]]="C",WORKDAY(Main[[#This Row],[Tech Start Date]],23),IF(Main[[#This Row],[Class]]="B", WORKDAY(Main[[#This Row],[Tech Start Date]],15),IF(Main[[#This Row],[Class]]="A",WORKDAY(Main[[#This Row],[Tech Start Date]],5),""))))</f>
        <v/>
      </c>
      <c r="P1359" s="69" t="str">
        <f>IF(Main[[#This Row],[Tech Start Date]]&lt;1/1/1990,"",IF(Main[[#This Row],[Class]]="C",WORKDAY(Main[[#This Row],[Tech Start Date]],28),IF(Main[[#This Row],[Class]]="B", WORKDAY(Main[[#This Row],[Tech Start Date]],19),IF(Main[[#This Row],[Class]]="A",WORKDAY(Main[[#This Row],[Tech Start Date]],9),""))))</f>
        <v/>
      </c>
      <c r="Q1359" s="67"/>
      <c r="R1359" s="67">
        <v>40868</v>
      </c>
      <c r="S1359" s="65" t="s">
        <v>17</v>
      </c>
      <c r="T1359" s="70" t="s">
        <v>4</v>
      </c>
      <c r="U1359" s="65" t="s">
        <v>29</v>
      </c>
      <c r="V1359" s="65" t="s">
        <v>1917</v>
      </c>
      <c r="W1359" s="65" t="s">
        <v>1919</v>
      </c>
      <c r="X1359" s="65" t="s">
        <v>652</v>
      </c>
      <c r="Y1359" s="65" t="s">
        <v>3126</v>
      </c>
      <c r="Z1359" s="65" t="s">
        <v>652</v>
      </c>
      <c r="AA1359" s="65" t="s">
        <v>652</v>
      </c>
    </row>
    <row r="1360" spans="1:27" ht="17.45" hidden="1" customHeight="1">
      <c r="A1360" s="100">
        <f>IF(priority(Main[[#This Row],[Comments]])&lt;&gt;0, priority(Main[[#This Row],[Comments]]),"")</f>
        <v>17</v>
      </c>
      <c r="B1360" s="77" t="s">
        <v>2023</v>
      </c>
      <c r="C1360" s="65" t="s">
        <v>2024</v>
      </c>
      <c r="D1360" s="66" t="s">
        <v>2135</v>
      </c>
      <c r="E1360" s="67"/>
      <c r="F1360" s="67">
        <v>40752</v>
      </c>
      <c r="G1360" s="64">
        <f>IF(stdProdLT(Main[[#This Row],[Comments]])=0.1,"N/A",IF(stdProdLT(Main[[#This Row],[Comments]])=0,"",stdProdLT(Main[[#This Row],[Comments]])))</f>
        <v>42</v>
      </c>
      <c r="H1360" s="68">
        <f>IF(AND(Main[[#This Row],[In Stock Date]]&lt;&gt;"",Main[[#This Row],[Revised Due Date]]&lt;&gt;""),Main[[#This Row],[In Stock Date]]-Main[[#This Row],[Revised Due Date]],"")</f>
        <v>-32</v>
      </c>
      <c r="I1360" s="65" t="s">
        <v>956</v>
      </c>
      <c r="J1360" s="65" t="s">
        <v>28</v>
      </c>
      <c r="K1360" s="71" t="s">
        <v>1921</v>
      </c>
      <c r="L1360" s="67">
        <v>40745</v>
      </c>
      <c r="M1360" s="69">
        <f>IF(Main[[#This Row],[Tech Start Date]]&lt;1/1/1990,"",IF(Main[[#This Row],[Class]]="C",WORKDAY(Main[[#This Row],[Tech Start Date]],9),IF(Main[[#This Row],[Class]]="B", WORKDAY(Main[[#This Row],[Tech Start Date]],6),IF(Main[[#This Row],[Class]]="A",WORKDAY(Main[[#This Row],[Tech Start Date]],2),""))))</f>
        <v>40753</v>
      </c>
      <c r="N1360" s="69">
        <f>IF(Main[[#This Row],[Tech Start Date]]&lt;1/1/1990,"",IF(Main[[#This Row],[Class]]="C",WORKDAY(Main[[#This Row],[Tech Start Date]],19),IF(Main[[#This Row],[Class]]="B", WORKDAY(Main[[#This Row],[Tech Start Date]],12),IF(Main[[#This Row],[Class]]="A",WORKDAY(Main[[#This Row],[Tech Start Date]],4),""))))</f>
        <v>40763</v>
      </c>
      <c r="O1360" s="69">
        <f>IF(Main[[#This Row],[Tech Start Date]]&lt;1/1/1990,"",IF(Main[[#This Row],[Class]]="C",WORKDAY(Main[[#This Row],[Tech Start Date]],23),IF(Main[[#This Row],[Class]]="B", WORKDAY(Main[[#This Row],[Tech Start Date]],15),IF(Main[[#This Row],[Class]]="A",WORKDAY(Main[[#This Row],[Tech Start Date]],5),""))))</f>
        <v>40766</v>
      </c>
      <c r="P1360" s="69">
        <f>IF(Main[[#This Row],[Tech Start Date]]&lt;1/1/1990,"",IF(Main[[#This Row],[Class]]="C",WORKDAY(Main[[#This Row],[Tech Start Date]],28),IF(Main[[#This Row],[Class]]="B", WORKDAY(Main[[#This Row],[Tech Start Date]],19),IF(Main[[#This Row],[Class]]="A",WORKDAY(Main[[#This Row],[Tech Start Date]],9),""))))</f>
        <v>40772</v>
      </c>
      <c r="Q1360" s="67">
        <v>40752</v>
      </c>
      <c r="R1360" s="67">
        <v>40784</v>
      </c>
      <c r="S1360" s="65" t="s">
        <v>11</v>
      </c>
      <c r="T1360" s="70" t="s">
        <v>2136</v>
      </c>
      <c r="U1360" s="65" t="s">
        <v>14</v>
      </c>
      <c r="V1360" s="65" t="s">
        <v>1915</v>
      </c>
      <c r="W1360" s="65" t="s">
        <v>1916</v>
      </c>
      <c r="X1360" s="65" t="s">
        <v>2816</v>
      </c>
      <c r="Y1360" s="65" t="s">
        <v>2928</v>
      </c>
      <c r="Z1360" s="65" t="s">
        <v>2053</v>
      </c>
      <c r="AA1360" s="65" t="s">
        <v>2816</v>
      </c>
    </row>
    <row r="1361" spans="1:27" ht="17.45" hidden="1" customHeight="1">
      <c r="A1361" s="100">
        <f>IF(priority(Main[[#This Row],[Comments]])&lt;&gt;0, priority(Main[[#This Row],[Comments]]),"")</f>
        <v>9.1</v>
      </c>
      <c r="B1361" s="77" t="s">
        <v>1987</v>
      </c>
      <c r="C1361" s="65" t="s">
        <v>1988</v>
      </c>
      <c r="D1361" s="66" t="s">
        <v>1989</v>
      </c>
      <c r="E1361" s="67"/>
      <c r="F1361" s="67"/>
      <c r="G1361" s="64" t="str">
        <f>IF(stdProdLT(Main[[#This Row],[Comments]])=0.1,"N/A",IF(stdProdLT(Main[[#This Row],[Comments]])=0,"",stdProdLT(Main[[#This Row],[Comments]])))</f>
        <v/>
      </c>
      <c r="H1361" s="68" t="str">
        <f>IF(AND(Main[[#This Row],[In Stock Date]]&lt;&gt;"",Main[[#This Row],[Revised Due Date]]&lt;&gt;""),Main[[#This Row],[In Stock Date]]-Main[[#This Row],[Revised Due Date]],"")</f>
        <v/>
      </c>
      <c r="I1361" s="65" t="s">
        <v>941</v>
      </c>
      <c r="J1361" s="65" t="s">
        <v>28</v>
      </c>
      <c r="K1361" s="65" t="s">
        <v>4</v>
      </c>
      <c r="L1361" s="67">
        <v>40745</v>
      </c>
      <c r="M1361" s="69" t="str">
        <f>IF(Main[[#This Row],[Tech Start Date]]&lt;1/1/1990,"",IF(Main[[#This Row],[Class]]="C",WORKDAY(Main[[#This Row],[Tech Start Date]],9),IF(Main[[#This Row],[Class]]="B", WORKDAY(Main[[#This Row],[Tech Start Date]],6),IF(Main[[#This Row],[Class]]="A",WORKDAY(Main[[#This Row],[Tech Start Date]],2),""))))</f>
        <v/>
      </c>
      <c r="N1361" s="69" t="str">
        <f>IF(Main[[#This Row],[Tech Start Date]]&lt;1/1/1990,"",IF(Main[[#This Row],[Class]]="C",WORKDAY(Main[[#This Row],[Tech Start Date]],19),IF(Main[[#This Row],[Class]]="B", WORKDAY(Main[[#This Row],[Tech Start Date]],12),IF(Main[[#This Row],[Class]]="A",WORKDAY(Main[[#This Row],[Tech Start Date]],4),""))))</f>
        <v/>
      </c>
      <c r="O1361" s="69" t="str">
        <f>IF(Main[[#This Row],[Tech Start Date]]&lt;1/1/1990,"",IF(Main[[#This Row],[Class]]="C",WORKDAY(Main[[#This Row],[Tech Start Date]],23),IF(Main[[#This Row],[Class]]="B", WORKDAY(Main[[#This Row],[Tech Start Date]],15),IF(Main[[#This Row],[Class]]="A",WORKDAY(Main[[#This Row],[Tech Start Date]],5),""))))</f>
        <v/>
      </c>
      <c r="P1361" s="69" t="str">
        <f>IF(Main[[#This Row],[Tech Start Date]]&lt;1/1/1990,"",IF(Main[[#This Row],[Class]]="C",WORKDAY(Main[[#This Row],[Tech Start Date]],28),IF(Main[[#This Row],[Class]]="B", WORKDAY(Main[[#This Row],[Tech Start Date]],19),IF(Main[[#This Row],[Class]]="A",WORKDAY(Main[[#This Row],[Tech Start Date]],9),""))))</f>
        <v/>
      </c>
      <c r="Q1361" s="67"/>
      <c r="R1361" s="67"/>
      <c r="S1361" s="65" t="s">
        <v>11</v>
      </c>
      <c r="T1361" s="70" t="s">
        <v>1990</v>
      </c>
      <c r="U1361" s="65" t="s">
        <v>14</v>
      </c>
      <c r="V1361" s="65" t="s">
        <v>1915</v>
      </c>
      <c r="W1361" s="65" t="s">
        <v>1916</v>
      </c>
      <c r="X1361" s="65" t="s">
        <v>2816</v>
      </c>
      <c r="Y1361" s="65" t="s">
        <v>2993</v>
      </c>
      <c r="Z1361" s="65" t="s">
        <v>3159</v>
      </c>
      <c r="AA1361" s="65" t="s">
        <v>3474</v>
      </c>
    </row>
    <row r="1362" spans="1:27" ht="17.45" hidden="1" customHeight="1">
      <c r="A1362" s="100" t="str">
        <f>IF(priority(Main[[#This Row],[Comments]])&lt;&gt;0, priority(Main[[#This Row],[Comments]]),"")</f>
        <v/>
      </c>
      <c r="B1362" s="77" t="s">
        <v>1028</v>
      </c>
      <c r="C1362" s="65" t="s">
        <v>46</v>
      </c>
      <c r="D1362" s="66" t="s">
        <v>2137</v>
      </c>
      <c r="E1362" s="67">
        <v>40549.665949074071</v>
      </c>
      <c r="F1362" s="67">
        <v>40603</v>
      </c>
      <c r="G1362" s="64" t="str">
        <f>IF(stdProdLT(Main[[#This Row],[Comments]])=0.1,"N/A",IF(stdProdLT(Main[[#This Row],[Comments]])=0,"",stdProdLT(Main[[#This Row],[Comments]])))</f>
        <v/>
      </c>
      <c r="H1362" s="68" t="str">
        <f>IF(AND(Main[[#This Row],[In Stock Date]]&lt;&gt;"",Main[[#This Row],[Revised Due Date]]&lt;&gt;""),Main[[#This Row],[In Stock Date]]-Main[[#This Row],[Revised Due Date]],"")</f>
        <v/>
      </c>
      <c r="I1362" s="65" t="s">
        <v>171</v>
      </c>
      <c r="J1362" s="65" t="s">
        <v>70</v>
      </c>
      <c r="K1362" s="65" t="s">
        <v>1926</v>
      </c>
      <c r="L1362" s="67">
        <v>40751</v>
      </c>
      <c r="M1362" s="69" t="str">
        <f>IF(Main[[#This Row],[Tech Start Date]]&lt;1/1/1990,"",IF(Main[[#This Row],[Class]]="C",WORKDAY(Main[[#This Row],[Tech Start Date]],9),IF(Main[[#This Row],[Class]]="B", WORKDAY(Main[[#This Row],[Tech Start Date]],6),IF(Main[[#This Row],[Class]]="A",WORKDAY(Main[[#This Row],[Tech Start Date]],2),""))))</f>
        <v/>
      </c>
      <c r="N1362" s="69" t="str">
        <f>IF(Main[[#This Row],[Tech Start Date]]&lt;1/1/1990,"",IF(Main[[#This Row],[Class]]="C",WORKDAY(Main[[#This Row],[Tech Start Date]],19),IF(Main[[#This Row],[Class]]="B", WORKDAY(Main[[#This Row],[Tech Start Date]],12),IF(Main[[#This Row],[Class]]="A",WORKDAY(Main[[#This Row],[Tech Start Date]],4),""))))</f>
        <v/>
      </c>
      <c r="O1362" s="69" t="str">
        <f>IF(Main[[#This Row],[Tech Start Date]]&lt;1/1/1990,"",IF(Main[[#This Row],[Class]]="C",WORKDAY(Main[[#This Row],[Tech Start Date]],23),IF(Main[[#This Row],[Class]]="B", WORKDAY(Main[[#This Row],[Tech Start Date]],15),IF(Main[[#This Row],[Class]]="A",WORKDAY(Main[[#This Row],[Tech Start Date]],5),""))))</f>
        <v/>
      </c>
      <c r="P1362" s="69" t="str">
        <f>IF(Main[[#This Row],[Tech Start Date]]&lt;1/1/1990,"",IF(Main[[#This Row],[Class]]="C",WORKDAY(Main[[#This Row],[Tech Start Date]],28),IF(Main[[#This Row],[Class]]="B", WORKDAY(Main[[#This Row],[Tech Start Date]],19),IF(Main[[#This Row],[Class]]="A",WORKDAY(Main[[#This Row],[Tech Start Date]],9),""))))</f>
        <v/>
      </c>
      <c r="Q1362" s="67">
        <v>40603</v>
      </c>
      <c r="R1362" s="67"/>
      <c r="S1362" s="65" t="s">
        <v>17</v>
      </c>
      <c r="T1362" s="70" t="s">
        <v>4</v>
      </c>
      <c r="U1362" s="65" t="s">
        <v>29</v>
      </c>
      <c r="V1362" s="65" t="s">
        <v>1917</v>
      </c>
      <c r="W1362" s="65" t="s">
        <v>1919</v>
      </c>
      <c r="X1362" s="65" t="s">
        <v>553</v>
      </c>
      <c r="Y1362" s="65" t="s">
        <v>2952</v>
      </c>
      <c r="Z1362" s="65" t="s">
        <v>968</v>
      </c>
      <c r="AA1362" s="65" t="s">
        <v>553</v>
      </c>
    </row>
    <row r="1363" spans="1:27" ht="17.45" hidden="1" customHeight="1">
      <c r="A1363" s="100" t="str">
        <f>IF(priority(Main[[#This Row],[Comments]])&lt;&gt;0, priority(Main[[#This Row],[Comments]]),"")</f>
        <v/>
      </c>
      <c r="B1363" s="77" t="s">
        <v>2046</v>
      </c>
      <c r="C1363" s="65" t="s">
        <v>4</v>
      </c>
      <c r="D1363" s="66" t="s">
        <v>2054</v>
      </c>
      <c r="E1363" s="67"/>
      <c r="F1363" s="67"/>
      <c r="G1363" s="64" t="str">
        <f>IF(stdProdLT(Main[[#This Row],[Comments]])=0.1,"N/A",IF(stdProdLT(Main[[#This Row],[Comments]])=0,"",stdProdLT(Main[[#This Row],[Comments]])))</f>
        <v/>
      </c>
      <c r="H1363" s="68" t="str">
        <f>IF(AND(Main[[#This Row],[In Stock Date]]&lt;&gt;"",Main[[#This Row],[Revised Due Date]]&lt;&gt;""),Main[[#This Row],[In Stock Date]]-Main[[#This Row],[Revised Due Date]],"")</f>
        <v/>
      </c>
      <c r="I1363" s="65" t="s">
        <v>889</v>
      </c>
      <c r="J1363" s="65" t="s">
        <v>28</v>
      </c>
      <c r="K1363" s="71" t="s">
        <v>1923</v>
      </c>
      <c r="L1363" s="67">
        <v>40752</v>
      </c>
      <c r="M1363" s="69">
        <f>IF(Main[[#This Row],[Tech Start Date]]&lt;1/1/1990,"",IF(Main[[#This Row],[Class]]="C",WORKDAY(Main[[#This Row],[Tech Start Date]],9),IF(Main[[#This Row],[Class]]="B", WORKDAY(Main[[#This Row],[Tech Start Date]],6),IF(Main[[#This Row],[Class]]="A",WORKDAY(Main[[#This Row],[Tech Start Date]],2),""))))</f>
        <v>40756</v>
      </c>
      <c r="N1363" s="69">
        <f>IF(Main[[#This Row],[Tech Start Date]]&lt;1/1/1990,"",IF(Main[[#This Row],[Class]]="C",WORKDAY(Main[[#This Row],[Tech Start Date]],19),IF(Main[[#This Row],[Class]]="B", WORKDAY(Main[[#This Row],[Tech Start Date]],12),IF(Main[[#This Row],[Class]]="A",WORKDAY(Main[[#This Row],[Tech Start Date]],4),""))))</f>
        <v>40758</v>
      </c>
      <c r="O1363" s="69">
        <f>IF(Main[[#This Row],[Tech Start Date]]&lt;1/1/1990,"",IF(Main[[#This Row],[Class]]="C",WORKDAY(Main[[#This Row],[Tech Start Date]],23),IF(Main[[#This Row],[Class]]="B", WORKDAY(Main[[#This Row],[Tech Start Date]],15),IF(Main[[#This Row],[Class]]="A",WORKDAY(Main[[#This Row],[Tech Start Date]],5),""))))</f>
        <v>40759</v>
      </c>
      <c r="P1363" s="69">
        <f>IF(Main[[#This Row],[Tech Start Date]]&lt;1/1/1990,"",IF(Main[[#This Row],[Class]]="C",WORKDAY(Main[[#This Row],[Tech Start Date]],28),IF(Main[[#This Row],[Class]]="B", WORKDAY(Main[[#This Row],[Tech Start Date]],19),IF(Main[[#This Row],[Class]]="A",WORKDAY(Main[[#This Row],[Tech Start Date]],9),""))))</f>
        <v>40765</v>
      </c>
      <c r="Q1363" s="67">
        <v>40758</v>
      </c>
      <c r="R1363" s="67">
        <v>40786</v>
      </c>
      <c r="S1363" s="65" t="s">
        <v>6</v>
      </c>
      <c r="T1363" s="70" t="s">
        <v>4</v>
      </c>
      <c r="U1363" s="65" t="s">
        <v>14</v>
      </c>
      <c r="V1363" s="65" t="s">
        <v>1914</v>
      </c>
      <c r="W1363" s="65" t="s">
        <v>1918</v>
      </c>
      <c r="X1363" s="65" t="s">
        <v>877</v>
      </c>
      <c r="Y1363" s="65" t="s">
        <v>3009</v>
      </c>
      <c r="Z1363" s="65" t="s">
        <v>877</v>
      </c>
      <c r="AA1363" s="65" t="s">
        <v>877</v>
      </c>
    </row>
    <row r="1364" spans="1:27" ht="17.45" hidden="1" customHeight="1">
      <c r="A1364" s="100" t="str">
        <f>IF(priority(Main[[#This Row],[Comments]])&lt;&gt;0, priority(Main[[#This Row],[Comments]]),"")</f>
        <v/>
      </c>
      <c r="B1364" s="77" t="s">
        <v>1897</v>
      </c>
      <c r="C1364" s="65" t="s">
        <v>72</v>
      </c>
      <c r="D1364" s="66" t="s">
        <v>2138</v>
      </c>
      <c r="E1364" s="67">
        <v>40470.014479166668</v>
      </c>
      <c r="F1364" s="67">
        <v>40487</v>
      </c>
      <c r="G1364" s="64">
        <f>IF(stdProdLT(Main[[#This Row],[Comments]])=0.1,"N/A",IF(stdProdLT(Main[[#This Row],[Comments]])=0,"",stdProdLT(Main[[#This Row],[Comments]])))</f>
        <v>42</v>
      </c>
      <c r="H1364" s="68">
        <f>IF(AND(Main[[#This Row],[In Stock Date]]&lt;&gt;"",Main[[#This Row],[Revised Due Date]]&lt;&gt;""),Main[[#This Row],[In Stock Date]]-Main[[#This Row],[Revised Due Date]],"")</f>
        <v>-294</v>
      </c>
      <c r="I1364" s="65" t="s">
        <v>2053</v>
      </c>
      <c r="J1364" s="65" t="s">
        <v>52</v>
      </c>
      <c r="K1364" s="71" t="s">
        <v>1921</v>
      </c>
      <c r="L1364" s="67">
        <v>40756</v>
      </c>
      <c r="M1364" s="69">
        <f>IF(Main[[#This Row],[Tech Start Date]]&lt;1/1/1990,"",IF(Main[[#This Row],[Class]]="C",WORKDAY(Main[[#This Row],[Tech Start Date]],9),IF(Main[[#This Row],[Class]]="B", WORKDAY(Main[[#This Row],[Tech Start Date]],6),IF(Main[[#This Row],[Class]]="A",WORKDAY(Main[[#This Row],[Tech Start Date]],2),""))))</f>
        <v>40764</v>
      </c>
      <c r="N1364" s="69">
        <f>IF(Main[[#This Row],[Tech Start Date]]&lt;1/1/1990,"",IF(Main[[#This Row],[Class]]="C",WORKDAY(Main[[#This Row],[Tech Start Date]],19),IF(Main[[#This Row],[Class]]="B", WORKDAY(Main[[#This Row],[Tech Start Date]],12),IF(Main[[#This Row],[Class]]="A",WORKDAY(Main[[#This Row],[Tech Start Date]],4),""))))</f>
        <v>40772</v>
      </c>
      <c r="O1364" s="69">
        <f>IF(Main[[#This Row],[Tech Start Date]]&lt;1/1/1990,"",IF(Main[[#This Row],[Class]]="C",WORKDAY(Main[[#This Row],[Tech Start Date]],23),IF(Main[[#This Row],[Class]]="B", WORKDAY(Main[[#This Row],[Tech Start Date]],15),IF(Main[[#This Row],[Class]]="A",WORKDAY(Main[[#This Row],[Tech Start Date]],5),""))))</f>
        <v>40777</v>
      </c>
      <c r="P1364" s="69">
        <f>IF(Main[[#This Row],[Tech Start Date]]&lt;1/1/1990,"",IF(Main[[#This Row],[Class]]="C",WORKDAY(Main[[#This Row],[Tech Start Date]],28),IF(Main[[#This Row],[Class]]="B", WORKDAY(Main[[#This Row],[Tech Start Date]],19),IF(Main[[#This Row],[Class]]="A",WORKDAY(Main[[#This Row],[Tech Start Date]],9),""))))</f>
        <v>40781</v>
      </c>
      <c r="Q1364" s="67"/>
      <c r="R1364" s="67">
        <v>40781</v>
      </c>
      <c r="S1364" s="65" t="s">
        <v>6</v>
      </c>
      <c r="T1364" s="70" t="s">
        <v>2139</v>
      </c>
      <c r="U1364" s="65" t="s">
        <v>29</v>
      </c>
      <c r="V1364" s="65" t="s">
        <v>1915</v>
      </c>
      <c r="W1364" s="65" t="s">
        <v>1916</v>
      </c>
      <c r="X1364" s="65" t="s">
        <v>2901</v>
      </c>
      <c r="Y1364" s="65" t="s">
        <v>3079</v>
      </c>
      <c r="Z1364" s="65" t="s">
        <v>2053</v>
      </c>
      <c r="AA1364" s="65" t="s">
        <v>2901</v>
      </c>
    </row>
    <row r="1365" spans="1:27" ht="17.45" hidden="1" customHeight="1">
      <c r="A1365" s="100">
        <f>IF(priority(Main[[#This Row],[Comments]])&lt;&gt;0, priority(Main[[#This Row],[Comments]]),"")</f>
        <v>15</v>
      </c>
      <c r="B1365" s="77" t="s">
        <v>1994</v>
      </c>
      <c r="C1365" s="65" t="s">
        <v>53</v>
      </c>
      <c r="D1365" s="66" t="s">
        <v>3788</v>
      </c>
      <c r="E1365" s="67">
        <v>40735.69803240741</v>
      </c>
      <c r="F1365" s="67">
        <v>40836</v>
      </c>
      <c r="G1365" s="64" t="str">
        <f>IF(stdProdLT(Main[[#This Row],[Comments]])=0.1,"N/A",IF(stdProdLT(Main[[#This Row],[Comments]])=0,"",stdProdLT(Main[[#This Row],[Comments]])))</f>
        <v>N/A</v>
      </c>
      <c r="H1365" s="68">
        <f>IF(AND(Main[[#This Row],[In Stock Date]]&lt;&gt;"",Main[[#This Row],[Revised Due Date]]&lt;&gt;""),Main[[#This Row],[In Stock Date]]-Main[[#This Row],[Revised Due Date]],"")</f>
        <v>-141</v>
      </c>
      <c r="I1365" s="65" t="s">
        <v>941</v>
      </c>
      <c r="J1365" s="65" t="s">
        <v>28</v>
      </c>
      <c r="K1365" s="65" t="s">
        <v>1921</v>
      </c>
      <c r="L1365" s="67">
        <v>40756</v>
      </c>
      <c r="M1365" s="69">
        <f>IF(Main[[#This Row],[Tech Start Date]]&lt;1/1/1990,"",IF(Main[[#This Row],[Class]]="C",WORKDAY(Main[[#This Row],[Tech Start Date]],9),IF(Main[[#This Row],[Class]]="B", WORKDAY(Main[[#This Row],[Tech Start Date]],6),IF(Main[[#This Row],[Class]]="A",WORKDAY(Main[[#This Row],[Tech Start Date]],2),""))))</f>
        <v>40764</v>
      </c>
      <c r="N1365" s="69">
        <f>IF(Main[[#This Row],[Tech Start Date]]&lt;1/1/1990,"",IF(Main[[#This Row],[Class]]="C",WORKDAY(Main[[#This Row],[Tech Start Date]],19),IF(Main[[#This Row],[Class]]="B", WORKDAY(Main[[#This Row],[Tech Start Date]],12),IF(Main[[#This Row],[Class]]="A",WORKDAY(Main[[#This Row],[Tech Start Date]],4),""))))</f>
        <v>40772</v>
      </c>
      <c r="O1365" s="69">
        <f>IF(Main[[#This Row],[Tech Start Date]]&lt;1/1/1990,"",IF(Main[[#This Row],[Class]]="C",WORKDAY(Main[[#This Row],[Tech Start Date]],23),IF(Main[[#This Row],[Class]]="B", WORKDAY(Main[[#This Row],[Tech Start Date]],15),IF(Main[[#This Row],[Class]]="A",WORKDAY(Main[[#This Row],[Tech Start Date]],5),""))))</f>
        <v>40777</v>
      </c>
      <c r="P1365" s="69">
        <f>IF(Main[[#This Row],[Tech Start Date]]&lt;1/1/1990,"",IF(Main[[#This Row],[Class]]="C",WORKDAY(Main[[#This Row],[Tech Start Date]],28),IF(Main[[#This Row],[Class]]="B", WORKDAY(Main[[#This Row],[Tech Start Date]],19),IF(Main[[#This Row],[Class]]="A",WORKDAY(Main[[#This Row],[Tech Start Date]],9),""))))</f>
        <v>40781</v>
      </c>
      <c r="Q1365" s="67"/>
      <c r="R1365" s="67">
        <v>40977</v>
      </c>
      <c r="S1365" s="65" t="s">
        <v>11</v>
      </c>
      <c r="T1365" s="70" t="s">
        <v>3789</v>
      </c>
      <c r="U1365" s="65" t="s">
        <v>29</v>
      </c>
      <c r="V1365" s="65" t="s">
        <v>1915</v>
      </c>
      <c r="W1365" s="65" t="s">
        <v>1916</v>
      </c>
      <c r="X1365" s="65" t="s">
        <v>2816</v>
      </c>
      <c r="Y1365" s="65" t="s">
        <v>2993</v>
      </c>
      <c r="Z1365" s="65" t="s">
        <v>2053</v>
      </c>
      <c r="AA1365" s="65" t="s">
        <v>3475</v>
      </c>
    </row>
    <row r="1366" spans="1:27" ht="17.45" hidden="1" customHeight="1">
      <c r="A1366" s="100">
        <f>IF(priority(Main[[#This Row],[Comments]])&lt;&gt;0, priority(Main[[#This Row],[Comments]]),"")</f>
        <v>40</v>
      </c>
      <c r="B1366" s="77" t="s">
        <v>1959</v>
      </c>
      <c r="C1366" s="65" t="s">
        <v>116</v>
      </c>
      <c r="D1366" s="66" t="s">
        <v>2141</v>
      </c>
      <c r="E1366" s="67">
        <v>40722.572418981479</v>
      </c>
      <c r="F1366" s="67">
        <v>41379</v>
      </c>
      <c r="G1366" s="64" t="str">
        <f>IF(stdProdLT(Main[[#This Row],[Comments]])=0.1,"N/A",IF(stdProdLT(Main[[#This Row],[Comments]])=0,"",stdProdLT(Main[[#This Row],[Comments]])))</f>
        <v>N/A</v>
      </c>
      <c r="H1366" s="68">
        <f>IF(AND(Main[[#This Row],[In Stock Date]]&lt;&gt;"",Main[[#This Row],[Revised Due Date]]&lt;&gt;""),Main[[#This Row],[In Stock Date]]-Main[[#This Row],[Revised Due Date]],"")</f>
        <v>410</v>
      </c>
      <c r="I1366" s="65" t="s">
        <v>81</v>
      </c>
      <c r="J1366" s="65" t="s">
        <v>21</v>
      </c>
      <c r="K1366" s="65" t="s">
        <v>1927</v>
      </c>
      <c r="L1366" s="67">
        <v>40767</v>
      </c>
      <c r="M1366" s="69">
        <f>IF(Main[[#This Row],[Tech Start Date]]&lt;1/1/1990,"",IF(Main[[#This Row],[Class]]="C",WORKDAY(Main[[#This Row],[Tech Start Date]],9),IF(Main[[#This Row],[Class]]="B", WORKDAY(Main[[#This Row],[Tech Start Date]],6),IF(Main[[#This Row],[Class]]="A",WORKDAY(Main[[#This Row],[Tech Start Date]],2),""))))</f>
        <v>40780</v>
      </c>
      <c r="N1366" s="69">
        <f>IF(Main[[#This Row],[Tech Start Date]]&lt;1/1/1990,"",IF(Main[[#This Row],[Class]]="C",WORKDAY(Main[[#This Row],[Tech Start Date]],19),IF(Main[[#This Row],[Class]]="B", WORKDAY(Main[[#This Row],[Tech Start Date]],12),IF(Main[[#This Row],[Class]]="A",WORKDAY(Main[[#This Row],[Tech Start Date]],4),""))))</f>
        <v>40794</v>
      </c>
      <c r="O1366" s="69">
        <f>IF(Main[[#This Row],[Tech Start Date]]&lt;1/1/1990,"",IF(Main[[#This Row],[Class]]="C",WORKDAY(Main[[#This Row],[Tech Start Date]],23),IF(Main[[#This Row],[Class]]="B", WORKDAY(Main[[#This Row],[Tech Start Date]],15),IF(Main[[#This Row],[Class]]="A",WORKDAY(Main[[#This Row],[Tech Start Date]],5),""))))</f>
        <v>40800</v>
      </c>
      <c r="P1366" s="69">
        <f>IF(Main[[#This Row],[Tech Start Date]]&lt;1/1/1990,"",IF(Main[[#This Row],[Class]]="C",WORKDAY(Main[[#This Row],[Tech Start Date]],28),IF(Main[[#This Row],[Class]]="B", WORKDAY(Main[[#This Row],[Tech Start Date]],19),IF(Main[[#This Row],[Class]]="A",WORKDAY(Main[[#This Row],[Tech Start Date]],9),""))))</f>
        <v>40807</v>
      </c>
      <c r="Q1366" s="67">
        <v>41061</v>
      </c>
      <c r="R1366" s="67">
        <v>40969</v>
      </c>
      <c r="S1366" s="65" t="s">
        <v>11</v>
      </c>
      <c r="T1366" s="70" t="s">
        <v>3790</v>
      </c>
      <c r="U1366" s="65" t="s">
        <v>29</v>
      </c>
      <c r="V1366" s="65" t="s">
        <v>1917</v>
      </c>
      <c r="W1366" s="65" t="s">
        <v>1919</v>
      </c>
      <c r="X1366" s="65" t="s">
        <v>2891</v>
      </c>
      <c r="Y1366" s="65" t="s">
        <v>3102</v>
      </c>
      <c r="Z1366" s="65" t="s">
        <v>81</v>
      </c>
      <c r="AA1366" s="65" t="s">
        <v>2891</v>
      </c>
    </row>
    <row r="1367" spans="1:27" ht="17.45" hidden="1" customHeight="1">
      <c r="A1367" s="100">
        <f>IF(priority(Main[[#This Row],[Comments]])&lt;&gt;0, priority(Main[[#This Row],[Comments]]),"")</f>
        <v>41</v>
      </c>
      <c r="B1367" s="77" t="s">
        <v>1957</v>
      </c>
      <c r="C1367" s="65" t="s">
        <v>116</v>
      </c>
      <c r="D1367" s="66" t="s">
        <v>2612</v>
      </c>
      <c r="E1367" s="67">
        <v>40722.573182870372</v>
      </c>
      <c r="F1367" s="67">
        <v>41379</v>
      </c>
      <c r="G1367" s="64" t="str">
        <f>IF(stdProdLT(Main[[#This Row],[Comments]])=0.1,"N/A",IF(stdProdLT(Main[[#This Row],[Comments]])=0,"",stdProdLT(Main[[#This Row],[Comments]])))</f>
        <v>N/A</v>
      </c>
      <c r="H1367" s="68">
        <f>IF(AND(Main[[#This Row],[In Stock Date]]&lt;&gt;"",Main[[#This Row],[Revised Due Date]]&lt;&gt;""),Main[[#This Row],[In Stock Date]]-Main[[#This Row],[Revised Due Date]],"")</f>
        <v>410</v>
      </c>
      <c r="I1367" s="65" t="s">
        <v>81</v>
      </c>
      <c r="J1367" s="65" t="s">
        <v>21</v>
      </c>
      <c r="K1367" s="65" t="s">
        <v>1927</v>
      </c>
      <c r="L1367" s="67">
        <v>40767</v>
      </c>
      <c r="M1367" s="69">
        <f>IF(Main[[#This Row],[Tech Start Date]]&lt;1/1/1990,"",IF(Main[[#This Row],[Class]]="C",WORKDAY(Main[[#This Row],[Tech Start Date]],9),IF(Main[[#This Row],[Class]]="B", WORKDAY(Main[[#This Row],[Tech Start Date]],6),IF(Main[[#This Row],[Class]]="A",WORKDAY(Main[[#This Row],[Tech Start Date]],2),""))))</f>
        <v>40780</v>
      </c>
      <c r="N1367" s="69">
        <f>IF(Main[[#This Row],[Tech Start Date]]&lt;1/1/1990,"",IF(Main[[#This Row],[Class]]="C",WORKDAY(Main[[#This Row],[Tech Start Date]],19),IF(Main[[#This Row],[Class]]="B", WORKDAY(Main[[#This Row],[Tech Start Date]],12),IF(Main[[#This Row],[Class]]="A",WORKDAY(Main[[#This Row],[Tech Start Date]],4),""))))</f>
        <v>40794</v>
      </c>
      <c r="O1367" s="69">
        <f>IF(Main[[#This Row],[Tech Start Date]]&lt;1/1/1990,"",IF(Main[[#This Row],[Class]]="C",WORKDAY(Main[[#This Row],[Tech Start Date]],23),IF(Main[[#This Row],[Class]]="B", WORKDAY(Main[[#This Row],[Tech Start Date]],15),IF(Main[[#This Row],[Class]]="A",WORKDAY(Main[[#This Row],[Tech Start Date]],5),""))))</f>
        <v>40800</v>
      </c>
      <c r="P1367" s="69">
        <f>IF(Main[[#This Row],[Tech Start Date]]&lt;1/1/1990,"",IF(Main[[#This Row],[Class]]="C",WORKDAY(Main[[#This Row],[Tech Start Date]],28),IF(Main[[#This Row],[Class]]="B", WORKDAY(Main[[#This Row],[Tech Start Date]],19),IF(Main[[#This Row],[Class]]="A",WORKDAY(Main[[#This Row],[Tech Start Date]],9),""))))</f>
        <v>40807</v>
      </c>
      <c r="Q1367" s="67">
        <v>41061</v>
      </c>
      <c r="R1367" s="67">
        <v>40969</v>
      </c>
      <c r="S1367" s="65" t="s">
        <v>11</v>
      </c>
      <c r="T1367" s="70" t="s">
        <v>3791</v>
      </c>
      <c r="U1367" s="65" t="s">
        <v>29</v>
      </c>
      <c r="V1367" s="65" t="s">
        <v>1917</v>
      </c>
      <c r="W1367" s="65" t="s">
        <v>1919</v>
      </c>
      <c r="X1367" s="65" t="s">
        <v>2891</v>
      </c>
      <c r="Y1367" s="65" t="s">
        <v>3102</v>
      </c>
      <c r="Z1367" s="65" t="s">
        <v>81</v>
      </c>
      <c r="AA1367" s="65" t="s">
        <v>2891</v>
      </c>
    </row>
    <row r="1368" spans="1:27" ht="17.45" hidden="1" customHeight="1">
      <c r="A1368" s="100" t="str">
        <f>IF(priority(Main[[#This Row],[Comments]])&lt;&gt;0, priority(Main[[#This Row],[Comments]]),"")</f>
        <v/>
      </c>
      <c r="B1368" s="77" t="s">
        <v>1300</v>
      </c>
      <c r="C1368" s="65" t="s">
        <v>374</v>
      </c>
      <c r="D1368" s="66" t="s">
        <v>2262</v>
      </c>
      <c r="E1368" s="67">
        <v>40711.60083333333</v>
      </c>
      <c r="F1368" s="67">
        <v>40877</v>
      </c>
      <c r="G1368" s="64" t="str">
        <f>IF(stdProdLT(Main[[#This Row],[Comments]])=0.1,"N/A",IF(stdProdLT(Main[[#This Row],[Comments]])=0,"",stdProdLT(Main[[#This Row],[Comments]])))</f>
        <v/>
      </c>
      <c r="H1368" s="68">
        <f>IF(AND(Main[[#This Row],[In Stock Date]]&lt;&gt;"",Main[[#This Row],[Revised Due Date]]&lt;&gt;""),Main[[#This Row],[In Stock Date]]-Main[[#This Row],[Revised Due Date]],"")</f>
        <v>0</v>
      </c>
      <c r="I1368" s="65" t="s">
        <v>239</v>
      </c>
      <c r="J1368" s="65" t="s">
        <v>52</v>
      </c>
      <c r="K1368" s="71" t="s">
        <v>1926</v>
      </c>
      <c r="L1368" s="67">
        <v>40767</v>
      </c>
      <c r="M1368" s="69" t="str">
        <f>IF(Main[[#This Row],[Tech Start Date]]&lt;1/1/1990,"",IF(Main[[#This Row],[Class]]="C",WORKDAY(Main[[#This Row],[Tech Start Date]],9),IF(Main[[#This Row],[Class]]="B", WORKDAY(Main[[#This Row],[Tech Start Date]],6),IF(Main[[#This Row],[Class]]="A",WORKDAY(Main[[#This Row],[Tech Start Date]],2),""))))</f>
        <v/>
      </c>
      <c r="N1368" s="69" t="str">
        <f>IF(Main[[#This Row],[Tech Start Date]]&lt;1/1/1990,"",IF(Main[[#This Row],[Class]]="C",WORKDAY(Main[[#This Row],[Tech Start Date]],19),IF(Main[[#This Row],[Class]]="B", WORKDAY(Main[[#This Row],[Tech Start Date]],12),IF(Main[[#This Row],[Class]]="A",WORKDAY(Main[[#This Row],[Tech Start Date]],4),""))))</f>
        <v/>
      </c>
      <c r="O1368" s="69" t="str">
        <f>IF(Main[[#This Row],[Tech Start Date]]&lt;1/1/1990,"",IF(Main[[#This Row],[Class]]="C",WORKDAY(Main[[#This Row],[Tech Start Date]],23),IF(Main[[#This Row],[Class]]="B", WORKDAY(Main[[#This Row],[Tech Start Date]],15),IF(Main[[#This Row],[Class]]="A",WORKDAY(Main[[#This Row],[Tech Start Date]],5),""))))</f>
        <v/>
      </c>
      <c r="P1368" s="69" t="str">
        <f>IF(Main[[#This Row],[Tech Start Date]]&lt;1/1/1990,"",IF(Main[[#This Row],[Class]]="C",WORKDAY(Main[[#This Row],[Tech Start Date]],28),IF(Main[[#This Row],[Class]]="B", WORKDAY(Main[[#This Row],[Tech Start Date]],19),IF(Main[[#This Row],[Class]]="A",WORKDAY(Main[[#This Row],[Tech Start Date]],9),""))))</f>
        <v/>
      </c>
      <c r="Q1368" s="67">
        <v>40877</v>
      </c>
      <c r="R1368" s="67">
        <v>40877</v>
      </c>
      <c r="S1368" s="65" t="s">
        <v>17</v>
      </c>
      <c r="T1368" s="70" t="s">
        <v>4</v>
      </c>
      <c r="U1368" s="65" t="s">
        <v>29</v>
      </c>
      <c r="V1368" s="65" t="s">
        <v>1917</v>
      </c>
      <c r="W1368" s="65" t="s">
        <v>1922</v>
      </c>
      <c r="X1368" s="65" t="s">
        <v>553</v>
      </c>
      <c r="Y1368" s="65" t="s">
        <v>2952</v>
      </c>
      <c r="Z1368" s="65" t="s">
        <v>530</v>
      </c>
      <c r="AA1368" s="65" t="s">
        <v>553</v>
      </c>
    </row>
    <row r="1369" spans="1:27" ht="17.45" hidden="1" customHeight="1">
      <c r="A1369" s="100">
        <f>IF(priority(Main[[#This Row],[Comments]])&lt;&gt;0, priority(Main[[#This Row],[Comments]]),"")</f>
        <v>39</v>
      </c>
      <c r="B1369" s="77" t="s">
        <v>1958</v>
      </c>
      <c r="C1369" s="65" t="s">
        <v>116</v>
      </c>
      <c r="D1369" s="66" t="s">
        <v>2140</v>
      </c>
      <c r="E1369" s="67">
        <v>40722.571018518516</v>
      </c>
      <c r="F1369" s="67">
        <v>41379</v>
      </c>
      <c r="G1369" s="64" t="str">
        <f>IF(stdProdLT(Main[[#This Row],[Comments]])=0.1,"N/A",IF(stdProdLT(Main[[#This Row],[Comments]])=0,"",stdProdLT(Main[[#This Row],[Comments]])))</f>
        <v>N/A</v>
      </c>
      <c r="H1369" s="68">
        <f>IF(AND(Main[[#This Row],[In Stock Date]]&lt;&gt;"",Main[[#This Row],[Revised Due Date]]&lt;&gt;""),Main[[#This Row],[In Stock Date]]-Main[[#This Row],[Revised Due Date]],"")</f>
        <v>410</v>
      </c>
      <c r="I1369" s="65" t="s">
        <v>81</v>
      </c>
      <c r="J1369" s="65" t="s">
        <v>21</v>
      </c>
      <c r="K1369" s="65" t="s">
        <v>1927</v>
      </c>
      <c r="L1369" s="67">
        <v>40767</v>
      </c>
      <c r="M1369" s="69">
        <f>IF(Main[[#This Row],[Tech Start Date]]&lt;1/1/1990,"",IF(Main[[#This Row],[Class]]="C",WORKDAY(Main[[#This Row],[Tech Start Date]],9),IF(Main[[#This Row],[Class]]="B", WORKDAY(Main[[#This Row],[Tech Start Date]],6),IF(Main[[#This Row],[Class]]="A",WORKDAY(Main[[#This Row],[Tech Start Date]],2),""))))</f>
        <v>40780</v>
      </c>
      <c r="N1369" s="69">
        <f>IF(Main[[#This Row],[Tech Start Date]]&lt;1/1/1990,"",IF(Main[[#This Row],[Class]]="C",WORKDAY(Main[[#This Row],[Tech Start Date]],19),IF(Main[[#This Row],[Class]]="B", WORKDAY(Main[[#This Row],[Tech Start Date]],12),IF(Main[[#This Row],[Class]]="A",WORKDAY(Main[[#This Row],[Tech Start Date]],4),""))))</f>
        <v>40794</v>
      </c>
      <c r="O1369" s="69">
        <f>IF(Main[[#This Row],[Tech Start Date]]&lt;1/1/1990,"",IF(Main[[#This Row],[Class]]="C",WORKDAY(Main[[#This Row],[Tech Start Date]],23),IF(Main[[#This Row],[Class]]="B", WORKDAY(Main[[#This Row],[Tech Start Date]],15),IF(Main[[#This Row],[Class]]="A",WORKDAY(Main[[#This Row],[Tech Start Date]],5),""))))</f>
        <v>40800</v>
      </c>
      <c r="P1369" s="69">
        <f>IF(Main[[#This Row],[Tech Start Date]]&lt;1/1/1990,"",IF(Main[[#This Row],[Class]]="C",WORKDAY(Main[[#This Row],[Tech Start Date]],28),IF(Main[[#This Row],[Class]]="B", WORKDAY(Main[[#This Row],[Tech Start Date]],19),IF(Main[[#This Row],[Class]]="A",WORKDAY(Main[[#This Row],[Tech Start Date]],9),""))))</f>
        <v>40807</v>
      </c>
      <c r="Q1369" s="67">
        <v>41061</v>
      </c>
      <c r="R1369" s="67">
        <v>40969</v>
      </c>
      <c r="S1369" s="65" t="s">
        <v>11</v>
      </c>
      <c r="T1369" s="70" t="s">
        <v>3792</v>
      </c>
      <c r="U1369" s="65" t="s">
        <v>29</v>
      </c>
      <c r="V1369" s="65" t="s">
        <v>1917</v>
      </c>
      <c r="W1369" s="65" t="s">
        <v>1919</v>
      </c>
      <c r="X1369" s="65" t="s">
        <v>2891</v>
      </c>
      <c r="Y1369" s="65" t="s">
        <v>3102</v>
      </c>
      <c r="Z1369" s="65" t="s">
        <v>81</v>
      </c>
      <c r="AA1369" s="65" t="s">
        <v>2891</v>
      </c>
    </row>
    <row r="1370" spans="1:27" ht="17.45" hidden="1" customHeight="1">
      <c r="A1370" s="100">
        <f>IF(priority(Main[[#This Row],[Comments]])&lt;&gt;0, priority(Main[[#This Row],[Comments]]),"")</f>
        <v>38</v>
      </c>
      <c r="B1370" s="77" t="s">
        <v>1956</v>
      </c>
      <c r="C1370" s="65" t="s">
        <v>116</v>
      </c>
      <c r="D1370" s="66" t="s">
        <v>2611</v>
      </c>
      <c r="E1370" s="67">
        <v>40722.573900462965</v>
      </c>
      <c r="F1370" s="67">
        <v>41379</v>
      </c>
      <c r="G1370" s="64" t="str">
        <f>IF(stdProdLT(Main[[#This Row],[Comments]])=0.1,"N/A",IF(stdProdLT(Main[[#This Row],[Comments]])=0,"",stdProdLT(Main[[#This Row],[Comments]])))</f>
        <v>N/A</v>
      </c>
      <c r="H1370" s="68">
        <f>IF(AND(Main[[#This Row],[In Stock Date]]&lt;&gt;"",Main[[#This Row],[Revised Due Date]]&lt;&gt;""),Main[[#This Row],[In Stock Date]]-Main[[#This Row],[Revised Due Date]],"")</f>
        <v>410</v>
      </c>
      <c r="I1370" s="65" t="s">
        <v>81</v>
      </c>
      <c r="J1370" s="65" t="s">
        <v>21</v>
      </c>
      <c r="K1370" s="65" t="s">
        <v>1927</v>
      </c>
      <c r="L1370" s="67">
        <v>40767</v>
      </c>
      <c r="M1370" s="69">
        <f>IF(Main[[#This Row],[Tech Start Date]]&lt;1/1/1990,"",IF(Main[[#This Row],[Class]]="C",WORKDAY(Main[[#This Row],[Tech Start Date]],9),IF(Main[[#This Row],[Class]]="B", WORKDAY(Main[[#This Row],[Tech Start Date]],6),IF(Main[[#This Row],[Class]]="A",WORKDAY(Main[[#This Row],[Tech Start Date]],2),""))))</f>
        <v>40780</v>
      </c>
      <c r="N1370" s="69">
        <f>IF(Main[[#This Row],[Tech Start Date]]&lt;1/1/1990,"",IF(Main[[#This Row],[Class]]="C",WORKDAY(Main[[#This Row],[Tech Start Date]],19),IF(Main[[#This Row],[Class]]="B", WORKDAY(Main[[#This Row],[Tech Start Date]],12),IF(Main[[#This Row],[Class]]="A",WORKDAY(Main[[#This Row],[Tech Start Date]],4),""))))</f>
        <v>40794</v>
      </c>
      <c r="O1370" s="69">
        <f>IF(Main[[#This Row],[Tech Start Date]]&lt;1/1/1990,"",IF(Main[[#This Row],[Class]]="C",WORKDAY(Main[[#This Row],[Tech Start Date]],23),IF(Main[[#This Row],[Class]]="B", WORKDAY(Main[[#This Row],[Tech Start Date]],15),IF(Main[[#This Row],[Class]]="A",WORKDAY(Main[[#This Row],[Tech Start Date]],5),""))))</f>
        <v>40800</v>
      </c>
      <c r="P1370" s="69">
        <f>IF(Main[[#This Row],[Tech Start Date]]&lt;1/1/1990,"",IF(Main[[#This Row],[Class]]="C",WORKDAY(Main[[#This Row],[Tech Start Date]],28),IF(Main[[#This Row],[Class]]="B", WORKDAY(Main[[#This Row],[Tech Start Date]],19),IF(Main[[#This Row],[Class]]="A",WORKDAY(Main[[#This Row],[Tech Start Date]],9),""))))</f>
        <v>40807</v>
      </c>
      <c r="Q1370" s="67">
        <v>41061</v>
      </c>
      <c r="R1370" s="67">
        <v>40969</v>
      </c>
      <c r="S1370" s="65" t="s">
        <v>11</v>
      </c>
      <c r="T1370" s="70" t="s">
        <v>3793</v>
      </c>
      <c r="U1370" s="65" t="s">
        <v>29</v>
      </c>
      <c r="V1370" s="65" t="s">
        <v>1917</v>
      </c>
      <c r="W1370" s="65" t="s">
        <v>1919</v>
      </c>
      <c r="X1370" s="65" t="s">
        <v>2891</v>
      </c>
      <c r="Y1370" s="65" t="s">
        <v>3102</v>
      </c>
      <c r="Z1370" s="65" t="s">
        <v>81</v>
      </c>
      <c r="AA1370" s="65" t="s">
        <v>2891</v>
      </c>
    </row>
    <row r="1371" spans="1:27" ht="17.45" customHeight="1">
      <c r="A1371" s="100">
        <f>IF(priority(Main[[#This Row],[Comments]])&lt;&gt;0, priority(Main[[#This Row],[Comments]]),"")</f>
        <v>20</v>
      </c>
      <c r="B1371" s="77" t="s">
        <v>3260</v>
      </c>
      <c r="C1371" s="65" t="s">
        <v>3261</v>
      </c>
      <c r="D1371" s="66" t="s">
        <v>3331</v>
      </c>
      <c r="E1371" s="67">
        <v>40934.707789351851</v>
      </c>
      <c r="F1371" s="67">
        <v>41065</v>
      </c>
      <c r="G1371" s="64">
        <f>IF(stdProdLT(Main[[#This Row],[Comments]])=0.1,"N/A",IF(stdProdLT(Main[[#This Row],[Comments]])=0,"",stdProdLT(Main[[#This Row],[Comments]])))</f>
        <v>84</v>
      </c>
      <c r="H1371" s="68">
        <f>IF(AND(Main[[#This Row],[In Stock Date]]&lt;&gt;"",Main[[#This Row],[Revised Due Date]]&lt;&gt;""),Main[[#This Row],[In Stock Date]]-Main[[#This Row],[Revised Due Date]],"")</f>
        <v>82</v>
      </c>
      <c r="I1371" s="65" t="s">
        <v>894</v>
      </c>
      <c r="J1371" s="65" t="s">
        <v>4</v>
      </c>
      <c r="K1371" s="65" t="s">
        <v>1927</v>
      </c>
      <c r="L1371" s="67">
        <v>40956</v>
      </c>
      <c r="M1371" s="69">
        <f>IF(Main[[#This Row],[Tech Start Date]]&lt;1/1/1990,"",IF(Main[[#This Row],[Class]]="C",WORKDAY(Main[[#This Row],[Tech Start Date]],9),IF(Main[[#This Row],[Class]]="B", WORKDAY(Main[[#This Row],[Tech Start Date]],6),IF(Main[[#This Row],[Class]]="A",WORKDAY(Main[[#This Row],[Tech Start Date]],2),""))))</f>
        <v>40969</v>
      </c>
      <c r="N1371" s="69">
        <f>IF(Main[[#This Row],[Tech Start Date]]&lt;1/1/1990,"",IF(Main[[#This Row],[Class]]="C",WORKDAY(Main[[#This Row],[Tech Start Date]],19),IF(Main[[#This Row],[Class]]="B", WORKDAY(Main[[#This Row],[Tech Start Date]],12),IF(Main[[#This Row],[Class]]="A",WORKDAY(Main[[#This Row],[Tech Start Date]],4),""))))</f>
        <v>40983</v>
      </c>
      <c r="O1371" s="69">
        <f>IF(Main[[#This Row],[Tech Start Date]]&lt;1/1/1990,"",IF(Main[[#This Row],[Class]]="C",WORKDAY(Main[[#This Row],[Tech Start Date]],23),IF(Main[[#This Row],[Class]]="B", WORKDAY(Main[[#This Row],[Tech Start Date]],15),IF(Main[[#This Row],[Class]]="A",WORKDAY(Main[[#This Row],[Tech Start Date]],5),""))))</f>
        <v>40989</v>
      </c>
      <c r="P1371" s="69">
        <f>IF(Main[[#This Row],[Tech Start Date]]&lt;1/1/1990,"",IF(Main[[#This Row],[Class]]="C",WORKDAY(Main[[#This Row],[Tech Start Date]],28),IF(Main[[#This Row],[Class]]="B", WORKDAY(Main[[#This Row],[Tech Start Date]],19),IF(Main[[#This Row],[Class]]="A",WORKDAY(Main[[#This Row],[Tech Start Date]],9),""))))</f>
        <v>40996</v>
      </c>
      <c r="Q1371" s="67">
        <v>40945</v>
      </c>
      <c r="R1371" s="67">
        <v>40983</v>
      </c>
      <c r="S1371" s="65" t="s">
        <v>11</v>
      </c>
      <c r="T1371" s="70" t="s">
        <v>3871</v>
      </c>
      <c r="U1371" s="65" t="s">
        <v>29</v>
      </c>
      <c r="V1371" s="65" t="s">
        <v>1914</v>
      </c>
      <c r="W1371" s="65" t="s">
        <v>1922</v>
      </c>
      <c r="X1371" s="65" t="s">
        <v>2829</v>
      </c>
      <c r="Y1371" s="65" t="s">
        <v>2951</v>
      </c>
      <c r="Z1371" s="65" t="s">
        <v>129</v>
      </c>
      <c r="AA1371" s="65" t="s">
        <v>2829</v>
      </c>
    </row>
    <row r="1372" spans="1:27" ht="17.45" hidden="1" customHeight="1">
      <c r="A1372" s="100">
        <f>IF(priority(Main[[#This Row],[Comments]])&lt;&gt;0, priority(Main[[#This Row],[Comments]]),"")</f>
        <v>5</v>
      </c>
      <c r="B1372" s="77" t="s">
        <v>2144</v>
      </c>
      <c r="C1372" s="65" t="s">
        <v>2024</v>
      </c>
      <c r="D1372" s="66" t="s">
        <v>2145</v>
      </c>
      <c r="E1372" s="67"/>
      <c r="F1372" s="67">
        <v>40771</v>
      </c>
      <c r="G1372" s="64">
        <f>IF(stdProdLT(Main[[#This Row],[Comments]])=0.1,"N/A",IF(stdProdLT(Main[[#This Row],[Comments]])=0,"",stdProdLT(Main[[#This Row],[Comments]])))</f>
        <v>154</v>
      </c>
      <c r="H1372" s="68">
        <f>IF(AND(Main[[#This Row],[In Stock Date]]&lt;&gt;"",Main[[#This Row],[Revised Due Date]]&lt;&gt;""),Main[[#This Row],[In Stock Date]]-Main[[#This Row],[Revised Due Date]],"")</f>
        <v>-44</v>
      </c>
      <c r="I1372" s="65" t="s">
        <v>941</v>
      </c>
      <c r="J1372" s="65" t="s">
        <v>28</v>
      </c>
      <c r="K1372" s="65" t="s">
        <v>1927</v>
      </c>
      <c r="L1372" s="67">
        <v>40772</v>
      </c>
      <c r="M1372" s="69">
        <f>IF(Main[[#This Row],[Tech Start Date]]&lt;1/1/1990,"",IF(Main[[#This Row],[Class]]="C",WORKDAY(Main[[#This Row],[Tech Start Date]],9),IF(Main[[#This Row],[Class]]="B", WORKDAY(Main[[#This Row],[Tech Start Date]],6),IF(Main[[#This Row],[Class]]="A",WORKDAY(Main[[#This Row],[Tech Start Date]],2),""))))</f>
        <v>40785</v>
      </c>
      <c r="N1372" s="69">
        <f>IF(Main[[#This Row],[Tech Start Date]]&lt;1/1/1990,"",IF(Main[[#This Row],[Class]]="C",WORKDAY(Main[[#This Row],[Tech Start Date]],19),IF(Main[[#This Row],[Class]]="B", WORKDAY(Main[[#This Row],[Tech Start Date]],12),IF(Main[[#This Row],[Class]]="A",WORKDAY(Main[[#This Row],[Tech Start Date]],4),""))))</f>
        <v>40799</v>
      </c>
      <c r="O1372" s="69">
        <f>IF(Main[[#This Row],[Tech Start Date]]&lt;1/1/1990,"",IF(Main[[#This Row],[Class]]="C",WORKDAY(Main[[#This Row],[Tech Start Date]],23),IF(Main[[#This Row],[Class]]="B", WORKDAY(Main[[#This Row],[Tech Start Date]],15),IF(Main[[#This Row],[Class]]="A",WORKDAY(Main[[#This Row],[Tech Start Date]],5),""))))</f>
        <v>40805</v>
      </c>
      <c r="P1372" s="69">
        <f>IF(Main[[#This Row],[Tech Start Date]]&lt;1/1/1990,"",IF(Main[[#This Row],[Class]]="C",WORKDAY(Main[[#This Row],[Tech Start Date]],28),IF(Main[[#This Row],[Class]]="B", WORKDAY(Main[[#This Row],[Tech Start Date]],19),IF(Main[[#This Row],[Class]]="A",WORKDAY(Main[[#This Row],[Tech Start Date]],9),""))))</f>
        <v>40812</v>
      </c>
      <c r="Q1372" s="67">
        <v>40771</v>
      </c>
      <c r="R1372" s="67">
        <v>40815</v>
      </c>
      <c r="S1372" s="65" t="s">
        <v>11</v>
      </c>
      <c r="T1372" s="70" t="s">
        <v>2146</v>
      </c>
      <c r="U1372" s="65" t="s">
        <v>14</v>
      </c>
      <c r="V1372" s="65" t="s">
        <v>1915</v>
      </c>
      <c r="W1372" s="65" t="s">
        <v>1922</v>
      </c>
      <c r="X1372" s="65" t="s">
        <v>2816</v>
      </c>
      <c r="Y1372" s="65" t="s">
        <v>4</v>
      </c>
      <c r="Z1372" s="65" t="s">
        <v>2053</v>
      </c>
      <c r="AA1372" s="65" t="s">
        <v>2816</v>
      </c>
    </row>
    <row r="1373" spans="1:27" ht="17.45" hidden="1" customHeight="1">
      <c r="A1373" s="100" t="str">
        <f>IF(priority(Main[[#This Row],[Comments]])&lt;&gt;0, priority(Main[[#This Row],[Comments]]),"")</f>
        <v/>
      </c>
      <c r="B1373" s="77" t="s">
        <v>2142</v>
      </c>
      <c r="C1373" s="65" t="s">
        <v>4</v>
      </c>
      <c r="D1373" s="66" t="s">
        <v>2795</v>
      </c>
      <c r="E1373" s="67">
        <v>40772.344918981478</v>
      </c>
      <c r="F1373" s="67"/>
      <c r="G1373" s="64" t="str">
        <f>IF(stdProdLT(Main[[#This Row],[Comments]])=0.1,"N/A",IF(stdProdLT(Main[[#This Row],[Comments]])=0,"",stdProdLT(Main[[#This Row],[Comments]])))</f>
        <v/>
      </c>
      <c r="H1373" s="68" t="str">
        <f>IF(AND(Main[[#This Row],[In Stock Date]]&lt;&gt;"",Main[[#This Row],[Revised Due Date]]&lt;&gt;""),Main[[#This Row],[In Stock Date]]-Main[[#This Row],[Revised Due Date]],"")</f>
        <v/>
      </c>
      <c r="I1373" s="65" t="s">
        <v>877</v>
      </c>
      <c r="J1373" s="65" t="s">
        <v>28</v>
      </c>
      <c r="K1373" s="65" t="s">
        <v>1921</v>
      </c>
      <c r="L1373" s="67">
        <v>40772</v>
      </c>
      <c r="M1373" s="69">
        <f>IF(Main[[#This Row],[Tech Start Date]]&lt;1/1/1990,"",IF(Main[[#This Row],[Class]]="C",WORKDAY(Main[[#This Row],[Tech Start Date]],9),IF(Main[[#This Row],[Class]]="B", WORKDAY(Main[[#This Row],[Tech Start Date]],6),IF(Main[[#This Row],[Class]]="A",WORKDAY(Main[[#This Row],[Tech Start Date]],2),""))))</f>
        <v>40780</v>
      </c>
      <c r="N1373" s="69">
        <f>IF(Main[[#This Row],[Tech Start Date]]&lt;1/1/1990,"",IF(Main[[#This Row],[Class]]="C",WORKDAY(Main[[#This Row],[Tech Start Date]],19),IF(Main[[#This Row],[Class]]="B", WORKDAY(Main[[#This Row],[Tech Start Date]],12),IF(Main[[#This Row],[Class]]="A",WORKDAY(Main[[#This Row],[Tech Start Date]],4),""))))</f>
        <v>40788</v>
      </c>
      <c r="O1373" s="69">
        <f>IF(Main[[#This Row],[Tech Start Date]]&lt;1/1/1990,"",IF(Main[[#This Row],[Class]]="C",WORKDAY(Main[[#This Row],[Tech Start Date]],23),IF(Main[[#This Row],[Class]]="B", WORKDAY(Main[[#This Row],[Tech Start Date]],15),IF(Main[[#This Row],[Class]]="A",WORKDAY(Main[[#This Row],[Tech Start Date]],5),""))))</f>
        <v>40793</v>
      </c>
      <c r="P1373" s="69">
        <f>IF(Main[[#This Row],[Tech Start Date]]&lt;1/1/1990,"",IF(Main[[#This Row],[Class]]="C",WORKDAY(Main[[#This Row],[Tech Start Date]],28),IF(Main[[#This Row],[Class]]="B", WORKDAY(Main[[#This Row],[Tech Start Date]],19),IF(Main[[#This Row],[Class]]="A",WORKDAY(Main[[#This Row],[Tech Start Date]],9),""))))</f>
        <v>40799</v>
      </c>
      <c r="Q1373" s="67">
        <v>40779</v>
      </c>
      <c r="R1373" s="67">
        <v>40907</v>
      </c>
      <c r="S1373" s="65" t="s">
        <v>6</v>
      </c>
      <c r="T1373" s="70" t="s">
        <v>4</v>
      </c>
      <c r="U1373" s="65" t="s">
        <v>29</v>
      </c>
      <c r="V1373" s="65" t="s">
        <v>1914</v>
      </c>
      <c r="W1373" s="65" t="s">
        <v>1922</v>
      </c>
      <c r="X1373" s="65" t="s">
        <v>877</v>
      </c>
      <c r="Y1373" s="65" t="s">
        <v>4</v>
      </c>
      <c r="Z1373" s="65" t="s">
        <v>129</v>
      </c>
      <c r="AA1373" s="65" t="s">
        <v>3476</v>
      </c>
    </row>
    <row r="1374" spans="1:27" ht="17.45" hidden="1" customHeight="1">
      <c r="A1374" s="100" t="str">
        <f>IF(priority(Main[[#This Row],[Comments]])&lt;&gt;0, priority(Main[[#This Row],[Comments]]),"")</f>
        <v/>
      </c>
      <c r="B1374" s="77" t="s">
        <v>2143</v>
      </c>
      <c r="C1374" s="65" t="s">
        <v>4</v>
      </c>
      <c r="D1374" s="66" t="s">
        <v>2613</v>
      </c>
      <c r="E1374" s="67">
        <v>40772.447592592594</v>
      </c>
      <c r="F1374" s="67"/>
      <c r="G1374" s="64" t="str">
        <f>IF(stdProdLT(Main[[#This Row],[Comments]])=0.1,"N/A",IF(stdProdLT(Main[[#This Row],[Comments]])=0,"",stdProdLT(Main[[#This Row],[Comments]])))</f>
        <v/>
      </c>
      <c r="H1374" s="68" t="str">
        <f>IF(AND(Main[[#This Row],[In Stock Date]]&lt;&gt;"",Main[[#This Row],[Revised Due Date]]&lt;&gt;""),Main[[#This Row],[In Stock Date]]-Main[[#This Row],[Revised Due Date]],"")</f>
        <v/>
      </c>
      <c r="I1374" s="65" t="s">
        <v>877</v>
      </c>
      <c r="J1374" s="65" t="s">
        <v>28</v>
      </c>
      <c r="K1374" s="65" t="s">
        <v>1927</v>
      </c>
      <c r="L1374" s="67">
        <v>40772</v>
      </c>
      <c r="M1374" s="69">
        <f>IF(Main[[#This Row],[Tech Start Date]]&lt;1/1/1990,"",IF(Main[[#This Row],[Class]]="C",WORKDAY(Main[[#This Row],[Tech Start Date]],9),IF(Main[[#This Row],[Class]]="B", WORKDAY(Main[[#This Row],[Tech Start Date]],6),IF(Main[[#This Row],[Class]]="A",WORKDAY(Main[[#This Row],[Tech Start Date]],2),""))))</f>
        <v>40785</v>
      </c>
      <c r="N1374" s="69">
        <f>IF(Main[[#This Row],[Tech Start Date]]&lt;1/1/1990,"",IF(Main[[#This Row],[Class]]="C",WORKDAY(Main[[#This Row],[Tech Start Date]],19),IF(Main[[#This Row],[Class]]="B", WORKDAY(Main[[#This Row],[Tech Start Date]],12),IF(Main[[#This Row],[Class]]="A",WORKDAY(Main[[#This Row],[Tech Start Date]],4),""))))</f>
        <v>40799</v>
      </c>
      <c r="O1374" s="69">
        <f>IF(Main[[#This Row],[Tech Start Date]]&lt;1/1/1990,"",IF(Main[[#This Row],[Class]]="C",WORKDAY(Main[[#This Row],[Tech Start Date]],23),IF(Main[[#This Row],[Class]]="B", WORKDAY(Main[[#This Row],[Tech Start Date]],15),IF(Main[[#This Row],[Class]]="A",WORKDAY(Main[[#This Row],[Tech Start Date]],5),""))))</f>
        <v>40805</v>
      </c>
      <c r="P1374" s="69">
        <f>IF(Main[[#This Row],[Tech Start Date]]&lt;1/1/1990,"",IF(Main[[#This Row],[Class]]="C",WORKDAY(Main[[#This Row],[Tech Start Date]],28),IF(Main[[#This Row],[Class]]="B", WORKDAY(Main[[#This Row],[Tech Start Date]],19),IF(Main[[#This Row],[Class]]="A",WORKDAY(Main[[#This Row],[Tech Start Date]],9),""))))</f>
        <v>40812</v>
      </c>
      <c r="Q1374" s="67">
        <v>40786</v>
      </c>
      <c r="R1374" s="67">
        <v>40907</v>
      </c>
      <c r="S1374" s="65" t="s">
        <v>17</v>
      </c>
      <c r="T1374" s="70" t="s">
        <v>2321</v>
      </c>
      <c r="U1374" s="65" t="s">
        <v>29</v>
      </c>
      <c r="V1374" s="65" t="s">
        <v>1914</v>
      </c>
      <c r="W1374" s="65" t="s">
        <v>1916</v>
      </c>
      <c r="X1374" s="65" t="s">
        <v>877</v>
      </c>
      <c r="Y1374" s="65" t="s">
        <v>3009</v>
      </c>
      <c r="Z1374" s="65" t="s">
        <v>129</v>
      </c>
      <c r="AA1374" s="65" t="s">
        <v>877</v>
      </c>
    </row>
    <row r="1375" spans="1:27" ht="17.45" hidden="1" customHeight="1">
      <c r="A1375" s="100" t="str">
        <f>IF(priority(Main[[#This Row],[Comments]])&lt;&gt;0, priority(Main[[#This Row],[Comments]]),"")</f>
        <v/>
      </c>
      <c r="B1375" s="77" t="s">
        <v>2147</v>
      </c>
      <c r="C1375" s="65" t="s">
        <v>53</v>
      </c>
      <c r="D1375" s="66" t="s">
        <v>2148</v>
      </c>
      <c r="E1375" s="67">
        <v>40774.327164351853</v>
      </c>
      <c r="F1375" s="67">
        <v>40786</v>
      </c>
      <c r="G1375" s="64" t="str">
        <f>IF(stdProdLT(Main[[#This Row],[Comments]])=0.1,"N/A",IF(stdProdLT(Main[[#This Row],[Comments]])=0,"",stdProdLT(Main[[#This Row],[Comments]])))</f>
        <v/>
      </c>
      <c r="H1375" s="68">
        <f>IF(AND(Main[[#This Row],[In Stock Date]]&lt;&gt;"",Main[[#This Row],[Revised Due Date]]&lt;&gt;""),Main[[#This Row],[In Stock Date]]-Main[[#This Row],[Revised Due Date]],"")</f>
        <v>-6</v>
      </c>
      <c r="I1375" s="65" t="s">
        <v>2053</v>
      </c>
      <c r="J1375" s="65" t="s">
        <v>52</v>
      </c>
      <c r="K1375" s="65" t="s">
        <v>1923</v>
      </c>
      <c r="L1375" s="67">
        <v>40777</v>
      </c>
      <c r="M1375" s="69">
        <f>IF(Main[[#This Row],[Tech Start Date]]&lt;1/1/1990,"",IF(Main[[#This Row],[Class]]="C",WORKDAY(Main[[#This Row],[Tech Start Date]],9),IF(Main[[#This Row],[Class]]="B", WORKDAY(Main[[#This Row],[Tech Start Date]],6),IF(Main[[#This Row],[Class]]="A",WORKDAY(Main[[#This Row],[Tech Start Date]],2),""))))</f>
        <v>40779</v>
      </c>
      <c r="N1375" s="69">
        <f>IF(Main[[#This Row],[Tech Start Date]]&lt;1/1/1990,"",IF(Main[[#This Row],[Class]]="C",WORKDAY(Main[[#This Row],[Tech Start Date]],19),IF(Main[[#This Row],[Class]]="B", WORKDAY(Main[[#This Row],[Tech Start Date]],12),IF(Main[[#This Row],[Class]]="A",WORKDAY(Main[[#This Row],[Tech Start Date]],4),""))))</f>
        <v>40781</v>
      </c>
      <c r="O1375" s="69">
        <f>IF(Main[[#This Row],[Tech Start Date]]&lt;1/1/1990,"",IF(Main[[#This Row],[Class]]="C",WORKDAY(Main[[#This Row],[Tech Start Date]],23),IF(Main[[#This Row],[Class]]="B", WORKDAY(Main[[#This Row],[Tech Start Date]],15),IF(Main[[#This Row],[Class]]="A",WORKDAY(Main[[#This Row],[Tech Start Date]],5),""))))</f>
        <v>40784</v>
      </c>
      <c r="P1375" s="69">
        <f>IF(Main[[#This Row],[Tech Start Date]]&lt;1/1/1990,"",IF(Main[[#This Row],[Class]]="C",WORKDAY(Main[[#This Row],[Tech Start Date]],28),IF(Main[[#This Row],[Class]]="B", WORKDAY(Main[[#This Row],[Tech Start Date]],19),IF(Main[[#This Row],[Class]]="A",WORKDAY(Main[[#This Row],[Tech Start Date]],9),""))))</f>
        <v>40788</v>
      </c>
      <c r="Q1375" s="67"/>
      <c r="R1375" s="67">
        <v>40792</v>
      </c>
      <c r="S1375" s="65" t="s">
        <v>6</v>
      </c>
      <c r="T1375" s="70" t="s">
        <v>4</v>
      </c>
      <c r="U1375" s="65" t="s">
        <v>29</v>
      </c>
      <c r="V1375" s="65" t="s">
        <v>1915</v>
      </c>
      <c r="W1375" s="65" t="s">
        <v>1916</v>
      </c>
      <c r="X1375" s="65" t="s">
        <v>2816</v>
      </c>
      <c r="Y1375" s="65" t="s">
        <v>2993</v>
      </c>
      <c r="Z1375" s="65" t="s">
        <v>2053</v>
      </c>
      <c r="AA1375" s="65" t="s">
        <v>2816</v>
      </c>
    </row>
    <row r="1376" spans="1:27" ht="17.45" hidden="1" customHeight="1">
      <c r="A1376" s="100" t="str">
        <f>IF(priority(Main[[#This Row],[Comments]])&lt;&gt;0, priority(Main[[#This Row],[Comments]]),"")</f>
        <v/>
      </c>
      <c r="B1376" s="77" t="s">
        <v>2149</v>
      </c>
      <c r="C1376" s="65" t="s">
        <v>2150</v>
      </c>
      <c r="D1376" s="66" t="s">
        <v>2151</v>
      </c>
      <c r="E1376" s="67">
        <v>40778.69290509259</v>
      </c>
      <c r="F1376" s="67"/>
      <c r="G1376" s="64" t="str">
        <f>IF(stdProdLT(Main[[#This Row],[Comments]])=0.1,"N/A",IF(stdProdLT(Main[[#This Row],[Comments]])=0,"",stdProdLT(Main[[#This Row],[Comments]])))</f>
        <v/>
      </c>
      <c r="H1376" s="68" t="str">
        <f>IF(AND(Main[[#This Row],[In Stock Date]]&lt;&gt;"",Main[[#This Row],[Revised Due Date]]&lt;&gt;""),Main[[#This Row],[In Stock Date]]-Main[[#This Row],[Revised Due Date]],"")</f>
        <v/>
      </c>
      <c r="I1376" s="65" t="s">
        <v>941</v>
      </c>
      <c r="J1376" s="65" t="s">
        <v>28</v>
      </c>
      <c r="K1376" s="65" t="s">
        <v>1921</v>
      </c>
      <c r="L1376" s="67">
        <v>40778</v>
      </c>
      <c r="M1376" s="69">
        <f>IF(Main[[#This Row],[Tech Start Date]]&lt;1/1/1990,"",IF(Main[[#This Row],[Class]]="C",WORKDAY(Main[[#This Row],[Tech Start Date]],9),IF(Main[[#This Row],[Class]]="B", WORKDAY(Main[[#This Row],[Tech Start Date]],6),IF(Main[[#This Row],[Class]]="A",WORKDAY(Main[[#This Row],[Tech Start Date]],2),""))))</f>
        <v>40786</v>
      </c>
      <c r="N1376" s="69">
        <f>IF(Main[[#This Row],[Tech Start Date]]&lt;1/1/1990,"",IF(Main[[#This Row],[Class]]="C",WORKDAY(Main[[#This Row],[Tech Start Date]],19),IF(Main[[#This Row],[Class]]="B", WORKDAY(Main[[#This Row],[Tech Start Date]],12),IF(Main[[#This Row],[Class]]="A",WORKDAY(Main[[#This Row],[Tech Start Date]],4),""))))</f>
        <v>40794</v>
      </c>
      <c r="O1376" s="69">
        <f>IF(Main[[#This Row],[Tech Start Date]]&lt;1/1/1990,"",IF(Main[[#This Row],[Class]]="C",WORKDAY(Main[[#This Row],[Tech Start Date]],23),IF(Main[[#This Row],[Class]]="B", WORKDAY(Main[[#This Row],[Tech Start Date]],15),IF(Main[[#This Row],[Class]]="A",WORKDAY(Main[[#This Row],[Tech Start Date]],5),""))))</f>
        <v>40799</v>
      </c>
      <c r="P1376" s="69">
        <f>IF(Main[[#This Row],[Tech Start Date]]&lt;1/1/1990,"",IF(Main[[#This Row],[Class]]="C",WORKDAY(Main[[#This Row],[Tech Start Date]],28),IF(Main[[#This Row],[Class]]="B", WORKDAY(Main[[#This Row],[Tech Start Date]],19),IF(Main[[#This Row],[Class]]="A",WORKDAY(Main[[#This Row],[Tech Start Date]],9),""))))</f>
        <v>40805</v>
      </c>
      <c r="Q1376" s="67"/>
      <c r="R1376" s="67">
        <v>40807</v>
      </c>
      <c r="S1376" s="65" t="s">
        <v>6</v>
      </c>
      <c r="T1376" s="70" t="s">
        <v>4</v>
      </c>
      <c r="U1376" s="65" t="s">
        <v>29</v>
      </c>
      <c r="V1376" s="65" t="s">
        <v>1915</v>
      </c>
      <c r="W1376" s="65" t="s">
        <v>1918</v>
      </c>
      <c r="X1376" s="65" t="s">
        <v>2053</v>
      </c>
      <c r="Y1376" s="65" t="s">
        <v>3153</v>
      </c>
      <c r="Z1376" s="65" t="s">
        <v>2053</v>
      </c>
      <c r="AA1376" s="65" t="s">
        <v>2053</v>
      </c>
    </row>
    <row r="1377" spans="1:27" ht="17.45" customHeight="1">
      <c r="A1377" s="100">
        <f>IF(priority(Main[[#This Row],[Comments]])&lt;&gt;0, priority(Main[[#This Row],[Comments]]),"")</f>
        <v>21</v>
      </c>
      <c r="B1377" s="77" t="s">
        <v>3854</v>
      </c>
      <c r="C1377" s="65" t="s">
        <v>3855</v>
      </c>
      <c r="D1377" s="66" t="s">
        <v>3856</v>
      </c>
      <c r="E1377" s="67">
        <v>40953.697708333333</v>
      </c>
      <c r="F1377" s="67">
        <v>41154</v>
      </c>
      <c r="G1377" s="64">
        <f>IF(stdProdLT(Main[[#This Row],[Comments]])=0.1,"N/A",IF(stdProdLT(Main[[#This Row],[Comments]])=0,"",stdProdLT(Main[[#This Row],[Comments]])))</f>
        <v>126</v>
      </c>
      <c r="H1377" s="68">
        <f>IF(AND(Main[[#This Row],[In Stock Date]]&lt;&gt;"",Main[[#This Row],[Revised Due Date]]&lt;&gt;""),Main[[#This Row],[In Stock Date]]-Main[[#This Row],[Revised Due Date]],"")</f>
        <v>165</v>
      </c>
      <c r="I1377" s="65" t="s">
        <v>561</v>
      </c>
      <c r="J1377" s="65" t="s">
        <v>28</v>
      </c>
      <c r="K1377" s="65" t="s">
        <v>1921</v>
      </c>
      <c r="L1377" s="67">
        <v>40954</v>
      </c>
      <c r="M1377" s="69">
        <f>IF(Main[[#This Row],[Tech Start Date]]&lt;1/1/1990,"",IF(Main[[#This Row],[Class]]="C",WORKDAY(Main[[#This Row],[Tech Start Date]],9),IF(Main[[#This Row],[Class]]="B", WORKDAY(Main[[#This Row],[Tech Start Date]],6),IF(Main[[#This Row],[Class]]="A",WORKDAY(Main[[#This Row],[Tech Start Date]],2),""))))</f>
        <v>40962</v>
      </c>
      <c r="N1377" s="69">
        <f>IF(Main[[#This Row],[Tech Start Date]]&lt;1/1/1990,"",IF(Main[[#This Row],[Class]]="C",WORKDAY(Main[[#This Row],[Tech Start Date]],19),IF(Main[[#This Row],[Class]]="B", WORKDAY(Main[[#This Row],[Tech Start Date]],12),IF(Main[[#This Row],[Class]]="A",WORKDAY(Main[[#This Row],[Tech Start Date]],4),""))))</f>
        <v>40970</v>
      </c>
      <c r="O1377" s="69">
        <f>IF(Main[[#This Row],[Tech Start Date]]&lt;1/1/1990,"",IF(Main[[#This Row],[Class]]="C",WORKDAY(Main[[#This Row],[Tech Start Date]],23),IF(Main[[#This Row],[Class]]="B", WORKDAY(Main[[#This Row],[Tech Start Date]],15),IF(Main[[#This Row],[Class]]="A",WORKDAY(Main[[#This Row],[Tech Start Date]],5),""))))</f>
        <v>40975</v>
      </c>
      <c r="P1377" s="69">
        <f>IF(Main[[#This Row],[Tech Start Date]]&lt;1/1/1990,"",IF(Main[[#This Row],[Class]]="C",WORKDAY(Main[[#This Row],[Tech Start Date]],28),IF(Main[[#This Row],[Class]]="B", WORKDAY(Main[[#This Row],[Tech Start Date]],19),IF(Main[[#This Row],[Class]]="A",WORKDAY(Main[[#This Row],[Tech Start Date]],9),""))))</f>
        <v>40981</v>
      </c>
      <c r="Q1377" s="67"/>
      <c r="R1377" s="67">
        <v>40989</v>
      </c>
      <c r="S1377" s="65" t="s">
        <v>11</v>
      </c>
      <c r="T1377" s="70" t="s">
        <v>3857</v>
      </c>
      <c r="U1377" s="65" t="s">
        <v>29</v>
      </c>
      <c r="V1377" s="65" t="s">
        <v>1914</v>
      </c>
      <c r="W1377" s="65" t="s">
        <v>1920</v>
      </c>
      <c r="X1377" s="65" t="s">
        <v>2852</v>
      </c>
      <c r="Y1377" s="65" t="s">
        <v>2990</v>
      </c>
      <c r="Z1377" s="65" t="s">
        <v>129</v>
      </c>
      <c r="AA1377" s="65" t="s">
        <v>2852</v>
      </c>
    </row>
    <row r="1378" spans="1:27" ht="17.45" hidden="1" customHeight="1">
      <c r="A1378" s="100" t="str">
        <f>IF(priority(Main[[#This Row],[Comments]])&lt;&gt;0, priority(Main[[#This Row],[Comments]]),"")</f>
        <v/>
      </c>
      <c r="B1378" s="77" t="s">
        <v>2153</v>
      </c>
      <c r="C1378" s="65" t="s">
        <v>2150</v>
      </c>
      <c r="D1378" s="66" t="s">
        <v>2154</v>
      </c>
      <c r="E1378" s="67">
        <v>40778.690706018519</v>
      </c>
      <c r="F1378" s="67"/>
      <c r="G1378" s="64" t="str">
        <f>IF(stdProdLT(Main[[#This Row],[Comments]])=0.1,"N/A",IF(stdProdLT(Main[[#This Row],[Comments]])=0,"",stdProdLT(Main[[#This Row],[Comments]])))</f>
        <v/>
      </c>
      <c r="H1378" s="68" t="str">
        <f>IF(AND(Main[[#This Row],[In Stock Date]]&lt;&gt;"",Main[[#This Row],[Revised Due Date]]&lt;&gt;""),Main[[#This Row],[In Stock Date]]-Main[[#This Row],[Revised Due Date]],"")</f>
        <v/>
      </c>
      <c r="I1378" s="65" t="s">
        <v>941</v>
      </c>
      <c r="J1378" s="65" t="s">
        <v>28</v>
      </c>
      <c r="K1378" s="71" t="s">
        <v>1923</v>
      </c>
      <c r="L1378" s="67">
        <v>40778</v>
      </c>
      <c r="M1378" s="69">
        <f>IF(Main[[#This Row],[Tech Start Date]]&lt;1/1/1990,"",IF(Main[[#This Row],[Class]]="C",WORKDAY(Main[[#This Row],[Tech Start Date]],9),IF(Main[[#This Row],[Class]]="B", WORKDAY(Main[[#This Row],[Tech Start Date]],6),IF(Main[[#This Row],[Class]]="A",WORKDAY(Main[[#This Row],[Tech Start Date]],2),""))))</f>
        <v>40780</v>
      </c>
      <c r="N1378" s="69">
        <f>IF(Main[[#This Row],[Tech Start Date]]&lt;1/1/1990,"",IF(Main[[#This Row],[Class]]="C",WORKDAY(Main[[#This Row],[Tech Start Date]],19),IF(Main[[#This Row],[Class]]="B", WORKDAY(Main[[#This Row],[Tech Start Date]],12),IF(Main[[#This Row],[Class]]="A",WORKDAY(Main[[#This Row],[Tech Start Date]],4),""))))</f>
        <v>40784</v>
      </c>
      <c r="O1378" s="69">
        <f>IF(Main[[#This Row],[Tech Start Date]]&lt;1/1/1990,"",IF(Main[[#This Row],[Class]]="C",WORKDAY(Main[[#This Row],[Tech Start Date]],23),IF(Main[[#This Row],[Class]]="B", WORKDAY(Main[[#This Row],[Tech Start Date]],15),IF(Main[[#This Row],[Class]]="A",WORKDAY(Main[[#This Row],[Tech Start Date]],5),""))))</f>
        <v>40785</v>
      </c>
      <c r="P1378" s="69">
        <f>IF(Main[[#This Row],[Tech Start Date]]&lt;1/1/1990,"",IF(Main[[#This Row],[Class]]="C",WORKDAY(Main[[#This Row],[Tech Start Date]],28),IF(Main[[#This Row],[Class]]="B", WORKDAY(Main[[#This Row],[Tech Start Date]],19),IF(Main[[#This Row],[Class]]="A",WORKDAY(Main[[#This Row],[Tech Start Date]],9),""))))</f>
        <v>40791</v>
      </c>
      <c r="Q1378" s="67"/>
      <c r="R1378" s="67">
        <v>40807</v>
      </c>
      <c r="S1378" s="65" t="s">
        <v>6</v>
      </c>
      <c r="T1378" s="70" t="s">
        <v>4</v>
      </c>
      <c r="U1378" s="65" t="s">
        <v>29</v>
      </c>
      <c r="V1378" s="65" t="s">
        <v>1915</v>
      </c>
      <c r="W1378" s="65" t="s">
        <v>1916</v>
      </c>
      <c r="X1378" s="65" t="s">
        <v>2053</v>
      </c>
      <c r="Y1378" s="65" t="s">
        <v>3153</v>
      </c>
      <c r="Z1378" s="65" t="s">
        <v>2053</v>
      </c>
      <c r="AA1378" s="65" t="s">
        <v>2053</v>
      </c>
    </row>
    <row r="1379" spans="1:27" ht="17.45" hidden="1" customHeight="1">
      <c r="A1379" s="12" t="str">
        <f>IF(priority(Main[[#This Row],[Comments]])&lt;&gt;0, priority(Main[[#This Row],[Comments]]),"")</f>
        <v/>
      </c>
      <c r="B1379" s="77" t="s">
        <v>2209</v>
      </c>
      <c r="C1379" s="63" t="s">
        <v>2210</v>
      </c>
      <c r="D1379" s="72" t="s">
        <v>2797</v>
      </c>
      <c r="E1379" s="73"/>
      <c r="F1379" s="73">
        <v>40940</v>
      </c>
      <c r="G1379" s="63">
        <f>IF(stdProdLT(Main[[#This Row],[Comments]])=0.1,"N/A",IF(stdProdLT(Main[[#This Row],[Comments]])=0,"",stdProdLT(Main[[#This Row],[Comments]])))</f>
        <v>112</v>
      </c>
      <c r="H1379" s="74" t="str">
        <f>IF(AND(Main[[#This Row],[In Stock Date]]&lt;&gt;"",Main[[#This Row],[Revised Due Date]]&lt;&gt;""),Main[[#This Row],[In Stock Date]]-Main[[#This Row],[Revised Due Date]],"")</f>
        <v/>
      </c>
      <c r="I1379" s="63" t="s">
        <v>937</v>
      </c>
      <c r="J1379" s="63" t="s">
        <v>28</v>
      </c>
      <c r="K1379" s="63" t="s">
        <v>1921</v>
      </c>
      <c r="L1379" s="73">
        <v>40792</v>
      </c>
      <c r="M1379" s="69">
        <f>IF(Main[[#This Row],[Tech Start Date]]&lt;1/1/1990,"",IF(Main[[#This Row],[Class]]="C",WORKDAY(Main[[#This Row],[Tech Start Date]],9),IF(Main[[#This Row],[Class]]="B", WORKDAY(Main[[#This Row],[Tech Start Date]],6),IF(Main[[#This Row],[Class]]="A",WORKDAY(Main[[#This Row],[Tech Start Date]],2),""))))</f>
        <v>40800</v>
      </c>
      <c r="N1379" s="69">
        <f>IF(Main[[#This Row],[Tech Start Date]]&lt;1/1/1990,"",IF(Main[[#This Row],[Class]]="C",WORKDAY(Main[[#This Row],[Tech Start Date]],19),IF(Main[[#This Row],[Class]]="B", WORKDAY(Main[[#This Row],[Tech Start Date]],12),IF(Main[[#This Row],[Class]]="A",WORKDAY(Main[[#This Row],[Tech Start Date]],4),""))))</f>
        <v>40808</v>
      </c>
      <c r="O1379" s="69">
        <f>IF(Main[[#This Row],[Tech Start Date]]&lt;1/1/1990,"",IF(Main[[#This Row],[Class]]="C",WORKDAY(Main[[#This Row],[Tech Start Date]],23),IF(Main[[#This Row],[Class]]="B", WORKDAY(Main[[#This Row],[Tech Start Date]],15),IF(Main[[#This Row],[Class]]="A",WORKDAY(Main[[#This Row],[Tech Start Date]],5),""))))</f>
        <v>40813</v>
      </c>
      <c r="P1379" s="69">
        <f>IF(Main[[#This Row],[Tech Start Date]]&lt;1/1/1990,"",IF(Main[[#This Row],[Class]]="C",WORKDAY(Main[[#This Row],[Tech Start Date]],28),IF(Main[[#This Row],[Class]]="B", WORKDAY(Main[[#This Row],[Tech Start Date]],19),IF(Main[[#This Row],[Class]]="A",WORKDAY(Main[[#This Row],[Tech Start Date]],9),""))))</f>
        <v>40819</v>
      </c>
      <c r="Q1379" s="73">
        <v>40792</v>
      </c>
      <c r="R1379" s="73"/>
      <c r="S1379" s="63" t="s">
        <v>11</v>
      </c>
      <c r="T1379" s="75" t="s">
        <v>3311</v>
      </c>
      <c r="U1379" s="63" t="s">
        <v>14</v>
      </c>
      <c r="V1379" s="63" t="s">
        <v>1914</v>
      </c>
      <c r="W1379" s="63" t="s">
        <v>1919</v>
      </c>
      <c r="X1379" s="63" t="s">
        <v>2832</v>
      </c>
      <c r="Y1379" s="63" t="s">
        <v>2983</v>
      </c>
      <c r="Z1379" s="63" t="s">
        <v>129</v>
      </c>
      <c r="AA1379" s="65" t="s">
        <v>2849</v>
      </c>
    </row>
    <row r="1380" spans="1:27" ht="17.45" hidden="1" customHeight="1">
      <c r="A1380" s="12" t="str">
        <f>IF(priority(Main[[#This Row],[Comments]])&lt;&gt;0, priority(Main[[#This Row],[Comments]]),"")</f>
        <v/>
      </c>
      <c r="B1380" s="77" t="s">
        <v>2201</v>
      </c>
      <c r="C1380" s="63" t="s">
        <v>116</v>
      </c>
      <c r="D1380" s="72" t="s">
        <v>2202</v>
      </c>
      <c r="E1380" s="73">
        <v>40787.614270833335</v>
      </c>
      <c r="F1380" s="73"/>
      <c r="G1380" s="63" t="str">
        <f>IF(stdProdLT(Main[[#This Row],[Comments]])=0.1,"N/A",IF(stdProdLT(Main[[#This Row],[Comments]])=0,"",stdProdLT(Main[[#This Row],[Comments]])))</f>
        <v/>
      </c>
      <c r="H1380" s="74" t="str">
        <f>IF(AND(Main[[#This Row],[In Stock Date]]&lt;&gt;"",Main[[#This Row],[Revised Due Date]]&lt;&gt;""),Main[[#This Row],[In Stock Date]]-Main[[#This Row],[Revised Due Date]],"")</f>
        <v/>
      </c>
      <c r="I1380" s="63" t="s">
        <v>2249</v>
      </c>
      <c r="J1380" s="63" t="s">
        <v>28</v>
      </c>
      <c r="K1380" s="63" t="s">
        <v>1927</v>
      </c>
      <c r="L1380" s="73">
        <v>40798</v>
      </c>
      <c r="M1380" s="69">
        <f>IF(Main[[#This Row],[Tech Start Date]]&lt;1/1/1990,"",IF(Main[[#This Row],[Class]]="C",WORKDAY(Main[[#This Row],[Tech Start Date]],9),IF(Main[[#This Row],[Class]]="B", WORKDAY(Main[[#This Row],[Tech Start Date]],6),IF(Main[[#This Row],[Class]]="A",WORKDAY(Main[[#This Row],[Tech Start Date]],2),""))))</f>
        <v>40809</v>
      </c>
      <c r="N1380" s="69">
        <f>IF(Main[[#This Row],[Tech Start Date]]&lt;1/1/1990,"",IF(Main[[#This Row],[Class]]="C",WORKDAY(Main[[#This Row],[Tech Start Date]],19),IF(Main[[#This Row],[Class]]="B", WORKDAY(Main[[#This Row],[Tech Start Date]],12),IF(Main[[#This Row],[Class]]="A",WORKDAY(Main[[#This Row],[Tech Start Date]],4),""))))</f>
        <v>40823</v>
      </c>
      <c r="O1380" s="69">
        <f>IF(Main[[#This Row],[Tech Start Date]]&lt;1/1/1990,"",IF(Main[[#This Row],[Class]]="C",WORKDAY(Main[[#This Row],[Tech Start Date]],23),IF(Main[[#This Row],[Class]]="B", WORKDAY(Main[[#This Row],[Tech Start Date]],15),IF(Main[[#This Row],[Class]]="A",WORKDAY(Main[[#This Row],[Tech Start Date]],5),""))))</f>
        <v>40829</v>
      </c>
      <c r="P1380" s="69">
        <f>IF(Main[[#This Row],[Tech Start Date]]&lt;1/1/1990,"",IF(Main[[#This Row],[Class]]="C",WORKDAY(Main[[#This Row],[Tech Start Date]],28),IF(Main[[#This Row],[Class]]="B", WORKDAY(Main[[#This Row],[Tech Start Date]],19),IF(Main[[#This Row],[Class]]="A",WORKDAY(Main[[#This Row],[Tech Start Date]],9),""))))</f>
        <v>40836</v>
      </c>
      <c r="Q1380" s="73">
        <v>40914</v>
      </c>
      <c r="R1380" s="73">
        <v>40841</v>
      </c>
      <c r="S1380" s="63" t="s">
        <v>6</v>
      </c>
      <c r="T1380" s="75" t="s">
        <v>4</v>
      </c>
      <c r="U1380" s="63" t="s">
        <v>29</v>
      </c>
      <c r="V1380" s="63" t="s">
        <v>1915</v>
      </c>
      <c r="W1380" s="63" t="s">
        <v>1916</v>
      </c>
      <c r="X1380" s="63" t="s">
        <v>2053</v>
      </c>
      <c r="Y1380" s="63" t="s">
        <v>3153</v>
      </c>
      <c r="Z1380" s="63" t="s">
        <v>2053</v>
      </c>
      <c r="AA1380" s="65" t="s">
        <v>2053</v>
      </c>
    </row>
    <row r="1381" spans="1:27" ht="17.45" hidden="1" customHeight="1">
      <c r="A1381" s="12" t="str">
        <f>IF(priority(Main[[#This Row],[Comments]])&lt;&gt;0, priority(Main[[#This Row],[Comments]]),"")</f>
        <v/>
      </c>
      <c r="B1381" s="77" t="s">
        <v>2178</v>
      </c>
      <c r="C1381" s="63" t="s">
        <v>4</v>
      </c>
      <c r="D1381" s="72" t="s">
        <v>2179</v>
      </c>
      <c r="E1381" s="73">
        <v>40787.619050925925</v>
      </c>
      <c r="F1381" s="73"/>
      <c r="G1381" s="63" t="str">
        <f>IF(stdProdLT(Main[[#This Row],[Comments]])=0.1,"N/A",IF(stdProdLT(Main[[#This Row],[Comments]])=0,"",stdProdLT(Main[[#This Row],[Comments]])))</f>
        <v/>
      </c>
      <c r="H1381" s="74" t="str">
        <f>IF(AND(Main[[#This Row],[In Stock Date]]&lt;&gt;"",Main[[#This Row],[Revised Due Date]]&lt;&gt;""),Main[[#This Row],[In Stock Date]]-Main[[#This Row],[Revised Due Date]],"")</f>
        <v/>
      </c>
      <c r="I1381" s="63" t="s">
        <v>940</v>
      </c>
      <c r="J1381" s="63" t="s">
        <v>28</v>
      </c>
      <c r="K1381" s="63" t="s">
        <v>1927</v>
      </c>
      <c r="L1381" s="73">
        <v>40798</v>
      </c>
      <c r="M1381" s="69">
        <f>IF(Main[[#This Row],[Tech Start Date]]&lt;1/1/1990,"",IF(Main[[#This Row],[Class]]="C",WORKDAY(Main[[#This Row],[Tech Start Date]],9),IF(Main[[#This Row],[Class]]="B", WORKDAY(Main[[#This Row],[Tech Start Date]],6),IF(Main[[#This Row],[Class]]="A",WORKDAY(Main[[#This Row],[Tech Start Date]],2),""))))</f>
        <v>40809</v>
      </c>
      <c r="N1381" s="69">
        <f>IF(Main[[#This Row],[Tech Start Date]]&lt;1/1/1990,"",IF(Main[[#This Row],[Class]]="C",WORKDAY(Main[[#This Row],[Tech Start Date]],19),IF(Main[[#This Row],[Class]]="B", WORKDAY(Main[[#This Row],[Tech Start Date]],12),IF(Main[[#This Row],[Class]]="A",WORKDAY(Main[[#This Row],[Tech Start Date]],4),""))))</f>
        <v>40823</v>
      </c>
      <c r="O1381" s="69">
        <f>IF(Main[[#This Row],[Tech Start Date]]&lt;1/1/1990,"",IF(Main[[#This Row],[Class]]="C",WORKDAY(Main[[#This Row],[Tech Start Date]],23),IF(Main[[#This Row],[Class]]="B", WORKDAY(Main[[#This Row],[Tech Start Date]],15),IF(Main[[#This Row],[Class]]="A",WORKDAY(Main[[#This Row],[Tech Start Date]],5),""))))</f>
        <v>40829</v>
      </c>
      <c r="P1381" s="69">
        <f>IF(Main[[#This Row],[Tech Start Date]]&lt;1/1/1990,"",IF(Main[[#This Row],[Class]]="C",WORKDAY(Main[[#This Row],[Tech Start Date]],28),IF(Main[[#This Row],[Class]]="B", WORKDAY(Main[[#This Row],[Tech Start Date]],19),IF(Main[[#This Row],[Class]]="A",WORKDAY(Main[[#This Row],[Tech Start Date]],9),""))))</f>
        <v>40836</v>
      </c>
      <c r="Q1381" s="73">
        <v>40914</v>
      </c>
      <c r="R1381" s="73">
        <v>40841</v>
      </c>
      <c r="S1381" s="63" t="s">
        <v>6</v>
      </c>
      <c r="T1381" s="75" t="s">
        <v>4</v>
      </c>
      <c r="U1381" s="63" t="s">
        <v>29</v>
      </c>
      <c r="V1381" s="63" t="s">
        <v>1915</v>
      </c>
      <c r="W1381" s="63" t="s">
        <v>1916</v>
      </c>
      <c r="X1381" s="63" t="s">
        <v>2053</v>
      </c>
      <c r="Y1381" s="63" t="s">
        <v>3153</v>
      </c>
      <c r="Z1381" s="63" t="s">
        <v>2053</v>
      </c>
      <c r="AA1381" s="65" t="s">
        <v>2053</v>
      </c>
    </row>
    <row r="1382" spans="1:27" ht="17.45" hidden="1" customHeight="1">
      <c r="A1382" s="12" t="str">
        <f>IF(priority(Main[[#This Row],[Comments]])&lt;&gt;0, priority(Main[[#This Row],[Comments]]),"")</f>
        <v/>
      </c>
      <c r="B1382" s="77" t="s">
        <v>2229</v>
      </c>
      <c r="C1382" s="63" t="s">
        <v>2230</v>
      </c>
      <c r="D1382" s="72" t="s">
        <v>2231</v>
      </c>
      <c r="E1382" s="73"/>
      <c r="F1382" s="73">
        <v>40814</v>
      </c>
      <c r="G1382" s="63">
        <f>IF(stdProdLT(Main[[#This Row],[Comments]])=0.1,"N/A",IF(stdProdLT(Main[[#This Row],[Comments]])=0,"",stdProdLT(Main[[#This Row],[Comments]])))</f>
        <v>112</v>
      </c>
      <c r="H1382" s="74">
        <f>IF(AND(Main[[#This Row],[In Stock Date]]&lt;&gt;"",Main[[#This Row],[Revised Due Date]]&lt;&gt;""),Main[[#This Row],[In Stock Date]]-Main[[#This Row],[Revised Due Date]],"")</f>
        <v>-6</v>
      </c>
      <c r="I1382" s="63" t="s">
        <v>2044</v>
      </c>
      <c r="J1382" s="63" t="s">
        <v>28</v>
      </c>
      <c r="K1382" s="63" t="s">
        <v>1923</v>
      </c>
      <c r="L1382" s="73">
        <v>40805</v>
      </c>
      <c r="M1382" s="69">
        <f>IF(Main[[#This Row],[Tech Start Date]]&lt;1/1/1990,"",IF(Main[[#This Row],[Class]]="C",WORKDAY(Main[[#This Row],[Tech Start Date]],9),IF(Main[[#This Row],[Class]]="B", WORKDAY(Main[[#This Row],[Tech Start Date]],6),IF(Main[[#This Row],[Class]]="A",WORKDAY(Main[[#This Row],[Tech Start Date]],2),""))))</f>
        <v>40807</v>
      </c>
      <c r="N1382" s="69">
        <f>IF(Main[[#This Row],[Tech Start Date]]&lt;1/1/1990,"",IF(Main[[#This Row],[Class]]="C",WORKDAY(Main[[#This Row],[Tech Start Date]],19),IF(Main[[#This Row],[Class]]="B", WORKDAY(Main[[#This Row],[Tech Start Date]],12),IF(Main[[#This Row],[Class]]="A",WORKDAY(Main[[#This Row],[Tech Start Date]],4),""))))</f>
        <v>40809</v>
      </c>
      <c r="O1382" s="69">
        <f>IF(Main[[#This Row],[Tech Start Date]]&lt;1/1/1990,"",IF(Main[[#This Row],[Class]]="C",WORKDAY(Main[[#This Row],[Tech Start Date]],23),IF(Main[[#This Row],[Class]]="B", WORKDAY(Main[[#This Row],[Tech Start Date]],15),IF(Main[[#This Row],[Class]]="A",WORKDAY(Main[[#This Row],[Tech Start Date]],5),""))))</f>
        <v>40812</v>
      </c>
      <c r="P1382" s="69">
        <f>IF(Main[[#This Row],[Tech Start Date]]&lt;1/1/1990,"",IF(Main[[#This Row],[Class]]="C",WORKDAY(Main[[#This Row],[Tech Start Date]],28),IF(Main[[#This Row],[Class]]="B", WORKDAY(Main[[#This Row],[Tech Start Date]],19),IF(Main[[#This Row],[Class]]="A",WORKDAY(Main[[#This Row],[Tech Start Date]],9),""))))</f>
        <v>40816</v>
      </c>
      <c r="Q1382" s="73">
        <v>40819</v>
      </c>
      <c r="R1382" s="73">
        <v>40820</v>
      </c>
      <c r="S1382" s="63" t="s">
        <v>11</v>
      </c>
      <c r="T1382" s="75" t="s">
        <v>2263</v>
      </c>
      <c r="U1382" s="63" t="s">
        <v>14</v>
      </c>
      <c r="V1382" s="63" t="s">
        <v>1917</v>
      </c>
      <c r="W1382" s="63" t="s">
        <v>1922</v>
      </c>
      <c r="X1382" s="63" t="s">
        <v>2922</v>
      </c>
      <c r="Y1382" s="63" t="s">
        <v>4</v>
      </c>
      <c r="Z1382" s="63" t="s">
        <v>2044</v>
      </c>
      <c r="AA1382" s="65" t="s">
        <v>2922</v>
      </c>
    </row>
    <row r="1383" spans="1:27" ht="17.45" hidden="1" customHeight="1">
      <c r="A1383" s="12" t="str">
        <f>IF(priority(Main[[#This Row],[Comments]])&lt;&gt;0, priority(Main[[#This Row],[Comments]]),"")</f>
        <v/>
      </c>
      <c r="B1383" s="77" t="s">
        <v>2096</v>
      </c>
      <c r="C1383" s="63" t="s">
        <v>4</v>
      </c>
      <c r="D1383" s="72" t="s">
        <v>2798</v>
      </c>
      <c r="E1383" s="73">
        <v>40760.556030092594</v>
      </c>
      <c r="F1383" s="73"/>
      <c r="G1383" s="63" t="str">
        <f>IF(stdProdLT(Main[[#This Row],[Comments]])=0.1,"N/A",IF(stdProdLT(Main[[#This Row],[Comments]])=0,"",stdProdLT(Main[[#This Row],[Comments]])))</f>
        <v/>
      </c>
      <c r="H1383" s="74" t="str">
        <f>IF(AND(Main[[#This Row],[In Stock Date]]&lt;&gt;"",Main[[#This Row],[Revised Due Date]]&lt;&gt;""),Main[[#This Row],[In Stock Date]]-Main[[#This Row],[Revised Due Date]],"")</f>
        <v/>
      </c>
      <c r="I1383" s="63" t="s">
        <v>889</v>
      </c>
      <c r="J1383" s="63" t="s">
        <v>4</v>
      </c>
      <c r="K1383" s="63" t="s">
        <v>1926</v>
      </c>
      <c r="L1383" s="73">
        <v>40805</v>
      </c>
      <c r="M1383" s="69" t="str">
        <f>IF(Main[[#This Row],[Tech Start Date]]&lt;1/1/1990,"",IF(Main[[#This Row],[Class]]="C",WORKDAY(Main[[#This Row],[Tech Start Date]],9),IF(Main[[#This Row],[Class]]="B", WORKDAY(Main[[#This Row],[Tech Start Date]],6),IF(Main[[#This Row],[Class]]="A",WORKDAY(Main[[#This Row],[Tech Start Date]],2),""))))</f>
        <v/>
      </c>
      <c r="N1383" s="69" t="str">
        <f>IF(Main[[#This Row],[Tech Start Date]]&lt;1/1/1990,"",IF(Main[[#This Row],[Class]]="C",WORKDAY(Main[[#This Row],[Tech Start Date]],19),IF(Main[[#This Row],[Class]]="B", WORKDAY(Main[[#This Row],[Tech Start Date]],12),IF(Main[[#This Row],[Class]]="A",WORKDAY(Main[[#This Row],[Tech Start Date]],4),""))))</f>
        <v/>
      </c>
      <c r="O1383" s="69" t="str">
        <f>IF(Main[[#This Row],[Tech Start Date]]&lt;1/1/1990,"",IF(Main[[#This Row],[Class]]="C",WORKDAY(Main[[#This Row],[Tech Start Date]],23),IF(Main[[#This Row],[Class]]="B", WORKDAY(Main[[#This Row],[Tech Start Date]],15),IF(Main[[#This Row],[Class]]="A",WORKDAY(Main[[#This Row],[Tech Start Date]],5),""))))</f>
        <v/>
      </c>
      <c r="P1383" s="69" t="str">
        <f>IF(Main[[#This Row],[Tech Start Date]]&lt;1/1/1990,"",IF(Main[[#This Row],[Class]]="C",WORKDAY(Main[[#This Row],[Tech Start Date]],28),IF(Main[[#This Row],[Class]]="B", WORKDAY(Main[[#This Row],[Tech Start Date]],19),IF(Main[[#This Row],[Class]]="A",WORKDAY(Main[[#This Row],[Tech Start Date]],9),""))))</f>
        <v/>
      </c>
      <c r="Q1383" s="73"/>
      <c r="R1383" s="73">
        <v>41075</v>
      </c>
      <c r="S1383" s="63" t="s">
        <v>6</v>
      </c>
      <c r="T1383" s="75" t="s">
        <v>4</v>
      </c>
      <c r="U1383" s="63" t="s">
        <v>29</v>
      </c>
      <c r="V1383" s="63" t="s">
        <v>1914</v>
      </c>
      <c r="W1383" s="63" t="s">
        <v>1918</v>
      </c>
      <c r="X1383" s="63" t="s">
        <v>306</v>
      </c>
      <c r="Y1383" s="63" t="s">
        <v>4</v>
      </c>
      <c r="Z1383" s="63" t="s">
        <v>877</v>
      </c>
      <c r="AA1383" s="65" t="s">
        <v>4</v>
      </c>
    </row>
    <row r="1384" spans="1:27" ht="17.45" customHeight="1">
      <c r="A1384" s="100">
        <f>IF(priority(Main[[#This Row],[Comments]])&lt;&gt;0, priority(Main[[#This Row],[Comments]]),"")</f>
        <v>22</v>
      </c>
      <c r="B1384" s="77" t="s">
        <v>3859</v>
      </c>
      <c r="C1384" s="65" t="s">
        <v>3855</v>
      </c>
      <c r="D1384" s="66" t="s">
        <v>3860</v>
      </c>
      <c r="E1384" s="67">
        <v>40953.687349537038</v>
      </c>
      <c r="F1384" s="67">
        <v>41154</v>
      </c>
      <c r="G1384" s="64">
        <f>IF(stdProdLT(Main[[#This Row],[Comments]])=0.1,"N/A",IF(stdProdLT(Main[[#This Row],[Comments]])=0,"",stdProdLT(Main[[#This Row],[Comments]])))</f>
        <v>126</v>
      </c>
      <c r="H1384" s="68">
        <f>IF(AND(Main[[#This Row],[In Stock Date]]&lt;&gt;"",Main[[#This Row],[Revised Due Date]]&lt;&gt;""),Main[[#This Row],[In Stock Date]]-Main[[#This Row],[Revised Due Date]],"")</f>
        <v>165</v>
      </c>
      <c r="I1384" s="65" t="s">
        <v>912</v>
      </c>
      <c r="J1384" s="65" t="s">
        <v>52</v>
      </c>
      <c r="K1384" s="65" t="s">
        <v>1921</v>
      </c>
      <c r="L1384" s="67">
        <v>40954</v>
      </c>
      <c r="M1384" s="69">
        <f>IF(Main[[#This Row],[Tech Start Date]]&lt;1/1/1990,"",IF(Main[[#This Row],[Class]]="C",WORKDAY(Main[[#This Row],[Tech Start Date]],9),IF(Main[[#This Row],[Class]]="B", WORKDAY(Main[[#This Row],[Tech Start Date]],6),IF(Main[[#This Row],[Class]]="A",WORKDAY(Main[[#This Row],[Tech Start Date]],2),""))))</f>
        <v>40962</v>
      </c>
      <c r="N1384" s="69">
        <f>IF(Main[[#This Row],[Tech Start Date]]&lt;1/1/1990,"",IF(Main[[#This Row],[Class]]="C",WORKDAY(Main[[#This Row],[Tech Start Date]],19),IF(Main[[#This Row],[Class]]="B", WORKDAY(Main[[#This Row],[Tech Start Date]],12),IF(Main[[#This Row],[Class]]="A",WORKDAY(Main[[#This Row],[Tech Start Date]],4),""))))</f>
        <v>40970</v>
      </c>
      <c r="O1384" s="69">
        <f>IF(Main[[#This Row],[Tech Start Date]]&lt;1/1/1990,"",IF(Main[[#This Row],[Class]]="C",WORKDAY(Main[[#This Row],[Tech Start Date]],23),IF(Main[[#This Row],[Class]]="B", WORKDAY(Main[[#This Row],[Tech Start Date]],15),IF(Main[[#This Row],[Class]]="A",WORKDAY(Main[[#This Row],[Tech Start Date]],5),""))))</f>
        <v>40975</v>
      </c>
      <c r="P1384" s="69">
        <f>IF(Main[[#This Row],[Tech Start Date]]&lt;1/1/1990,"",IF(Main[[#This Row],[Class]]="C",WORKDAY(Main[[#This Row],[Tech Start Date]],28),IF(Main[[#This Row],[Class]]="B", WORKDAY(Main[[#This Row],[Tech Start Date]],19),IF(Main[[#This Row],[Class]]="A",WORKDAY(Main[[#This Row],[Tech Start Date]],9),""))))</f>
        <v>40981</v>
      </c>
      <c r="Q1384" s="67"/>
      <c r="R1384" s="67">
        <v>40989</v>
      </c>
      <c r="S1384" s="65" t="s">
        <v>11</v>
      </c>
      <c r="T1384" s="70" t="s">
        <v>3861</v>
      </c>
      <c r="U1384" s="65" t="s">
        <v>29</v>
      </c>
      <c r="V1384" s="65" t="s">
        <v>1914</v>
      </c>
      <c r="W1384" s="65" t="s">
        <v>1920</v>
      </c>
      <c r="X1384" s="65" t="s">
        <v>2852</v>
      </c>
      <c r="Y1384" s="65" t="s">
        <v>2990</v>
      </c>
      <c r="Z1384" s="65" t="s">
        <v>129</v>
      </c>
      <c r="AA1384" s="65" t="s">
        <v>2852</v>
      </c>
    </row>
    <row r="1385" spans="1:27" ht="17.45" hidden="1" customHeight="1">
      <c r="A1385" s="100" t="str">
        <f>IF(priority(Main[[#This Row],[Comments]])&lt;&gt;0, priority(Main[[#This Row],[Comments]]),"")</f>
        <v/>
      </c>
      <c r="B1385" s="77" t="s">
        <v>2614</v>
      </c>
      <c r="C1385" s="65" t="s">
        <v>518</v>
      </c>
      <c r="D1385" s="66" t="s">
        <v>2615</v>
      </c>
      <c r="E1385" s="67"/>
      <c r="F1385" s="67">
        <v>40854</v>
      </c>
      <c r="G1385" s="64">
        <f>IF(stdProdLT(Main[[#This Row],[Comments]])=0.1,"N/A",IF(stdProdLT(Main[[#This Row],[Comments]])=0,"",stdProdLT(Main[[#This Row],[Comments]])))</f>
        <v>98</v>
      </c>
      <c r="H1385" s="68">
        <f>IF(AND(Main[[#This Row],[In Stock Date]]&lt;&gt;"",Main[[#This Row],[Revised Due Date]]&lt;&gt;""),Main[[#This Row],[In Stock Date]]-Main[[#This Row],[Revised Due Date]],"")</f>
        <v>18</v>
      </c>
      <c r="I1385" s="65" t="s">
        <v>2044</v>
      </c>
      <c r="J1385" s="65" t="s">
        <v>28</v>
      </c>
      <c r="K1385" s="65" t="s">
        <v>1923</v>
      </c>
      <c r="L1385" s="67">
        <v>40821</v>
      </c>
      <c r="M1385" s="69">
        <f>IF(Main[[#This Row],[Tech Start Date]]&lt;1/1/1990,"",IF(Main[[#This Row],[Class]]="C",WORKDAY(Main[[#This Row],[Tech Start Date]],9),IF(Main[[#This Row],[Class]]="B", WORKDAY(Main[[#This Row],[Tech Start Date]],6),IF(Main[[#This Row],[Class]]="A",WORKDAY(Main[[#This Row],[Tech Start Date]],2),""))))</f>
        <v>40823</v>
      </c>
      <c r="N1385" s="69">
        <f>IF(Main[[#This Row],[Tech Start Date]]&lt;1/1/1990,"",IF(Main[[#This Row],[Class]]="C",WORKDAY(Main[[#This Row],[Tech Start Date]],19),IF(Main[[#This Row],[Class]]="B", WORKDAY(Main[[#This Row],[Tech Start Date]],12),IF(Main[[#This Row],[Class]]="A",WORKDAY(Main[[#This Row],[Tech Start Date]],4),""))))</f>
        <v>40827</v>
      </c>
      <c r="O1385" s="69">
        <f>IF(Main[[#This Row],[Tech Start Date]]&lt;1/1/1990,"",IF(Main[[#This Row],[Class]]="C",WORKDAY(Main[[#This Row],[Tech Start Date]],23),IF(Main[[#This Row],[Class]]="B", WORKDAY(Main[[#This Row],[Tech Start Date]],15),IF(Main[[#This Row],[Class]]="A",WORKDAY(Main[[#This Row],[Tech Start Date]],5),""))))</f>
        <v>40828</v>
      </c>
      <c r="P1385" s="69">
        <f>IF(Main[[#This Row],[Tech Start Date]]&lt;1/1/1990,"",IF(Main[[#This Row],[Class]]="C",WORKDAY(Main[[#This Row],[Tech Start Date]],28),IF(Main[[#This Row],[Class]]="B", WORKDAY(Main[[#This Row],[Tech Start Date]],19),IF(Main[[#This Row],[Class]]="A",WORKDAY(Main[[#This Row],[Tech Start Date]],9),""))))</f>
        <v>40834</v>
      </c>
      <c r="Q1385" s="67"/>
      <c r="R1385" s="67">
        <v>40836</v>
      </c>
      <c r="S1385" s="65" t="s">
        <v>11</v>
      </c>
      <c r="T1385" s="70" t="s">
        <v>2616</v>
      </c>
      <c r="U1385" s="65" t="s">
        <v>14</v>
      </c>
      <c r="V1385" s="65" t="s">
        <v>1917</v>
      </c>
      <c r="W1385" s="65" t="s">
        <v>1922</v>
      </c>
      <c r="X1385" s="65" t="s">
        <v>50</v>
      </c>
      <c r="Y1385" s="65" t="s">
        <v>3155</v>
      </c>
      <c r="Z1385" s="65" t="s">
        <v>530</v>
      </c>
      <c r="AA1385" s="65" t="s">
        <v>3477</v>
      </c>
    </row>
    <row r="1386" spans="1:27" ht="17.45" hidden="1" customHeight="1">
      <c r="A1386" s="100" t="str">
        <f>IF(priority(Main[[#This Row],[Comments]])&lt;&gt;0, priority(Main[[#This Row],[Comments]]),"")</f>
        <v/>
      </c>
      <c r="B1386" s="77" t="s">
        <v>2617</v>
      </c>
      <c r="C1386" s="65" t="s">
        <v>116</v>
      </c>
      <c r="D1386" s="66" t="s">
        <v>2618</v>
      </c>
      <c r="E1386" s="67">
        <v>40823.419490740744</v>
      </c>
      <c r="F1386" s="67"/>
      <c r="G1386" s="64" t="str">
        <f>IF(stdProdLT(Main[[#This Row],[Comments]])=0.1,"N/A",IF(stdProdLT(Main[[#This Row],[Comments]])=0,"",stdProdLT(Main[[#This Row],[Comments]])))</f>
        <v/>
      </c>
      <c r="H1386" s="68" t="str">
        <f>IF(AND(Main[[#This Row],[In Stock Date]]&lt;&gt;"",Main[[#This Row],[Revised Due Date]]&lt;&gt;""),Main[[#This Row],[In Stock Date]]-Main[[#This Row],[Revised Due Date]],"")</f>
        <v/>
      </c>
      <c r="I1386" s="65" t="s">
        <v>239</v>
      </c>
      <c r="J1386" s="65" t="s">
        <v>21</v>
      </c>
      <c r="K1386" s="71" t="s">
        <v>1921</v>
      </c>
      <c r="L1386" s="67">
        <v>40823</v>
      </c>
      <c r="M1386" s="69">
        <f>IF(Main[[#This Row],[Tech Start Date]]&lt;1/1/1990,"",IF(Main[[#This Row],[Class]]="C",WORKDAY(Main[[#This Row],[Tech Start Date]],9),IF(Main[[#This Row],[Class]]="B", WORKDAY(Main[[#This Row],[Tech Start Date]],6),IF(Main[[#This Row],[Class]]="A",WORKDAY(Main[[#This Row],[Tech Start Date]],2),""))))</f>
        <v>40833</v>
      </c>
      <c r="N1386" s="69">
        <f>IF(Main[[#This Row],[Tech Start Date]]&lt;1/1/1990,"",IF(Main[[#This Row],[Class]]="C",WORKDAY(Main[[#This Row],[Tech Start Date]],19),IF(Main[[#This Row],[Class]]="B", WORKDAY(Main[[#This Row],[Tech Start Date]],12),IF(Main[[#This Row],[Class]]="A",WORKDAY(Main[[#This Row],[Tech Start Date]],4),""))))</f>
        <v>40841</v>
      </c>
      <c r="O1386" s="69">
        <f>IF(Main[[#This Row],[Tech Start Date]]&lt;1/1/1990,"",IF(Main[[#This Row],[Class]]="C",WORKDAY(Main[[#This Row],[Tech Start Date]],23),IF(Main[[#This Row],[Class]]="B", WORKDAY(Main[[#This Row],[Tech Start Date]],15),IF(Main[[#This Row],[Class]]="A",WORKDAY(Main[[#This Row],[Tech Start Date]],5),""))))</f>
        <v>40844</v>
      </c>
      <c r="P1386" s="69">
        <f>IF(Main[[#This Row],[Tech Start Date]]&lt;1/1/1990,"",IF(Main[[#This Row],[Class]]="C",WORKDAY(Main[[#This Row],[Tech Start Date]],28),IF(Main[[#This Row],[Class]]="B", WORKDAY(Main[[#This Row],[Tech Start Date]],19),IF(Main[[#This Row],[Class]]="A",WORKDAY(Main[[#This Row],[Tech Start Date]],9),""))))</f>
        <v>40850</v>
      </c>
      <c r="Q1386" s="67"/>
      <c r="R1386" s="67">
        <v>40837</v>
      </c>
      <c r="S1386" s="65" t="s">
        <v>6</v>
      </c>
      <c r="T1386" s="70" t="s">
        <v>4</v>
      </c>
      <c r="U1386" s="65" t="s">
        <v>29</v>
      </c>
      <c r="V1386" s="65" t="s">
        <v>1917</v>
      </c>
      <c r="W1386" s="65" t="s">
        <v>1918</v>
      </c>
      <c r="X1386" s="65" t="s">
        <v>2044</v>
      </c>
      <c r="Y1386" s="65" t="s">
        <v>3156</v>
      </c>
      <c r="Z1386" s="65" t="s">
        <v>530</v>
      </c>
      <c r="AA1386" s="65" t="s">
        <v>2044</v>
      </c>
    </row>
    <row r="1387" spans="1:27" ht="17.45" customHeight="1">
      <c r="A1387" s="100">
        <f>IF(priority(Main[[#This Row],[Comments]])&lt;&gt;0, priority(Main[[#This Row],[Comments]]),"")</f>
        <v>23</v>
      </c>
      <c r="B1387" s="77" t="s">
        <v>3205</v>
      </c>
      <c r="C1387" s="65" t="s">
        <v>3206</v>
      </c>
      <c r="D1387" s="66" t="s">
        <v>3369</v>
      </c>
      <c r="E1387" s="67">
        <v>40920.494050925925</v>
      </c>
      <c r="F1387" s="67">
        <v>41197</v>
      </c>
      <c r="G1387" s="64">
        <f>IF(stdProdLT(Main[[#This Row],[Comments]])=0.1,"N/A",IF(stdProdLT(Main[[#This Row],[Comments]])=0,"",stdProdLT(Main[[#This Row],[Comments]])))</f>
        <v>126</v>
      </c>
      <c r="H1387" s="68">
        <f>IF(AND(Main[[#This Row],[In Stock Date]]&lt;&gt;"",Main[[#This Row],[Revised Due Date]]&lt;&gt;""),Main[[#This Row],[In Stock Date]]-Main[[#This Row],[Revised Due Date]],"")</f>
        <v>220</v>
      </c>
      <c r="I1387" s="65" t="s">
        <v>912</v>
      </c>
      <c r="J1387" s="65" t="s">
        <v>52</v>
      </c>
      <c r="K1387" s="65" t="s">
        <v>1921</v>
      </c>
      <c r="L1387" s="67">
        <v>40921</v>
      </c>
      <c r="M1387" s="69">
        <f>IF(Main[[#This Row],[Tech Start Date]]&lt;1/1/1990,"",IF(Main[[#This Row],[Class]]="C",WORKDAY(Main[[#This Row],[Tech Start Date]],9),IF(Main[[#This Row],[Class]]="B", WORKDAY(Main[[#This Row],[Tech Start Date]],6),IF(Main[[#This Row],[Class]]="A",WORKDAY(Main[[#This Row],[Tech Start Date]],2),""))))</f>
        <v>40931</v>
      </c>
      <c r="N1387" s="69">
        <f>IF(Main[[#This Row],[Tech Start Date]]&lt;1/1/1990,"",IF(Main[[#This Row],[Class]]="C",WORKDAY(Main[[#This Row],[Tech Start Date]],19),IF(Main[[#This Row],[Class]]="B", WORKDAY(Main[[#This Row],[Tech Start Date]],12),IF(Main[[#This Row],[Class]]="A",WORKDAY(Main[[#This Row],[Tech Start Date]],4),""))))</f>
        <v>40939</v>
      </c>
      <c r="O1387" s="69">
        <f>IF(Main[[#This Row],[Tech Start Date]]&lt;1/1/1990,"",IF(Main[[#This Row],[Class]]="C",WORKDAY(Main[[#This Row],[Tech Start Date]],23),IF(Main[[#This Row],[Class]]="B", WORKDAY(Main[[#This Row],[Tech Start Date]],15),IF(Main[[#This Row],[Class]]="A",WORKDAY(Main[[#This Row],[Tech Start Date]],5),""))))</f>
        <v>40942</v>
      </c>
      <c r="P1387" s="69">
        <f>IF(Main[[#This Row],[Tech Start Date]]&lt;1/1/1990,"",IF(Main[[#This Row],[Class]]="C",WORKDAY(Main[[#This Row],[Tech Start Date]],28),IF(Main[[#This Row],[Class]]="B", WORKDAY(Main[[#This Row],[Tech Start Date]],19),IF(Main[[#This Row],[Class]]="A",WORKDAY(Main[[#This Row],[Tech Start Date]],9),""))))</f>
        <v>40948</v>
      </c>
      <c r="Q1387" s="67">
        <v>41197</v>
      </c>
      <c r="R1387" s="67">
        <v>40977</v>
      </c>
      <c r="S1387" s="65" t="s">
        <v>11</v>
      </c>
      <c r="T1387" s="70" t="s">
        <v>3824</v>
      </c>
      <c r="U1387" s="65" t="s">
        <v>29</v>
      </c>
      <c r="V1387" s="65" t="s">
        <v>1914</v>
      </c>
      <c r="W1387" s="65" t="s">
        <v>1920</v>
      </c>
      <c r="X1387" s="65" t="s">
        <v>2852</v>
      </c>
      <c r="Y1387" s="65" t="s">
        <v>2990</v>
      </c>
      <c r="Z1387" s="65" t="s">
        <v>129</v>
      </c>
      <c r="AA1387" s="65" t="s">
        <v>2852</v>
      </c>
    </row>
    <row r="1388" spans="1:27" ht="17.45" hidden="1" customHeight="1">
      <c r="A1388" s="100">
        <f>IF(priority(Main[[#This Row],[Comments]])&lt;&gt;0, priority(Main[[#This Row],[Comments]]),"")</f>
        <v>1</v>
      </c>
      <c r="B1388" s="77" t="s">
        <v>2619</v>
      </c>
      <c r="C1388" s="65" t="s">
        <v>2620</v>
      </c>
      <c r="D1388" s="66" t="s">
        <v>2799</v>
      </c>
      <c r="E1388" s="67"/>
      <c r="F1388" s="67">
        <v>40855</v>
      </c>
      <c r="G1388" s="64" t="str">
        <f>IF(stdProdLT(Main[[#This Row],[Comments]])=0.1,"N/A",IF(stdProdLT(Main[[#This Row],[Comments]])=0,"",stdProdLT(Main[[#This Row],[Comments]])))</f>
        <v>N/A</v>
      </c>
      <c r="H1388" s="68">
        <f>IF(AND(Main[[#This Row],[In Stock Date]]&lt;&gt;"",Main[[#This Row],[Revised Due Date]]&lt;&gt;""),Main[[#This Row],[In Stock Date]]-Main[[#This Row],[Revised Due Date]],"")</f>
        <v>-84</v>
      </c>
      <c r="I1388" s="65" t="s">
        <v>937</v>
      </c>
      <c r="J1388" s="65" t="s">
        <v>28</v>
      </c>
      <c r="K1388" s="65" t="s">
        <v>1923</v>
      </c>
      <c r="L1388" s="67">
        <v>40834</v>
      </c>
      <c r="M1388" s="69">
        <f>IF(Main[[#This Row],[Tech Start Date]]&lt;1/1/1990,"",IF(Main[[#This Row],[Class]]="C",WORKDAY(Main[[#This Row],[Tech Start Date]],9),IF(Main[[#This Row],[Class]]="B", WORKDAY(Main[[#This Row],[Tech Start Date]],6),IF(Main[[#This Row],[Class]]="A",WORKDAY(Main[[#This Row],[Tech Start Date]],2),""))))</f>
        <v>40836</v>
      </c>
      <c r="N1388" s="69">
        <f>IF(Main[[#This Row],[Tech Start Date]]&lt;1/1/1990,"",IF(Main[[#This Row],[Class]]="C",WORKDAY(Main[[#This Row],[Tech Start Date]],19),IF(Main[[#This Row],[Class]]="B", WORKDAY(Main[[#This Row],[Tech Start Date]],12),IF(Main[[#This Row],[Class]]="A",WORKDAY(Main[[#This Row],[Tech Start Date]],4),""))))</f>
        <v>40840</v>
      </c>
      <c r="O1388" s="69">
        <f>IF(Main[[#This Row],[Tech Start Date]]&lt;1/1/1990,"",IF(Main[[#This Row],[Class]]="C",WORKDAY(Main[[#This Row],[Tech Start Date]],23),IF(Main[[#This Row],[Class]]="B", WORKDAY(Main[[#This Row],[Tech Start Date]],15),IF(Main[[#This Row],[Class]]="A",WORKDAY(Main[[#This Row],[Tech Start Date]],5),""))))</f>
        <v>40841</v>
      </c>
      <c r="P1388" s="69">
        <f>IF(Main[[#This Row],[Tech Start Date]]&lt;1/1/1990,"",IF(Main[[#This Row],[Class]]="C",WORKDAY(Main[[#This Row],[Tech Start Date]],28),IF(Main[[#This Row],[Class]]="B", WORKDAY(Main[[#This Row],[Tech Start Date]],19),IF(Main[[#This Row],[Class]]="A",WORKDAY(Main[[#This Row],[Tech Start Date]],9),""))))</f>
        <v>40847</v>
      </c>
      <c r="Q1388" s="67">
        <v>40855</v>
      </c>
      <c r="R1388" s="67">
        <v>40939</v>
      </c>
      <c r="S1388" s="65" t="s">
        <v>11</v>
      </c>
      <c r="T1388" s="70" t="s">
        <v>2800</v>
      </c>
      <c r="U1388" s="65" t="s">
        <v>14</v>
      </c>
      <c r="V1388" s="65" t="s">
        <v>1914</v>
      </c>
      <c r="W1388" s="65" t="s">
        <v>1916</v>
      </c>
      <c r="X1388" s="65" t="s">
        <v>2831</v>
      </c>
      <c r="Y1388" s="65" t="s">
        <v>2954</v>
      </c>
      <c r="Z1388" s="65" t="s">
        <v>129</v>
      </c>
      <c r="AA1388" s="65" t="s">
        <v>2831</v>
      </c>
    </row>
    <row r="1389" spans="1:27" ht="17.45" hidden="1" customHeight="1">
      <c r="A1389" s="100">
        <f>IF(priority(Main[[#This Row],[Comments]])&lt;&gt;0, priority(Main[[#This Row],[Comments]]),"")</f>
        <v>2</v>
      </c>
      <c r="B1389" s="77" t="s">
        <v>2276</v>
      </c>
      <c r="C1389" s="65" t="s">
        <v>518</v>
      </c>
      <c r="D1389" s="66" t="s">
        <v>2925</v>
      </c>
      <c r="E1389" s="67">
        <v>40812.552488425928</v>
      </c>
      <c r="F1389" s="67">
        <v>41030</v>
      </c>
      <c r="G1389" s="64">
        <f>IF(stdProdLT(Main[[#This Row],[Comments]])=0.1,"N/A",IF(stdProdLT(Main[[#This Row],[Comments]])=0,"",stdProdLT(Main[[#This Row],[Comments]])))</f>
        <v>84</v>
      </c>
      <c r="H1389" s="68">
        <f>IF(AND(Main[[#This Row],[In Stock Date]]&lt;&gt;"",Main[[#This Row],[Revised Due Date]]&lt;&gt;""),Main[[#This Row],[In Stock Date]]-Main[[#This Row],[Revised Due Date]],"")</f>
        <v>74</v>
      </c>
      <c r="I1389" s="65" t="s">
        <v>2624</v>
      </c>
      <c r="J1389" s="65" t="s">
        <v>21</v>
      </c>
      <c r="K1389" s="65" t="s">
        <v>1921</v>
      </c>
      <c r="L1389" s="67">
        <v>40835</v>
      </c>
      <c r="M1389" s="69">
        <f>IF(Main[[#This Row],[Tech Start Date]]&lt;1/1/1990,"",IF(Main[[#This Row],[Class]]="C",WORKDAY(Main[[#This Row],[Tech Start Date]],9),IF(Main[[#This Row],[Class]]="B", WORKDAY(Main[[#This Row],[Tech Start Date]],6),IF(Main[[#This Row],[Class]]="A",WORKDAY(Main[[#This Row],[Tech Start Date]],2),""))))</f>
        <v>40843</v>
      </c>
      <c r="N1389" s="69">
        <f>IF(Main[[#This Row],[Tech Start Date]]&lt;1/1/1990,"",IF(Main[[#This Row],[Class]]="C",WORKDAY(Main[[#This Row],[Tech Start Date]],19),IF(Main[[#This Row],[Class]]="B", WORKDAY(Main[[#This Row],[Tech Start Date]],12),IF(Main[[#This Row],[Class]]="A",WORKDAY(Main[[#This Row],[Tech Start Date]],4),""))))</f>
        <v>40851</v>
      </c>
      <c r="O1389" s="69">
        <f>IF(Main[[#This Row],[Tech Start Date]]&lt;1/1/1990,"",IF(Main[[#This Row],[Class]]="C",WORKDAY(Main[[#This Row],[Tech Start Date]],23),IF(Main[[#This Row],[Class]]="B", WORKDAY(Main[[#This Row],[Tech Start Date]],15),IF(Main[[#This Row],[Class]]="A",WORKDAY(Main[[#This Row],[Tech Start Date]],5),""))))</f>
        <v>40856</v>
      </c>
      <c r="P1389" s="69">
        <f>IF(Main[[#This Row],[Tech Start Date]]&lt;1/1/1990,"",IF(Main[[#This Row],[Class]]="C",WORKDAY(Main[[#This Row],[Tech Start Date]],28),IF(Main[[#This Row],[Class]]="B", WORKDAY(Main[[#This Row],[Tech Start Date]],19),IF(Main[[#This Row],[Class]]="A",WORKDAY(Main[[#This Row],[Tech Start Date]],9),""))))</f>
        <v>40862</v>
      </c>
      <c r="Q1389" s="67">
        <v>40816</v>
      </c>
      <c r="R1389" s="67">
        <v>40956</v>
      </c>
      <c r="S1389" s="65" t="s">
        <v>17</v>
      </c>
      <c r="T1389" s="70" t="s">
        <v>2801</v>
      </c>
      <c r="U1389" s="65" t="s">
        <v>29</v>
      </c>
      <c r="V1389" s="65" t="s">
        <v>1915</v>
      </c>
      <c r="W1389" s="65" t="s">
        <v>1922</v>
      </c>
      <c r="X1389" s="65" t="s">
        <v>2910</v>
      </c>
      <c r="Y1389" s="65" t="s">
        <v>3117</v>
      </c>
      <c r="Z1389" s="65" t="s">
        <v>2053</v>
      </c>
      <c r="AA1389" s="65" t="s">
        <v>3450</v>
      </c>
    </row>
    <row r="1390" spans="1:27" ht="17.45" hidden="1" customHeight="1">
      <c r="A1390" s="100">
        <f>IF(priority(Main[[#This Row],[Comments]])&lt;&gt;0, priority(Main[[#This Row],[Comments]]),"")</f>
        <v>17</v>
      </c>
      <c r="B1390" s="77" t="s">
        <v>1162</v>
      </c>
      <c r="C1390" s="65" t="s">
        <v>1966</v>
      </c>
      <c r="D1390" s="66" t="s">
        <v>217</v>
      </c>
      <c r="E1390" s="67"/>
      <c r="F1390" s="67">
        <v>40724</v>
      </c>
      <c r="G1390" s="64" t="str">
        <f>IF(stdProdLT(Main[[#This Row],[Comments]])=0.1,"N/A",IF(stdProdLT(Main[[#This Row],[Comments]])=0,"",stdProdLT(Main[[#This Row],[Comments]])))</f>
        <v/>
      </c>
      <c r="H1390" s="68">
        <f>IF(AND(Main[[#This Row],[In Stock Date]]&lt;&gt;"",Main[[#This Row],[Revised Due Date]]&lt;&gt;""),Main[[#This Row],[In Stock Date]]-Main[[#This Row],[Revised Due Date]],"")</f>
        <v>-176</v>
      </c>
      <c r="I1390" s="65" t="s">
        <v>942</v>
      </c>
      <c r="J1390" s="65" t="s">
        <v>28</v>
      </c>
      <c r="K1390" s="65" t="s">
        <v>1921</v>
      </c>
      <c r="L1390" s="67">
        <v>40835</v>
      </c>
      <c r="M1390" s="69">
        <f>IF(Main[[#This Row],[Tech Start Date]]&lt;1/1/1990,"",IF(Main[[#This Row],[Class]]="C",WORKDAY(Main[[#This Row],[Tech Start Date]],9),IF(Main[[#This Row],[Class]]="B", WORKDAY(Main[[#This Row],[Tech Start Date]],6),IF(Main[[#This Row],[Class]]="A",WORKDAY(Main[[#This Row],[Tech Start Date]],2),""))))</f>
        <v>40843</v>
      </c>
      <c r="N1390" s="69">
        <f>IF(Main[[#This Row],[Tech Start Date]]&lt;1/1/1990,"",IF(Main[[#This Row],[Class]]="C",WORKDAY(Main[[#This Row],[Tech Start Date]],19),IF(Main[[#This Row],[Class]]="B", WORKDAY(Main[[#This Row],[Tech Start Date]],12),IF(Main[[#This Row],[Class]]="A",WORKDAY(Main[[#This Row],[Tech Start Date]],4),""))))</f>
        <v>40851</v>
      </c>
      <c r="O1390" s="69">
        <f>IF(Main[[#This Row],[Tech Start Date]]&lt;1/1/1990,"",IF(Main[[#This Row],[Class]]="C",WORKDAY(Main[[#This Row],[Tech Start Date]],23),IF(Main[[#This Row],[Class]]="B", WORKDAY(Main[[#This Row],[Tech Start Date]],15),IF(Main[[#This Row],[Class]]="A",WORKDAY(Main[[#This Row],[Tech Start Date]],5),""))))</f>
        <v>40856</v>
      </c>
      <c r="P1390" s="69">
        <f>IF(Main[[#This Row],[Tech Start Date]]&lt;1/1/1990,"",IF(Main[[#This Row],[Class]]="C",WORKDAY(Main[[#This Row],[Tech Start Date]],28),IF(Main[[#This Row],[Class]]="B", WORKDAY(Main[[#This Row],[Tech Start Date]],19),IF(Main[[#This Row],[Class]]="A",WORKDAY(Main[[#This Row],[Tech Start Date]],9),""))))</f>
        <v>40862</v>
      </c>
      <c r="Q1390" s="67">
        <v>40724</v>
      </c>
      <c r="R1390" s="67">
        <v>40900</v>
      </c>
      <c r="S1390" s="65" t="s">
        <v>11</v>
      </c>
      <c r="T1390" s="70" t="s">
        <v>2802</v>
      </c>
      <c r="U1390" s="65" t="s">
        <v>14</v>
      </c>
      <c r="V1390" s="65" t="s">
        <v>1915</v>
      </c>
      <c r="W1390" s="65" t="s">
        <v>1922</v>
      </c>
      <c r="X1390" s="65" t="s">
        <v>2857</v>
      </c>
      <c r="Y1390" s="65" t="s">
        <v>2998</v>
      </c>
      <c r="Z1390" s="65" t="s">
        <v>2053</v>
      </c>
      <c r="AA1390" s="65" t="s">
        <v>2857</v>
      </c>
    </row>
    <row r="1391" spans="1:27" ht="17.45" hidden="1" customHeight="1">
      <c r="A1391" s="100" t="str">
        <f>IF(priority(Main[[#This Row],[Comments]])&lt;&gt;0, priority(Main[[#This Row],[Comments]]),"")</f>
        <v/>
      </c>
      <c r="B1391" s="77" t="s">
        <v>2621</v>
      </c>
      <c r="C1391" s="65" t="s">
        <v>116</v>
      </c>
      <c r="D1391" s="66" t="s">
        <v>2622</v>
      </c>
      <c r="E1391" s="67"/>
      <c r="F1391" s="67"/>
      <c r="G1391" s="64" t="str">
        <f>IF(stdProdLT(Main[[#This Row],[Comments]])=0.1,"N/A",IF(stdProdLT(Main[[#This Row],[Comments]])=0,"",stdProdLT(Main[[#This Row],[Comments]])))</f>
        <v>N/A</v>
      </c>
      <c r="H1391" s="68" t="str">
        <f>IF(AND(Main[[#This Row],[In Stock Date]]&lt;&gt;"",Main[[#This Row],[Revised Due Date]]&lt;&gt;""),Main[[#This Row],[In Stock Date]]-Main[[#This Row],[Revised Due Date]],"")</f>
        <v/>
      </c>
      <c r="I1391" s="65" t="s">
        <v>171</v>
      </c>
      <c r="J1391" s="65" t="s">
        <v>1978</v>
      </c>
      <c r="K1391" s="65" t="s">
        <v>1923</v>
      </c>
      <c r="L1391" s="67">
        <v>40835</v>
      </c>
      <c r="M1391" s="69">
        <f>IF(Main[[#This Row],[Tech Start Date]]&lt;1/1/1990,"",IF(Main[[#This Row],[Class]]="C",WORKDAY(Main[[#This Row],[Tech Start Date]],9),IF(Main[[#This Row],[Class]]="B", WORKDAY(Main[[#This Row],[Tech Start Date]],6),IF(Main[[#This Row],[Class]]="A",WORKDAY(Main[[#This Row],[Tech Start Date]],2),""))))</f>
        <v>40837</v>
      </c>
      <c r="N1391" s="69">
        <f>IF(Main[[#This Row],[Tech Start Date]]&lt;1/1/1990,"",IF(Main[[#This Row],[Class]]="C",WORKDAY(Main[[#This Row],[Tech Start Date]],19),IF(Main[[#This Row],[Class]]="B", WORKDAY(Main[[#This Row],[Tech Start Date]],12),IF(Main[[#This Row],[Class]]="A",WORKDAY(Main[[#This Row],[Tech Start Date]],4),""))))</f>
        <v>40841</v>
      </c>
      <c r="O1391" s="69">
        <f>IF(Main[[#This Row],[Tech Start Date]]&lt;1/1/1990,"",IF(Main[[#This Row],[Class]]="C",WORKDAY(Main[[#This Row],[Tech Start Date]],23),IF(Main[[#This Row],[Class]]="B", WORKDAY(Main[[#This Row],[Tech Start Date]],15),IF(Main[[#This Row],[Class]]="A",WORKDAY(Main[[#This Row],[Tech Start Date]],5),""))))</f>
        <v>40842</v>
      </c>
      <c r="P1391" s="69">
        <f>IF(Main[[#This Row],[Tech Start Date]]&lt;1/1/1990,"",IF(Main[[#This Row],[Class]]="C",WORKDAY(Main[[#This Row],[Tech Start Date]],28),IF(Main[[#This Row],[Class]]="B", WORKDAY(Main[[#This Row],[Tech Start Date]],19),IF(Main[[#This Row],[Class]]="A",WORKDAY(Main[[#This Row],[Tech Start Date]],9),""))))</f>
        <v>40848</v>
      </c>
      <c r="Q1391" s="67">
        <v>40954</v>
      </c>
      <c r="R1391" s="67">
        <v>40850</v>
      </c>
      <c r="S1391" s="65" t="s">
        <v>11</v>
      </c>
      <c r="T1391" s="70" t="s">
        <v>2623</v>
      </c>
      <c r="U1391" s="65" t="s">
        <v>14</v>
      </c>
      <c r="V1391" s="65" t="s">
        <v>1917</v>
      </c>
      <c r="W1391" s="65" t="s">
        <v>1918</v>
      </c>
      <c r="X1391" s="65" t="s">
        <v>553</v>
      </c>
      <c r="Y1391" s="65" t="s">
        <v>2952</v>
      </c>
      <c r="Z1391" s="65" t="s">
        <v>530</v>
      </c>
      <c r="AA1391" s="65" t="s">
        <v>553</v>
      </c>
    </row>
    <row r="1392" spans="1:27" ht="17.45" hidden="1" customHeight="1">
      <c r="A1392" s="100" t="str">
        <f>IF(priority(Main[[#This Row],[Comments]])&lt;&gt;0, priority(Main[[#This Row],[Comments]]),"")</f>
        <v/>
      </c>
      <c r="B1392" s="77" t="s">
        <v>2625</v>
      </c>
      <c r="C1392" s="65" t="s">
        <v>4</v>
      </c>
      <c r="D1392" s="66" t="s">
        <v>3800</v>
      </c>
      <c r="E1392" s="67">
        <v>40848.357997685183</v>
      </c>
      <c r="F1392" s="67"/>
      <c r="G1392" s="64" t="str">
        <f>IF(stdProdLT(Main[[#This Row],[Comments]])=0.1,"N/A",IF(stdProdLT(Main[[#This Row],[Comments]])=0,"",stdProdLT(Main[[#This Row],[Comments]])))</f>
        <v/>
      </c>
      <c r="H1392" s="68" t="str">
        <f>IF(AND(Main[[#This Row],[In Stock Date]]&lt;&gt;"",Main[[#This Row],[Revised Due Date]]&lt;&gt;""),Main[[#This Row],[In Stock Date]]-Main[[#This Row],[Revised Due Date]],"")</f>
        <v/>
      </c>
      <c r="I1392" s="65" t="s">
        <v>2626</v>
      </c>
      <c r="J1392" s="65" t="s">
        <v>28</v>
      </c>
      <c r="K1392" s="71" t="s">
        <v>1926</v>
      </c>
      <c r="L1392" s="67">
        <v>40840</v>
      </c>
      <c r="M1392" s="69" t="str">
        <f>IF(Main[[#This Row],[Tech Start Date]]&lt;1/1/1990,"",IF(Main[[#This Row],[Class]]="C",WORKDAY(Main[[#This Row],[Tech Start Date]],9),IF(Main[[#This Row],[Class]]="B", WORKDAY(Main[[#This Row],[Tech Start Date]],6),IF(Main[[#This Row],[Class]]="A",WORKDAY(Main[[#This Row],[Tech Start Date]],2),""))))</f>
        <v/>
      </c>
      <c r="N1392" s="69" t="str">
        <f>IF(Main[[#This Row],[Tech Start Date]]&lt;1/1/1990,"",IF(Main[[#This Row],[Class]]="C",WORKDAY(Main[[#This Row],[Tech Start Date]],19),IF(Main[[#This Row],[Class]]="B", WORKDAY(Main[[#This Row],[Tech Start Date]],12),IF(Main[[#This Row],[Class]]="A",WORKDAY(Main[[#This Row],[Tech Start Date]],4),""))))</f>
        <v/>
      </c>
      <c r="O1392" s="69" t="str">
        <f>IF(Main[[#This Row],[Tech Start Date]]&lt;1/1/1990,"",IF(Main[[#This Row],[Class]]="C",WORKDAY(Main[[#This Row],[Tech Start Date]],23),IF(Main[[#This Row],[Class]]="B", WORKDAY(Main[[#This Row],[Tech Start Date]],15),IF(Main[[#This Row],[Class]]="A",WORKDAY(Main[[#This Row],[Tech Start Date]],5),""))))</f>
        <v/>
      </c>
      <c r="P1392" s="69" t="str">
        <f>IF(Main[[#This Row],[Tech Start Date]]&lt;1/1/1990,"",IF(Main[[#This Row],[Class]]="C",WORKDAY(Main[[#This Row],[Tech Start Date]],28),IF(Main[[#This Row],[Class]]="B", WORKDAY(Main[[#This Row],[Tech Start Date]],19),IF(Main[[#This Row],[Class]]="A",WORKDAY(Main[[#This Row],[Tech Start Date]],9),""))))</f>
        <v/>
      </c>
      <c r="Q1392" s="67">
        <v>40998</v>
      </c>
      <c r="R1392" s="67">
        <v>40998</v>
      </c>
      <c r="S1392" s="65" t="s">
        <v>17</v>
      </c>
      <c r="T1392" s="70" t="s">
        <v>4</v>
      </c>
      <c r="U1392" s="65" t="s">
        <v>29</v>
      </c>
      <c r="V1392" s="65" t="s">
        <v>1914</v>
      </c>
      <c r="W1392" s="65" t="s">
        <v>1919</v>
      </c>
      <c r="X1392" s="65" t="s">
        <v>877</v>
      </c>
      <c r="Y1392" s="65" t="s">
        <v>3009</v>
      </c>
      <c r="Z1392" s="65" t="s">
        <v>877</v>
      </c>
      <c r="AA1392" s="65" t="s">
        <v>877</v>
      </c>
    </row>
    <row r="1393" spans="1:27" ht="17.45" hidden="1" customHeight="1">
      <c r="A1393" s="100">
        <f>IF(priority(Main[[#This Row],[Comments]])&lt;&gt;0, priority(Main[[#This Row],[Comments]]),"")</f>
        <v>3</v>
      </c>
      <c r="B1393" s="77" t="s">
        <v>1890</v>
      </c>
      <c r="C1393" s="65" t="s">
        <v>945</v>
      </c>
      <c r="D1393" s="66" t="s">
        <v>2630</v>
      </c>
      <c r="E1393" s="67">
        <v>40694.711041666669</v>
      </c>
      <c r="F1393" s="67"/>
      <c r="G1393" s="64" t="str">
        <f>IF(stdProdLT(Main[[#This Row],[Comments]])=0.1,"N/A",IF(stdProdLT(Main[[#This Row],[Comments]])=0,"",stdProdLT(Main[[#This Row],[Comments]])))</f>
        <v/>
      </c>
      <c r="H1393" s="68" t="str">
        <f>IF(AND(Main[[#This Row],[In Stock Date]]&lt;&gt;"",Main[[#This Row],[Revised Due Date]]&lt;&gt;""),Main[[#This Row],[In Stock Date]]-Main[[#This Row],[Revised Due Date]],"")</f>
        <v/>
      </c>
      <c r="I1393" s="65" t="s">
        <v>946</v>
      </c>
      <c r="J1393" s="65" t="s">
        <v>28</v>
      </c>
      <c r="K1393" s="65" t="s">
        <v>1926</v>
      </c>
      <c r="L1393" s="67">
        <v>40848</v>
      </c>
      <c r="M1393" s="69" t="str">
        <f>IF(Main[[#This Row],[Tech Start Date]]&lt;1/1/1990,"",IF(Main[[#This Row],[Class]]="C",WORKDAY(Main[[#This Row],[Tech Start Date]],9),IF(Main[[#This Row],[Class]]="B", WORKDAY(Main[[#This Row],[Tech Start Date]],6),IF(Main[[#This Row],[Class]]="A",WORKDAY(Main[[#This Row],[Tech Start Date]],2),""))))</f>
        <v/>
      </c>
      <c r="N1393" s="69" t="str">
        <f>IF(Main[[#This Row],[Tech Start Date]]&lt;1/1/1990,"",IF(Main[[#This Row],[Class]]="C",WORKDAY(Main[[#This Row],[Tech Start Date]],19),IF(Main[[#This Row],[Class]]="B", WORKDAY(Main[[#This Row],[Tech Start Date]],12),IF(Main[[#This Row],[Class]]="A",WORKDAY(Main[[#This Row],[Tech Start Date]],4),""))))</f>
        <v/>
      </c>
      <c r="O1393" s="69" t="str">
        <f>IF(Main[[#This Row],[Tech Start Date]]&lt;1/1/1990,"",IF(Main[[#This Row],[Class]]="C",WORKDAY(Main[[#This Row],[Tech Start Date]],23),IF(Main[[#This Row],[Class]]="B", WORKDAY(Main[[#This Row],[Tech Start Date]],15),IF(Main[[#This Row],[Class]]="A",WORKDAY(Main[[#This Row],[Tech Start Date]],5),""))))</f>
        <v/>
      </c>
      <c r="P1393" s="69" t="str">
        <f>IF(Main[[#This Row],[Tech Start Date]]&lt;1/1/1990,"",IF(Main[[#This Row],[Class]]="C",WORKDAY(Main[[#This Row],[Tech Start Date]],28),IF(Main[[#This Row],[Class]]="B", WORKDAY(Main[[#This Row],[Tech Start Date]],19),IF(Main[[#This Row],[Class]]="A",WORKDAY(Main[[#This Row],[Tech Start Date]],9),""))))</f>
        <v/>
      </c>
      <c r="Q1393" s="67">
        <v>40729</v>
      </c>
      <c r="R1393" s="67"/>
      <c r="S1393" s="65" t="s">
        <v>17</v>
      </c>
      <c r="T1393" s="70" t="s">
        <v>3801</v>
      </c>
      <c r="U1393" s="65" t="s">
        <v>29</v>
      </c>
      <c r="V1393" s="65" t="s">
        <v>1929</v>
      </c>
      <c r="W1393" s="65" t="s">
        <v>1922</v>
      </c>
      <c r="X1393" s="65" t="s">
        <v>2862</v>
      </c>
      <c r="Y1393" s="65" t="s">
        <v>3006</v>
      </c>
      <c r="Z1393" s="65" t="s">
        <v>2211</v>
      </c>
      <c r="AA1393" s="65" t="s">
        <v>2862</v>
      </c>
    </row>
    <row r="1394" spans="1:27" ht="17.45" hidden="1" customHeight="1">
      <c r="A1394" s="100">
        <f>IF(priority(Main[[#This Row],[Comments]])&lt;&gt;0, priority(Main[[#This Row],[Comments]]),"")</f>
        <v>1</v>
      </c>
      <c r="B1394" s="77" t="s">
        <v>2628</v>
      </c>
      <c r="C1394" s="65" t="s">
        <v>2629</v>
      </c>
      <c r="D1394" s="66" t="s">
        <v>3802</v>
      </c>
      <c r="E1394" s="67">
        <v>40835.462650462963</v>
      </c>
      <c r="F1394" s="67">
        <v>40928</v>
      </c>
      <c r="G1394" s="64" t="str">
        <f>IF(stdProdLT(Main[[#This Row],[Comments]])=0.1,"N/A",IF(stdProdLT(Main[[#This Row],[Comments]])=0,"",stdProdLT(Main[[#This Row],[Comments]])))</f>
        <v>N/A</v>
      </c>
      <c r="H1394" s="68">
        <f>IF(AND(Main[[#This Row],[In Stock Date]]&lt;&gt;"",Main[[#This Row],[Revised Due Date]]&lt;&gt;""),Main[[#This Row],[In Stock Date]]-Main[[#This Row],[Revised Due Date]],"")</f>
        <v>-40</v>
      </c>
      <c r="I1394" s="65" t="s">
        <v>306</v>
      </c>
      <c r="J1394" s="65" t="s">
        <v>75</v>
      </c>
      <c r="K1394" s="65" t="s">
        <v>1927</v>
      </c>
      <c r="L1394" s="67">
        <v>40848</v>
      </c>
      <c r="M1394" s="69">
        <f>IF(Main[[#This Row],[Tech Start Date]]&lt;1/1/1990,"",IF(Main[[#This Row],[Class]]="C",WORKDAY(Main[[#This Row],[Tech Start Date]],9),IF(Main[[#This Row],[Class]]="B", WORKDAY(Main[[#This Row],[Tech Start Date]],6),IF(Main[[#This Row],[Class]]="A",WORKDAY(Main[[#This Row],[Tech Start Date]],2),""))))</f>
        <v>40861</v>
      </c>
      <c r="N1394" s="69">
        <f>IF(Main[[#This Row],[Tech Start Date]]&lt;1/1/1990,"",IF(Main[[#This Row],[Class]]="C",WORKDAY(Main[[#This Row],[Tech Start Date]],19),IF(Main[[#This Row],[Class]]="B", WORKDAY(Main[[#This Row],[Tech Start Date]],12),IF(Main[[#This Row],[Class]]="A",WORKDAY(Main[[#This Row],[Tech Start Date]],4),""))))</f>
        <v>40875</v>
      </c>
      <c r="O1394" s="69">
        <f>IF(Main[[#This Row],[Tech Start Date]]&lt;1/1/1990,"",IF(Main[[#This Row],[Class]]="C",WORKDAY(Main[[#This Row],[Tech Start Date]],23),IF(Main[[#This Row],[Class]]="B", WORKDAY(Main[[#This Row],[Tech Start Date]],15),IF(Main[[#This Row],[Class]]="A",WORKDAY(Main[[#This Row],[Tech Start Date]],5),""))))</f>
        <v>40879</v>
      </c>
      <c r="P1394" s="69">
        <f>IF(Main[[#This Row],[Tech Start Date]]&lt;1/1/1990,"",IF(Main[[#This Row],[Class]]="C",WORKDAY(Main[[#This Row],[Tech Start Date]],28),IF(Main[[#This Row],[Class]]="B", WORKDAY(Main[[#This Row],[Tech Start Date]],19),IF(Main[[#This Row],[Class]]="A",WORKDAY(Main[[#This Row],[Tech Start Date]],9),""))))</f>
        <v>40886</v>
      </c>
      <c r="Q1394" s="67">
        <v>40857</v>
      </c>
      <c r="R1394" s="67">
        <v>40968</v>
      </c>
      <c r="S1394" s="65" t="s">
        <v>11</v>
      </c>
      <c r="T1394" s="70" t="s">
        <v>3803</v>
      </c>
      <c r="U1394" s="65" t="s">
        <v>29</v>
      </c>
      <c r="V1394" s="65" t="s">
        <v>1915</v>
      </c>
      <c r="W1394" s="65" t="s">
        <v>1916</v>
      </c>
      <c r="X1394" s="65" t="s">
        <v>2872</v>
      </c>
      <c r="Y1394" s="65" t="s">
        <v>2996</v>
      </c>
      <c r="Z1394" s="65" t="s">
        <v>2053</v>
      </c>
      <c r="AA1394" s="65" t="s">
        <v>2872</v>
      </c>
    </row>
    <row r="1395" spans="1:27" ht="17.45" hidden="1" customHeight="1">
      <c r="A1395" s="100" t="str">
        <f>IF(priority(Main[[#This Row],[Comments]])&lt;&gt;0, priority(Main[[#This Row],[Comments]]),"")</f>
        <v/>
      </c>
      <c r="B1395" s="77" t="s">
        <v>2627</v>
      </c>
      <c r="C1395" s="65" t="s">
        <v>2567</v>
      </c>
      <c r="D1395" s="66" t="s">
        <v>2803</v>
      </c>
      <c r="E1395" s="67"/>
      <c r="F1395" s="67">
        <v>40983</v>
      </c>
      <c r="G1395" s="64" t="str">
        <f>IF(stdProdLT(Main[[#This Row],[Comments]])=0.1,"N/A",IF(stdProdLT(Main[[#This Row],[Comments]])=0,"",stdProdLT(Main[[#This Row],[Comments]])))</f>
        <v>N/A</v>
      </c>
      <c r="H1395" s="68" t="str">
        <f>IF(AND(Main[[#This Row],[In Stock Date]]&lt;&gt;"",Main[[#This Row],[Revised Due Date]]&lt;&gt;""),Main[[#This Row],[In Stock Date]]-Main[[#This Row],[Revised Due Date]],"")</f>
        <v/>
      </c>
      <c r="I1395" s="65" t="s">
        <v>912</v>
      </c>
      <c r="J1395" s="65" t="s">
        <v>28</v>
      </c>
      <c r="K1395" s="65" t="s">
        <v>1927</v>
      </c>
      <c r="L1395" s="67">
        <v>40848</v>
      </c>
      <c r="M1395" s="69">
        <f>IF(Main[[#This Row],[Tech Start Date]]&lt;1/1/1990,"",IF(Main[[#This Row],[Class]]="C",WORKDAY(Main[[#This Row],[Tech Start Date]],9),IF(Main[[#This Row],[Class]]="B", WORKDAY(Main[[#This Row],[Tech Start Date]],6),IF(Main[[#This Row],[Class]]="A",WORKDAY(Main[[#This Row],[Tech Start Date]],2),""))))</f>
        <v>40861</v>
      </c>
      <c r="N1395" s="69">
        <f>IF(Main[[#This Row],[Tech Start Date]]&lt;1/1/1990,"",IF(Main[[#This Row],[Class]]="C",WORKDAY(Main[[#This Row],[Tech Start Date]],19),IF(Main[[#This Row],[Class]]="B", WORKDAY(Main[[#This Row],[Tech Start Date]],12),IF(Main[[#This Row],[Class]]="A",WORKDAY(Main[[#This Row],[Tech Start Date]],4),""))))</f>
        <v>40875</v>
      </c>
      <c r="O1395" s="69">
        <f>IF(Main[[#This Row],[Tech Start Date]]&lt;1/1/1990,"",IF(Main[[#This Row],[Class]]="C",WORKDAY(Main[[#This Row],[Tech Start Date]],23),IF(Main[[#This Row],[Class]]="B", WORKDAY(Main[[#This Row],[Tech Start Date]],15),IF(Main[[#This Row],[Class]]="A",WORKDAY(Main[[#This Row],[Tech Start Date]],5),""))))</f>
        <v>40879</v>
      </c>
      <c r="P1395" s="69">
        <f>IF(Main[[#This Row],[Tech Start Date]]&lt;1/1/1990,"",IF(Main[[#This Row],[Class]]="C",WORKDAY(Main[[#This Row],[Tech Start Date]],28),IF(Main[[#This Row],[Class]]="B", WORKDAY(Main[[#This Row],[Tech Start Date]],19),IF(Main[[#This Row],[Class]]="A",WORKDAY(Main[[#This Row],[Tech Start Date]],9),""))))</f>
        <v>40886</v>
      </c>
      <c r="Q1395" s="67">
        <v>40885</v>
      </c>
      <c r="R1395" s="67"/>
      <c r="S1395" s="65" t="s">
        <v>11</v>
      </c>
      <c r="T1395" s="70" t="s">
        <v>3225</v>
      </c>
      <c r="U1395" s="65" t="s">
        <v>14</v>
      </c>
      <c r="V1395" s="65" t="s">
        <v>1914</v>
      </c>
      <c r="W1395" s="65" t="s">
        <v>1922</v>
      </c>
      <c r="X1395" s="65" t="s">
        <v>2904</v>
      </c>
      <c r="Y1395" s="65" t="s">
        <v>3157</v>
      </c>
      <c r="Z1395" s="65" t="s">
        <v>129</v>
      </c>
      <c r="AA1395" s="65" t="s">
        <v>2904</v>
      </c>
    </row>
    <row r="1396" spans="1:27" ht="17.45" hidden="1" customHeight="1">
      <c r="A1396" s="100" t="str">
        <f>IF(priority(Main[[#This Row],[Comments]])&lt;&gt;0, priority(Main[[#This Row],[Comments]]),"")</f>
        <v/>
      </c>
      <c r="B1396" s="77" t="s">
        <v>2631</v>
      </c>
      <c r="C1396" s="65" t="s">
        <v>2632</v>
      </c>
      <c r="D1396" s="66" t="s">
        <v>2633</v>
      </c>
      <c r="E1396" s="67"/>
      <c r="F1396" s="67"/>
      <c r="G1396" s="64" t="str">
        <f>IF(stdProdLT(Main[[#This Row],[Comments]])=0.1,"N/A",IF(stdProdLT(Main[[#This Row],[Comments]])=0,"",stdProdLT(Main[[#This Row],[Comments]])))</f>
        <v/>
      </c>
      <c r="H1396" s="68" t="str">
        <f>IF(AND(Main[[#This Row],[In Stock Date]]&lt;&gt;"",Main[[#This Row],[Revised Due Date]]&lt;&gt;""),Main[[#This Row],[In Stock Date]]-Main[[#This Row],[Revised Due Date]],"")</f>
        <v/>
      </c>
      <c r="I1396" s="65" t="s">
        <v>2044</v>
      </c>
      <c r="J1396" s="65" t="s">
        <v>28</v>
      </c>
      <c r="K1396" s="65" t="s">
        <v>1923</v>
      </c>
      <c r="L1396" s="67">
        <v>40848</v>
      </c>
      <c r="M1396" s="69">
        <f>IF(Main[[#This Row],[Tech Start Date]]&lt;1/1/1990,"",IF(Main[[#This Row],[Class]]="C",WORKDAY(Main[[#This Row],[Tech Start Date]],9),IF(Main[[#This Row],[Class]]="B", WORKDAY(Main[[#This Row],[Tech Start Date]],6),IF(Main[[#This Row],[Class]]="A",WORKDAY(Main[[#This Row],[Tech Start Date]],2),""))))</f>
        <v>40850</v>
      </c>
      <c r="N1396" s="69">
        <f>IF(Main[[#This Row],[Tech Start Date]]&lt;1/1/1990,"",IF(Main[[#This Row],[Class]]="C",WORKDAY(Main[[#This Row],[Tech Start Date]],19),IF(Main[[#This Row],[Class]]="B", WORKDAY(Main[[#This Row],[Tech Start Date]],12),IF(Main[[#This Row],[Class]]="A",WORKDAY(Main[[#This Row],[Tech Start Date]],4),""))))</f>
        <v>40854</v>
      </c>
      <c r="O1396" s="69">
        <f>IF(Main[[#This Row],[Tech Start Date]]&lt;1/1/1990,"",IF(Main[[#This Row],[Class]]="C",WORKDAY(Main[[#This Row],[Tech Start Date]],23),IF(Main[[#This Row],[Class]]="B", WORKDAY(Main[[#This Row],[Tech Start Date]],15),IF(Main[[#This Row],[Class]]="A",WORKDAY(Main[[#This Row],[Tech Start Date]],5),""))))</f>
        <v>40855</v>
      </c>
      <c r="P1396" s="69">
        <f>IF(Main[[#This Row],[Tech Start Date]]&lt;1/1/1990,"",IF(Main[[#This Row],[Class]]="C",WORKDAY(Main[[#This Row],[Tech Start Date]],28),IF(Main[[#This Row],[Class]]="B", WORKDAY(Main[[#This Row],[Tech Start Date]],19),IF(Main[[#This Row],[Class]]="A",WORKDAY(Main[[#This Row],[Tech Start Date]],9),""))))</f>
        <v>40861</v>
      </c>
      <c r="Q1396" s="67">
        <v>40849</v>
      </c>
      <c r="R1396" s="67">
        <v>40863</v>
      </c>
      <c r="S1396" s="65" t="s">
        <v>11</v>
      </c>
      <c r="T1396" s="70" t="s">
        <v>4</v>
      </c>
      <c r="U1396" s="65" t="s">
        <v>14</v>
      </c>
      <c r="V1396" s="65" t="s">
        <v>1924</v>
      </c>
      <c r="W1396" s="65" t="s">
        <v>1922</v>
      </c>
      <c r="X1396" s="65" t="s">
        <v>2844</v>
      </c>
      <c r="Y1396" s="65" t="s">
        <v>2977</v>
      </c>
      <c r="Z1396" s="65" t="s">
        <v>530</v>
      </c>
      <c r="AA1396" s="65" t="s">
        <v>2844</v>
      </c>
    </row>
    <row r="1397" spans="1:27" ht="17.45" hidden="1" customHeight="1">
      <c r="A1397" s="100" t="str">
        <f>IF(priority(Main[[#This Row],[Comments]])&lt;&gt;0, priority(Main[[#This Row],[Comments]]),"")</f>
        <v/>
      </c>
      <c r="B1397" s="77" t="s">
        <v>2640</v>
      </c>
      <c r="C1397" s="65" t="s">
        <v>4</v>
      </c>
      <c r="D1397" s="66" t="s">
        <v>2641</v>
      </c>
      <c r="E1397" s="67">
        <v>40848.726550925923</v>
      </c>
      <c r="F1397" s="67"/>
      <c r="G1397" s="64" t="str">
        <f>IF(stdProdLT(Main[[#This Row],[Comments]])=0.1,"N/A",IF(stdProdLT(Main[[#This Row],[Comments]])=0,"",stdProdLT(Main[[#This Row],[Comments]])))</f>
        <v/>
      </c>
      <c r="H1397" s="68" t="str">
        <f>IF(AND(Main[[#This Row],[In Stock Date]]&lt;&gt;"",Main[[#This Row],[Revised Due Date]]&lt;&gt;""),Main[[#This Row],[In Stock Date]]-Main[[#This Row],[Revised Due Date]],"")</f>
        <v/>
      </c>
      <c r="I1397" s="65" t="s">
        <v>69</v>
      </c>
      <c r="J1397" s="65" t="s">
        <v>28</v>
      </c>
      <c r="K1397" s="65" t="s">
        <v>1923</v>
      </c>
      <c r="L1397" s="67">
        <v>40849</v>
      </c>
      <c r="M1397" s="69">
        <f>IF(Main[[#This Row],[Tech Start Date]]&lt;1/1/1990,"",IF(Main[[#This Row],[Class]]="C",WORKDAY(Main[[#This Row],[Tech Start Date]],9),IF(Main[[#This Row],[Class]]="B", WORKDAY(Main[[#This Row],[Tech Start Date]],6),IF(Main[[#This Row],[Class]]="A",WORKDAY(Main[[#This Row],[Tech Start Date]],2),""))))</f>
        <v>40851</v>
      </c>
      <c r="N1397" s="69">
        <f>IF(Main[[#This Row],[Tech Start Date]]&lt;1/1/1990,"",IF(Main[[#This Row],[Class]]="C",WORKDAY(Main[[#This Row],[Tech Start Date]],19),IF(Main[[#This Row],[Class]]="B", WORKDAY(Main[[#This Row],[Tech Start Date]],12),IF(Main[[#This Row],[Class]]="A",WORKDAY(Main[[#This Row],[Tech Start Date]],4),""))))</f>
        <v>40855</v>
      </c>
      <c r="O1397" s="69">
        <f>IF(Main[[#This Row],[Tech Start Date]]&lt;1/1/1990,"",IF(Main[[#This Row],[Class]]="C",WORKDAY(Main[[#This Row],[Tech Start Date]],23),IF(Main[[#This Row],[Class]]="B", WORKDAY(Main[[#This Row],[Tech Start Date]],15),IF(Main[[#This Row],[Class]]="A",WORKDAY(Main[[#This Row],[Tech Start Date]],5),""))))</f>
        <v>40856</v>
      </c>
      <c r="P1397" s="69">
        <f>IF(Main[[#This Row],[Tech Start Date]]&lt;1/1/1990,"",IF(Main[[#This Row],[Class]]="C",WORKDAY(Main[[#This Row],[Tech Start Date]],28),IF(Main[[#This Row],[Class]]="B", WORKDAY(Main[[#This Row],[Tech Start Date]],19),IF(Main[[#This Row],[Class]]="A",WORKDAY(Main[[#This Row],[Tech Start Date]],9),""))))</f>
        <v>40862</v>
      </c>
      <c r="Q1397" s="67"/>
      <c r="R1397" s="67">
        <v>40864</v>
      </c>
      <c r="S1397" s="65" t="s">
        <v>6</v>
      </c>
      <c r="T1397" s="70" t="s">
        <v>4</v>
      </c>
      <c r="U1397" s="65" t="s">
        <v>29</v>
      </c>
      <c r="V1397" s="65" t="s">
        <v>1924</v>
      </c>
      <c r="W1397" s="65" t="s">
        <v>1928</v>
      </c>
      <c r="X1397" s="65" t="s">
        <v>2841</v>
      </c>
      <c r="Y1397" s="65" t="s">
        <v>2971</v>
      </c>
      <c r="Z1397" s="65" t="s">
        <v>2865</v>
      </c>
      <c r="AA1397" s="65" t="s">
        <v>2841</v>
      </c>
    </row>
    <row r="1398" spans="1:27" ht="17.45" hidden="1" customHeight="1">
      <c r="A1398" s="100" t="str">
        <f>IF(priority(Main[[#This Row],[Comments]])&lt;&gt;0, priority(Main[[#This Row],[Comments]]),"")</f>
        <v/>
      </c>
      <c r="B1398" s="77" t="s">
        <v>2634</v>
      </c>
      <c r="C1398" s="65" t="s">
        <v>2567</v>
      </c>
      <c r="D1398" s="66" t="s">
        <v>2804</v>
      </c>
      <c r="E1398" s="67"/>
      <c r="F1398" s="67"/>
      <c r="G1398" s="64">
        <f>IF(stdProdLT(Main[[#This Row],[Comments]])=0.1,"N/A",IF(stdProdLT(Main[[#This Row],[Comments]])=0,"",stdProdLT(Main[[#This Row],[Comments]])))</f>
        <v>168</v>
      </c>
      <c r="H1398" s="68" t="str">
        <f>IF(AND(Main[[#This Row],[In Stock Date]]&lt;&gt;"",Main[[#This Row],[Revised Due Date]]&lt;&gt;""),Main[[#This Row],[In Stock Date]]-Main[[#This Row],[Revised Due Date]],"")</f>
        <v/>
      </c>
      <c r="I1398" s="65" t="s">
        <v>894</v>
      </c>
      <c r="J1398" s="65" t="s">
        <v>52</v>
      </c>
      <c r="K1398" s="65" t="s">
        <v>1927</v>
      </c>
      <c r="L1398" s="67">
        <v>40849</v>
      </c>
      <c r="M1398" s="69">
        <f>IF(Main[[#This Row],[Tech Start Date]]&lt;1/1/1990,"",IF(Main[[#This Row],[Class]]="C",WORKDAY(Main[[#This Row],[Tech Start Date]],9),IF(Main[[#This Row],[Class]]="B", WORKDAY(Main[[#This Row],[Tech Start Date]],6),IF(Main[[#This Row],[Class]]="A",WORKDAY(Main[[#This Row],[Tech Start Date]],2),""))))</f>
        <v>40862</v>
      </c>
      <c r="N1398" s="69">
        <f>IF(Main[[#This Row],[Tech Start Date]]&lt;1/1/1990,"",IF(Main[[#This Row],[Class]]="C",WORKDAY(Main[[#This Row],[Tech Start Date]],19),IF(Main[[#This Row],[Class]]="B", WORKDAY(Main[[#This Row],[Tech Start Date]],12),IF(Main[[#This Row],[Class]]="A",WORKDAY(Main[[#This Row],[Tech Start Date]],4),""))))</f>
        <v>40876</v>
      </c>
      <c r="O1398" s="69">
        <f>IF(Main[[#This Row],[Tech Start Date]]&lt;1/1/1990,"",IF(Main[[#This Row],[Class]]="C",WORKDAY(Main[[#This Row],[Tech Start Date]],23),IF(Main[[#This Row],[Class]]="B", WORKDAY(Main[[#This Row],[Tech Start Date]],15),IF(Main[[#This Row],[Class]]="A",WORKDAY(Main[[#This Row],[Tech Start Date]],5),""))))</f>
        <v>40882</v>
      </c>
      <c r="P1398" s="69">
        <f>IF(Main[[#This Row],[Tech Start Date]]&lt;1/1/1990,"",IF(Main[[#This Row],[Class]]="C",WORKDAY(Main[[#This Row],[Tech Start Date]],28),IF(Main[[#This Row],[Class]]="B", WORKDAY(Main[[#This Row],[Tech Start Date]],19),IF(Main[[#This Row],[Class]]="A",WORKDAY(Main[[#This Row],[Tech Start Date]],9),""))))</f>
        <v>40889</v>
      </c>
      <c r="Q1398" s="67">
        <v>40880</v>
      </c>
      <c r="R1398" s="67"/>
      <c r="S1398" s="65" t="s">
        <v>11</v>
      </c>
      <c r="T1398" s="70" t="s">
        <v>3805</v>
      </c>
      <c r="U1398" s="65" t="s">
        <v>14</v>
      </c>
      <c r="V1398" s="65" t="s">
        <v>1917</v>
      </c>
      <c r="W1398" s="65" t="s">
        <v>1922</v>
      </c>
      <c r="X1398" s="65" t="s">
        <v>2904</v>
      </c>
      <c r="Y1398" s="65" t="s">
        <v>3157</v>
      </c>
      <c r="Z1398" s="65" t="s">
        <v>530</v>
      </c>
      <c r="AA1398" s="65" t="s">
        <v>2904</v>
      </c>
    </row>
    <row r="1399" spans="1:27" ht="17.45" hidden="1" customHeight="1">
      <c r="A1399" s="100">
        <f>IF(priority(Main[[#This Row],[Comments]])&lt;&gt;0, priority(Main[[#This Row],[Comments]]),"")</f>
        <v>11</v>
      </c>
      <c r="B1399" s="77" t="s">
        <v>2639</v>
      </c>
      <c r="C1399" s="65" t="s">
        <v>72</v>
      </c>
      <c r="D1399" s="66" t="s">
        <v>3807</v>
      </c>
      <c r="E1399" s="67">
        <v>40843.078125</v>
      </c>
      <c r="F1399" s="67">
        <v>41122</v>
      </c>
      <c r="G1399" s="64">
        <f>IF(stdProdLT(Main[[#This Row],[Comments]])=0.1,"N/A",IF(stdProdLT(Main[[#This Row],[Comments]])=0,"",stdProdLT(Main[[#This Row],[Comments]])))</f>
        <v>196</v>
      </c>
      <c r="H1399" s="68">
        <f>IF(AND(Main[[#This Row],[In Stock Date]]&lt;&gt;"",Main[[#This Row],[Revised Due Date]]&lt;&gt;""),Main[[#This Row],[In Stock Date]]-Main[[#This Row],[Revised Due Date]],"")</f>
        <v>138</v>
      </c>
      <c r="I1399" s="65" t="s">
        <v>2624</v>
      </c>
      <c r="J1399" s="65" t="s">
        <v>28</v>
      </c>
      <c r="K1399" s="65" t="s">
        <v>1927</v>
      </c>
      <c r="L1399" s="67">
        <v>40849</v>
      </c>
      <c r="M1399" s="69">
        <f>IF(Main[[#This Row],[Tech Start Date]]&lt;1/1/1990,"",IF(Main[[#This Row],[Class]]="C",WORKDAY(Main[[#This Row],[Tech Start Date]],9),IF(Main[[#This Row],[Class]]="B", WORKDAY(Main[[#This Row],[Tech Start Date]],6),IF(Main[[#This Row],[Class]]="A",WORKDAY(Main[[#This Row],[Tech Start Date]],2),""))))</f>
        <v>40862</v>
      </c>
      <c r="N1399" s="69">
        <f>IF(Main[[#This Row],[Tech Start Date]]&lt;1/1/1990,"",IF(Main[[#This Row],[Class]]="C",WORKDAY(Main[[#This Row],[Tech Start Date]],19),IF(Main[[#This Row],[Class]]="B", WORKDAY(Main[[#This Row],[Tech Start Date]],12),IF(Main[[#This Row],[Class]]="A",WORKDAY(Main[[#This Row],[Tech Start Date]],4),""))))</f>
        <v>40876</v>
      </c>
      <c r="O1399" s="69">
        <f>IF(Main[[#This Row],[Tech Start Date]]&lt;1/1/1990,"",IF(Main[[#This Row],[Class]]="C",WORKDAY(Main[[#This Row],[Tech Start Date]],23),IF(Main[[#This Row],[Class]]="B", WORKDAY(Main[[#This Row],[Tech Start Date]],15),IF(Main[[#This Row],[Class]]="A",WORKDAY(Main[[#This Row],[Tech Start Date]],5),""))))</f>
        <v>40882</v>
      </c>
      <c r="P1399" s="69">
        <f>IF(Main[[#This Row],[Tech Start Date]]&lt;1/1/1990,"",IF(Main[[#This Row],[Class]]="C",WORKDAY(Main[[#This Row],[Tech Start Date]],28),IF(Main[[#This Row],[Class]]="B", WORKDAY(Main[[#This Row],[Tech Start Date]],19),IF(Main[[#This Row],[Class]]="A",WORKDAY(Main[[#This Row],[Tech Start Date]],9),""))))</f>
        <v>40889</v>
      </c>
      <c r="Q1399" s="67">
        <v>41122</v>
      </c>
      <c r="R1399" s="67">
        <v>40984</v>
      </c>
      <c r="S1399" s="65" t="s">
        <v>11</v>
      </c>
      <c r="T1399" s="70" t="s">
        <v>3808</v>
      </c>
      <c r="U1399" s="65" t="s">
        <v>29</v>
      </c>
      <c r="V1399" s="65" t="s">
        <v>1915</v>
      </c>
      <c r="W1399" s="65" t="s">
        <v>1922</v>
      </c>
      <c r="X1399" s="65" t="s">
        <v>2847</v>
      </c>
      <c r="Y1399" s="65" t="s">
        <v>2978</v>
      </c>
      <c r="Z1399" s="65" t="s">
        <v>2053</v>
      </c>
      <c r="AA1399" s="65" t="s">
        <v>2847</v>
      </c>
    </row>
    <row r="1400" spans="1:27" ht="17.45" hidden="1" customHeight="1">
      <c r="A1400" s="100" t="str">
        <f>IF(priority(Main[[#This Row],[Comments]])&lt;&gt;0, priority(Main[[#This Row],[Comments]]),"")</f>
        <v/>
      </c>
      <c r="B1400" s="77" t="s">
        <v>2638</v>
      </c>
      <c r="C1400" s="65" t="s">
        <v>2567</v>
      </c>
      <c r="D1400" s="66" t="s">
        <v>3177</v>
      </c>
      <c r="E1400" s="67"/>
      <c r="F1400" s="67"/>
      <c r="G1400" s="64">
        <f>IF(stdProdLT(Main[[#This Row],[Comments]])=0.1,"N/A",IF(stdProdLT(Main[[#This Row],[Comments]])=0,"",stdProdLT(Main[[#This Row],[Comments]])))</f>
        <v>168</v>
      </c>
      <c r="H1400" s="68" t="str">
        <f>IF(AND(Main[[#This Row],[In Stock Date]]&lt;&gt;"",Main[[#This Row],[Revised Due Date]]&lt;&gt;""),Main[[#This Row],[In Stock Date]]-Main[[#This Row],[Revised Due Date]],"")</f>
        <v/>
      </c>
      <c r="I1400" s="65" t="s">
        <v>171</v>
      </c>
      <c r="J1400" s="65" t="s">
        <v>70</v>
      </c>
      <c r="K1400" s="65" t="s">
        <v>1927</v>
      </c>
      <c r="L1400" s="67">
        <v>40849</v>
      </c>
      <c r="M1400" s="69">
        <f>IF(Main[[#This Row],[Tech Start Date]]&lt;1/1/1990,"",IF(Main[[#This Row],[Class]]="C",WORKDAY(Main[[#This Row],[Tech Start Date]],9),IF(Main[[#This Row],[Class]]="B", WORKDAY(Main[[#This Row],[Tech Start Date]],6),IF(Main[[#This Row],[Class]]="A",WORKDAY(Main[[#This Row],[Tech Start Date]],2),""))))</f>
        <v>40862</v>
      </c>
      <c r="N1400" s="69">
        <f>IF(Main[[#This Row],[Tech Start Date]]&lt;1/1/1990,"",IF(Main[[#This Row],[Class]]="C",WORKDAY(Main[[#This Row],[Tech Start Date]],19),IF(Main[[#This Row],[Class]]="B", WORKDAY(Main[[#This Row],[Tech Start Date]],12),IF(Main[[#This Row],[Class]]="A",WORKDAY(Main[[#This Row],[Tech Start Date]],4),""))))</f>
        <v>40876</v>
      </c>
      <c r="O1400" s="69">
        <f>IF(Main[[#This Row],[Tech Start Date]]&lt;1/1/1990,"",IF(Main[[#This Row],[Class]]="C",WORKDAY(Main[[#This Row],[Tech Start Date]],23),IF(Main[[#This Row],[Class]]="B", WORKDAY(Main[[#This Row],[Tech Start Date]],15),IF(Main[[#This Row],[Class]]="A",WORKDAY(Main[[#This Row],[Tech Start Date]],5),""))))</f>
        <v>40882</v>
      </c>
      <c r="P1400" s="69">
        <f>IF(Main[[#This Row],[Tech Start Date]]&lt;1/1/1990,"",IF(Main[[#This Row],[Class]]="C",WORKDAY(Main[[#This Row],[Tech Start Date]],28),IF(Main[[#This Row],[Class]]="B", WORKDAY(Main[[#This Row],[Tech Start Date]],19),IF(Main[[#This Row],[Class]]="A",WORKDAY(Main[[#This Row],[Tech Start Date]],9),""))))</f>
        <v>40889</v>
      </c>
      <c r="Q1400" s="67">
        <v>40881</v>
      </c>
      <c r="R1400" s="67"/>
      <c r="S1400" s="65" t="s">
        <v>11</v>
      </c>
      <c r="T1400" s="70" t="s">
        <v>3806</v>
      </c>
      <c r="U1400" s="65" t="s">
        <v>14</v>
      </c>
      <c r="V1400" s="65" t="s">
        <v>1917</v>
      </c>
      <c r="W1400" s="65" t="s">
        <v>1922</v>
      </c>
      <c r="X1400" s="65" t="s">
        <v>2904</v>
      </c>
      <c r="Y1400" s="65" t="s">
        <v>3157</v>
      </c>
      <c r="Z1400" s="65" t="s">
        <v>530</v>
      </c>
      <c r="AA1400" s="65" t="s">
        <v>2904</v>
      </c>
    </row>
    <row r="1401" spans="1:27" ht="17.45" hidden="1" customHeight="1">
      <c r="A1401" s="100">
        <f>IF(priority(Main[[#This Row],[Comments]])&lt;&gt;0, priority(Main[[#This Row],[Comments]]),"")</f>
        <v>43</v>
      </c>
      <c r="B1401" s="77" t="s">
        <v>2635</v>
      </c>
      <c r="C1401" s="65" t="s">
        <v>2636</v>
      </c>
      <c r="D1401" s="66" t="s">
        <v>2637</v>
      </c>
      <c r="E1401" s="67">
        <v>40848.70516203704</v>
      </c>
      <c r="F1401" s="67">
        <v>40969</v>
      </c>
      <c r="G1401" s="64" t="str">
        <f>IF(stdProdLT(Main[[#This Row],[Comments]])=0.1,"N/A",IF(stdProdLT(Main[[#This Row],[Comments]])=0,"",stdProdLT(Main[[#This Row],[Comments]])))</f>
        <v>N/A</v>
      </c>
      <c r="H1401" s="68">
        <f>IF(AND(Main[[#This Row],[In Stock Date]]&lt;&gt;"",Main[[#This Row],[Revised Due Date]]&lt;&gt;""),Main[[#This Row],[In Stock Date]]-Main[[#This Row],[Revised Due Date]],"")</f>
        <v>-5</v>
      </c>
      <c r="I1401" s="65" t="s">
        <v>69</v>
      </c>
      <c r="J1401" s="65" t="s">
        <v>28</v>
      </c>
      <c r="K1401" s="71" t="s">
        <v>1923</v>
      </c>
      <c r="L1401" s="67">
        <v>40849</v>
      </c>
      <c r="M1401" s="69">
        <f>IF(Main[[#This Row],[Tech Start Date]]&lt;1/1/1990,"",IF(Main[[#This Row],[Class]]="C",WORKDAY(Main[[#This Row],[Tech Start Date]],9),IF(Main[[#This Row],[Class]]="B", WORKDAY(Main[[#This Row],[Tech Start Date]],6),IF(Main[[#This Row],[Class]]="A",WORKDAY(Main[[#This Row],[Tech Start Date]],2),""))))</f>
        <v>40851</v>
      </c>
      <c r="N1401" s="69">
        <f>IF(Main[[#This Row],[Tech Start Date]]&lt;1/1/1990,"",IF(Main[[#This Row],[Class]]="C",WORKDAY(Main[[#This Row],[Tech Start Date]],19),IF(Main[[#This Row],[Class]]="B", WORKDAY(Main[[#This Row],[Tech Start Date]],12),IF(Main[[#This Row],[Class]]="A",WORKDAY(Main[[#This Row],[Tech Start Date]],4),""))))</f>
        <v>40855</v>
      </c>
      <c r="O1401" s="69">
        <f>IF(Main[[#This Row],[Tech Start Date]]&lt;1/1/1990,"",IF(Main[[#This Row],[Class]]="C",WORKDAY(Main[[#This Row],[Tech Start Date]],23),IF(Main[[#This Row],[Class]]="B", WORKDAY(Main[[#This Row],[Tech Start Date]],15),IF(Main[[#This Row],[Class]]="A",WORKDAY(Main[[#This Row],[Tech Start Date]],5),""))))</f>
        <v>40856</v>
      </c>
      <c r="P1401" s="69">
        <f>IF(Main[[#This Row],[Tech Start Date]]&lt;1/1/1990,"",IF(Main[[#This Row],[Class]]="C",WORKDAY(Main[[#This Row],[Tech Start Date]],28),IF(Main[[#This Row],[Class]]="B", WORKDAY(Main[[#This Row],[Tech Start Date]],19),IF(Main[[#This Row],[Class]]="A",WORKDAY(Main[[#This Row],[Tech Start Date]],9),""))))</f>
        <v>40862</v>
      </c>
      <c r="Q1401" s="67"/>
      <c r="R1401" s="67">
        <v>40974</v>
      </c>
      <c r="S1401" s="65" t="s">
        <v>11</v>
      </c>
      <c r="T1401" s="70" t="s">
        <v>3804</v>
      </c>
      <c r="U1401" s="65" t="s">
        <v>29</v>
      </c>
      <c r="V1401" s="65" t="s">
        <v>1924</v>
      </c>
      <c r="W1401" s="65" t="s">
        <v>1918</v>
      </c>
      <c r="X1401" s="65" t="s">
        <v>2841</v>
      </c>
      <c r="Y1401" s="65" t="s">
        <v>2971</v>
      </c>
      <c r="Z1401" s="65" t="s">
        <v>2865</v>
      </c>
      <c r="AA1401" s="65" t="s">
        <v>2841</v>
      </c>
    </row>
    <row r="1402" spans="1:27" ht="17.45" hidden="1" customHeight="1">
      <c r="A1402" s="100" t="str">
        <f>IF(priority(Main[[#This Row],[Comments]])&lt;&gt;0, priority(Main[[#This Row],[Comments]]),"")</f>
        <v/>
      </c>
      <c r="B1402" s="77" t="s">
        <v>2563</v>
      </c>
      <c r="C1402" s="65" t="s">
        <v>2564</v>
      </c>
      <c r="D1402" s="66" t="s">
        <v>3178</v>
      </c>
      <c r="E1402" s="67">
        <v>40821.398842592593</v>
      </c>
      <c r="F1402" s="67">
        <v>41182</v>
      </c>
      <c r="G1402" s="64">
        <f>IF(stdProdLT(Main[[#This Row],[Comments]])=0.1,"N/A",IF(stdProdLT(Main[[#This Row],[Comments]])=0,"",stdProdLT(Main[[#This Row],[Comments]])))</f>
        <v>210</v>
      </c>
      <c r="H1402" s="68" t="str">
        <f>IF(AND(Main[[#This Row],[In Stock Date]]&lt;&gt;"",Main[[#This Row],[Revised Due Date]]&lt;&gt;""),Main[[#This Row],[In Stock Date]]-Main[[#This Row],[Revised Due Date]],"")</f>
        <v/>
      </c>
      <c r="I1402" s="65" t="s">
        <v>4</v>
      </c>
      <c r="J1402" s="65" t="s">
        <v>4</v>
      </c>
      <c r="K1402" s="71" t="s">
        <v>1927</v>
      </c>
      <c r="L1402" s="67">
        <v>40850</v>
      </c>
      <c r="M1402" s="69">
        <f>IF(Main[[#This Row],[Tech Start Date]]&lt;1/1/1990,"",IF(Main[[#This Row],[Class]]="C",WORKDAY(Main[[#This Row],[Tech Start Date]],9),IF(Main[[#This Row],[Class]]="B", WORKDAY(Main[[#This Row],[Tech Start Date]],6),IF(Main[[#This Row],[Class]]="A",WORKDAY(Main[[#This Row],[Tech Start Date]],2),""))))</f>
        <v>40863</v>
      </c>
      <c r="N1402" s="69">
        <f>IF(Main[[#This Row],[Tech Start Date]]&lt;1/1/1990,"",IF(Main[[#This Row],[Class]]="C",WORKDAY(Main[[#This Row],[Tech Start Date]],19),IF(Main[[#This Row],[Class]]="B", WORKDAY(Main[[#This Row],[Tech Start Date]],12),IF(Main[[#This Row],[Class]]="A",WORKDAY(Main[[#This Row],[Tech Start Date]],4),""))))</f>
        <v>40877</v>
      </c>
      <c r="O1402" s="69">
        <f>IF(Main[[#This Row],[Tech Start Date]]&lt;1/1/1990,"",IF(Main[[#This Row],[Class]]="C",WORKDAY(Main[[#This Row],[Tech Start Date]],23),IF(Main[[#This Row],[Class]]="B", WORKDAY(Main[[#This Row],[Tech Start Date]],15),IF(Main[[#This Row],[Class]]="A",WORKDAY(Main[[#This Row],[Tech Start Date]],5),""))))</f>
        <v>40883</v>
      </c>
      <c r="P1402" s="69">
        <f>IF(Main[[#This Row],[Tech Start Date]]&lt;1/1/1990,"",IF(Main[[#This Row],[Class]]="C",WORKDAY(Main[[#This Row],[Tech Start Date]],28),IF(Main[[#This Row],[Class]]="B", WORKDAY(Main[[#This Row],[Tech Start Date]],19),IF(Main[[#This Row],[Class]]="A",WORKDAY(Main[[#This Row],[Tech Start Date]],9),""))))</f>
        <v>40890</v>
      </c>
      <c r="Q1402" s="67">
        <v>40872</v>
      </c>
      <c r="R1402" s="67"/>
      <c r="S1402" s="65" t="s">
        <v>11</v>
      </c>
      <c r="T1402" s="70" t="s">
        <v>3312</v>
      </c>
      <c r="U1402" s="65" t="s">
        <v>534</v>
      </c>
      <c r="V1402" s="65" t="s">
        <v>1917</v>
      </c>
      <c r="W1402" s="65" t="s">
        <v>1919</v>
      </c>
      <c r="X1402" s="65" t="s">
        <v>2829</v>
      </c>
      <c r="Y1402" s="65" t="s">
        <v>2951</v>
      </c>
      <c r="Z1402" s="65" t="s">
        <v>4</v>
      </c>
      <c r="AA1402" s="65" t="s">
        <v>2829</v>
      </c>
    </row>
    <row r="1403" spans="1:27" ht="17.45" hidden="1" customHeight="1">
      <c r="A1403" s="100">
        <f>IF(priority(Main[[#This Row],[Comments]])&lt;&gt;0, priority(Main[[#This Row],[Comments]]),"")</f>
        <v>20</v>
      </c>
      <c r="B1403" s="77" t="s">
        <v>2642</v>
      </c>
      <c r="C1403" s="65" t="s">
        <v>53</v>
      </c>
      <c r="D1403" s="66" t="s">
        <v>2643</v>
      </c>
      <c r="E1403" s="67"/>
      <c r="F1403" s="67"/>
      <c r="G1403" s="64" t="str">
        <f>IF(stdProdLT(Main[[#This Row],[Comments]])=0.1,"N/A",IF(stdProdLT(Main[[#This Row],[Comments]])=0,"",stdProdLT(Main[[#This Row],[Comments]])))</f>
        <v>N/A</v>
      </c>
      <c r="H1403" s="68" t="str">
        <f>IF(AND(Main[[#This Row],[In Stock Date]]&lt;&gt;"",Main[[#This Row],[Revised Due Date]]&lt;&gt;""),Main[[#This Row],[In Stock Date]]-Main[[#This Row],[Revised Due Date]],"")</f>
        <v/>
      </c>
      <c r="I1403" s="65" t="s">
        <v>941</v>
      </c>
      <c r="J1403" s="65" t="s">
        <v>28</v>
      </c>
      <c r="K1403" s="65" t="s">
        <v>1921</v>
      </c>
      <c r="L1403" s="67">
        <v>40854</v>
      </c>
      <c r="M1403" s="69">
        <f>IF(Main[[#This Row],[Tech Start Date]]&lt;1/1/1990,"",IF(Main[[#This Row],[Class]]="C",WORKDAY(Main[[#This Row],[Tech Start Date]],9),IF(Main[[#This Row],[Class]]="B", WORKDAY(Main[[#This Row],[Tech Start Date]],6),IF(Main[[#This Row],[Class]]="A",WORKDAY(Main[[#This Row],[Tech Start Date]],2),""))))</f>
        <v>40862</v>
      </c>
      <c r="N1403" s="69">
        <f>IF(Main[[#This Row],[Tech Start Date]]&lt;1/1/1990,"",IF(Main[[#This Row],[Class]]="C",WORKDAY(Main[[#This Row],[Tech Start Date]],19),IF(Main[[#This Row],[Class]]="B", WORKDAY(Main[[#This Row],[Tech Start Date]],12),IF(Main[[#This Row],[Class]]="A",WORKDAY(Main[[#This Row],[Tech Start Date]],4),""))))</f>
        <v>40870</v>
      </c>
      <c r="O1403" s="69">
        <f>IF(Main[[#This Row],[Tech Start Date]]&lt;1/1/1990,"",IF(Main[[#This Row],[Class]]="C",WORKDAY(Main[[#This Row],[Tech Start Date]],23),IF(Main[[#This Row],[Class]]="B", WORKDAY(Main[[#This Row],[Tech Start Date]],15),IF(Main[[#This Row],[Class]]="A",WORKDAY(Main[[#This Row],[Tech Start Date]],5),""))))</f>
        <v>40875</v>
      </c>
      <c r="P1403" s="69">
        <f>IF(Main[[#This Row],[Tech Start Date]]&lt;1/1/1990,"",IF(Main[[#This Row],[Class]]="C",WORKDAY(Main[[#This Row],[Tech Start Date]],28),IF(Main[[#This Row],[Class]]="B", WORKDAY(Main[[#This Row],[Tech Start Date]],19),IF(Main[[#This Row],[Class]]="A",WORKDAY(Main[[#This Row],[Tech Start Date]],9),""))))</f>
        <v>40879</v>
      </c>
      <c r="Q1403" s="67">
        <v>40883</v>
      </c>
      <c r="R1403" s="67">
        <v>40877</v>
      </c>
      <c r="S1403" s="65" t="s">
        <v>11</v>
      </c>
      <c r="T1403" s="70" t="s">
        <v>2644</v>
      </c>
      <c r="U1403" s="65" t="s">
        <v>14</v>
      </c>
      <c r="V1403" s="65" t="s">
        <v>1915</v>
      </c>
      <c r="W1403" s="65" t="s">
        <v>1916</v>
      </c>
      <c r="X1403" s="65" t="s">
        <v>2816</v>
      </c>
      <c r="Y1403" s="65" t="s">
        <v>2993</v>
      </c>
      <c r="Z1403" s="65" t="s">
        <v>2053</v>
      </c>
      <c r="AA1403" s="65" t="s">
        <v>2816</v>
      </c>
    </row>
    <row r="1404" spans="1:27" ht="17.45" hidden="1" customHeight="1">
      <c r="A1404" s="100" t="str">
        <f>IF(priority(Main[[#This Row],[Comments]])&lt;&gt;0, priority(Main[[#This Row],[Comments]]),"")</f>
        <v/>
      </c>
      <c r="B1404" s="77" t="s">
        <v>1675</v>
      </c>
      <c r="C1404" s="65" t="s">
        <v>4</v>
      </c>
      <c r="D1404" s="66" t="s">
        <v>2645</v>
      </c>
      <c r="E1404" s="67">
        <v>40647.529861111114</v>
      </c>
      <c r="F1404" s="67"/>
      <c r="G1404" s="64" t="str">
        <f>IF(stdProdLT(Main[[#This Row],[Comments]])=0.1,"N/A",IF(stdProdLT(Main[[#This Row],[Comments]])=0,"",stdProdLT(Main[[#This Row],[Comments]])))</f>
        <v/>
      </c>
      <c r="H1404" s="68" t="str">
        <f>IF(AND(Main[[#This Row],[In Stock Date]]&lt;&gt;"",Main[[#This Row],[Revised Due Date]]&lt;&gt;""),Main[[#This Row],[In Stock Date]]-Main[[#This Row],[Revised Due Date]],"")</f>
        <v/>
      </c>
      <c r="I1404" s="65" t="s">
        <v>877</v>
      </c>
      <c r="J1404" s="65" t="s">
        <v>4</v>
      </c>
      <c r="K1404" s="71" t="s">
        <v>1923</v>
      </c>
      <c r="L1404" s="67">
        <v>40856</v>
      </c>
      <c r="M1404" s="69">
        <f>IF(Main[[#This Row],[Tech Start Date]]&lt;1/1/1990,"",IF(Main[[#This Row],[Class]]="C",WORKDAY(Main[[#This Row],[Tech Start Date]],9),IF(Main[[#This Row],[Class]]="B", WORKDAY(Main[[#This Row],[Tech Start Date]],6),IF(Main[[#This Row],[Class]]="A",WORKDAY(Main[[#This Row],[Tech Start Date]],2),""))))</f>
        <v>40858</v>
      </c>
      <c r="N1404" s="69">
        <f>IF(Main[[#This Row],[Tech Start Date]]&lt;1/1/1990,"",IF(Main[[#This Row],[Class]]="C",WORKDAY(Main[[#This Row],[Tech Start Date]],19),IF(Main[[#This Row],[Class]]="B", WORKDAY(Main[[#This Row],[Tech Start Date]],12),IF(Main[[#This Row],[Class]]="A",WORKDAY(Main[[#This Row],[Tech Start Date]],4),""))))</f>
        <v>40862</v>
      </c>
      <c r="O1404" s="69">
        <f>IF(Main[[#This Row],[Tech Start Date]]&lt;1/1/1990,"",IF(Main[[#This Row],[Class]]="C",WORKDAY(Main[[#This Row],[Tech Start Date]],23),IF(Main[[#This Row],[Class]]="B", WORKDAY(Main[[#This Row],[Tech Start Date]],15),IF(Main[[#This Row],[Class]]="A",WORKDAY(Main[[#This Row],[Tech Start Date]],5),""))))</f>
        <v>40863</v>
      </c>
      <c r="P1404" s="69">
        <f>IF(Main[[#This Row],[Tech Start Date]]&lt;1/1/1990,"",IF(Main[[#This Row],[Class]]="C",WORKDAY(Main[[#This Row],[Tech Start Date]],28),IF(Main[[#This Row],[Class]]="B", WORKDAY(Main[[#This Row],[Tech Start Date]],19),IF(Main[[#This Row],[Class]]="A",WORKDAY(Main[[#This Row],[Tech Start Date]],9),""))))</f>
        <v>40869</v>
      </c>
      <c r="Q1404" s="67">
        <v>40877</v>
      </c>
      <c r="R1404" s="67">
        <v>40883</v>
      </c>
      <c r="S1404" s="65" t="s">
        <v>6</v>
      </c>
      <c r="T1404" s="70" t="s">
        <v>2646</v>
      </c>
      <c r="U1404" s="65" t="s">
        <v>29</v>
      </c>
      <c r="V1404" s="65" t="s">
        <v>1914</v>
      </c>
      <c r="W1404" s="65" t="s">
        <v>1916</v>
      </c>
      <c r="X1404" s="65" t="s">
        <v>922</v>
      </c>
      <c r="Y1404" s="65" t="s">
        <v>2982</v>
      </c>
      <c r="Z1404" s="65" t="s">
        <v>129</v>
      </c>
      <c r="AA1404" s="65" t="s">
        <v>922</v>
      </c>
    </row>
    <row r="1405" spans="1:27" ht="17.45" hidden="1" customHeight="1">
      <c r="A1405" s="100" t="str">
        <f>IF(priority(Main[[#This Row],[Comments]])&lt;&gt;0, priority(Main[[#This Row],[Comments]]),"")</f>
        <v/>
      </c>
      <c r="B1405" s="77" t="s">
        <v>2647</v>
      </c>
      <c r="C1405" s="65" t="s">
        <v>4</v>
      </c>
      <c r="D1405" s="66" t="s">
        <v>2648</v>
      </c>
      <c r="E1405" s="67">
        <v>40864.413506944446</v>
      </c>
      <c r="F1405" s="67"/>
      <c r="G1405" s="64" t="str">
        <f>IF(stdProdLT(Main[[#This Row],[Comments]])=0.1,"N/A",IF(stdProdLT(Main[[#This Row],[Comments]])=0,"",stdProdLT(Main[[#This Row],[Comments]])))</f>
        <v/>
      </c>
      <c r="H1405" s="68" t="str">
        <f>IF(AND(Main[[#This Row],[In Stock Date]]&lt;&gt;"",Main[[#This Row],[Revised Due Date]]&lt;&gt;""),Main[[#This Row],[In Stock Date]]-Main[[#This Row],[Revised Due Date]],"")</f>
        <v/>
      </c>
      <c r="I1405" s="65" t="s">
        <v>941</v>
      </c>
      <c r="J1405" s="65" t="s">
        <v>28</v>
      </c>
      <c r="K1405" s="65" t="s">
        <v>1923</v>
      </c>
      <c r="L1405" s="67">
        <v>40864</v>
      </c>
      <c r="M1405" s="69">
        <f>IF(Main[[#This Row],[Tech Start Date]]&lt;1/1/1990,"",IF(Main[[#This Row],[Class]]="C",WORKDAY(Main[[#This Row],[Tech Start Date]],9),IF(Main[[#This Row],[Class]]="B", WORKDAY(Main[[#This Row],[Tech Start Date]],6),IF(Main[[#This Row],[Class]]="A",WORKDAY(Main[[#This Row],[Tech Start Date]],2),""))))</f>
        <v>40868</v>
      </c>
      <c r="N1405" s="69">
        <f>IF(Main[[#This Row],[Tech Start Date]]&lt;1/1/1990,"",IF(Main[[#This Row],[Class]]="C",WORKDAY(Main[[#This Row],[Tech Start Date]],19),IF(Main[[#This Row],[Class]]="B", WORKDAY(Main[[#This Row],[Tech Start Date]],12),IF(Main[[#This Row],[Class]]="A",WORKDAY(Main[[#This Row],[Tech Start Date]],4),""))))</f>
        <v>40870</v>
      </c>
      <c r="O1405" s="69">
        <f>IF(Main[[#This Row],[Tech Start Date]]&lt;1/1/1990,"",IF(Main[[#This Row],[Class]]="C",WORKDAY(Main[[#This Row],[Tech Start Date]],23),IF(Main[[#This Row],[Class]]="B", WORKDAY(Main[[#This Row],[Tech Start Date]],15),IF(Main[[#This Row],[Class]]="A",WORKDAY(Main[[#This Row],[Tech Start Date]],5),""))))</f>
        <v>40871</v>
      </c>
      <c r="P1405" s="69">
        <f>IF(Main[[#This Row],[Tech Start Date]]&lt;1/1/1990,"",IF(Main[[#This Row],[Class]]="C",WORKDAY(Main[[#This Row],[Tech Start Date]],28),IF(Main[[#This Row],[Class]]="B", WORKDAY(Main[[#This Row],[Tech Start Date]],19),IF(Main[[#This Row],[Class]]="A",WORKDAY(Main[[#This Row],[Tech Start Date]],9),""))))</f>
        <v>40877</v>
      </c>
      <c r="Q1405" s="67"/>
      <c r="R1405" s="67">
        <v>40877</v>
      </c>
      <c r="S1405" s="65" t="s">
        <v>6</v>
      </c>
      <c r="T1405" s="70" t="s">
        <v>4</v>
      </c>
      <c r="U1405" s="65" t="s">
        <v>29</v>
      </c>
      <c r="V1405" s="65" t="s">
        <v>1915</v>
      </c>
      <c r="W1405" s="65" t="s">
        <v>1918</v>
      </c>
      <c r="X1405" s="65" t="s">
        <v>941</v>
      </c>
      <c r="Y1405" s="65" t="s">
        <v>2995</v>
      </c>
      <c r="Z1405" s="65" t="s">
        <v>2053</v>
      </c>
      <c r="AA1405" s="65" t="s">
        <v>941</v>
      </c>
    </row>
    <row r="1406" spans="1:27" ht="17.45" customHeight="1">
      <c r="A1406" s="100">
        <f>IF(priority(Main[[#This Row],[Comments]])&lt;&gt;0, priority(Main[[#This Row],[Comments]]),"")</f>
        <v>24</v>
      </c>
      <c r="B1406" s="77" t="s">
        <v>3876</v>
      </c>
      <c r="C1406" s="65" t="s">
        <v>3877</v>
      </c>
      <c r="D1406" s="66" t="s">
        <v>3878</v>
      </c>
      <c r="E1406" s="67">
        <v>40953.469097222223</v>
      </c>
      <c r="F1406" s="67">
        <v>41183</v>
      </c>
      <c r="G1406" s="64">
        <f>IF(stdProdLT(Main[[#This Row],[Comments]])=0.1,"N/A",IF(stdProdLT(Main[[#This Row],[Comments]])=0,"",stdProdLT(Main[[#This Row],[Comments]])))</f>
        <v>84</v>
      </c>
      <c r="H1406" s="68">
        <f>IF(AND(Main[[#This Row],[In Stock Date]]&lt;&gt;"",Main[[#This Row],[Revised Due Date]]&lt;&gt;""),Main[[#This Row],[In Stock Date]]-Main[[#This Row],[Revised Due Date]],"")</f>
        <v>209</v>
      </c>
      <c r="I1406" s="65" t="s">
        <v>937</v>
      </c>
      <c r="J1406" s="65" t="s">
        <v>28</v>
      </c>
      <c r="K1406" s="65" t="s">
        <v>1923</v>
      </c>
      <c r="L1406" s="67">
        <v>40959</v>
      </c>
      <c r="M1406" s="69">
        <f>IF(Main[[#This Row],[Tech Start Date]]&lt;1/1/1990,"",IF(Main[[#This Row],[Class]]="C",WORKDAY(Main[[#This Row],[Tech Start Date]],9),IF(Main[[#This Row],[Class]]="B", WORKDAY(Main[[#This Row],[Tech Start Date]],6),IF(Main[[#This Row],[Class]]="A",WORKDAY(Main[[#This Row],[Tech Start Date]],2),""))))</f>
        <v>40961</v>
      </c>
      <c r="N1406" s="69">
        <f>IF(Main[[#This Row],[Tech Start Date]]&lt;1/1/1990,"",IF(Main[[#This Row],[Class]]="C",WORKDAY(Main[[#This Row],[Tech Start Date]],19),IF(Main[[#This Row],[Class]]="B", WORKDAY(Main[[#This Row],[Tech Start Date]],12),IF(Main[[#This Row],[Class]]="A",WORKDAY(Main[[#This Row],[Tech Start Date]],4),""))))</f>
        <v>40963</v>
      </c>
      <c r="O1406" s="69">
        <f>IF(Main[[#This Row],[Tech Start Date]]&lt;1/1/1990,"",IF(Main[[#This Row],[Class]]="C",WORKDAY(Main[[#This Row],[Tech Start Date]],23),IF(Main[[#This Row],[Class]]="B", WORKDAY(Main[[#This Row],[Tech Start Date]],15),IF(Main[[#This Row],[Class]]="A",WORKDAY(Main[[#This Row],[Tech Start Date]],5),""))))</f>
        <v>40966</v>
      </c>
      <c r="P1406" s="69">
        <f>IF(Main[[#This Row],[Tech Start Date]]&lt;1/1/1990,"",IF(Main[[#This Row],[Class]]="C",WORKDAY(Main[[#This Row],[Tech Start Date]],28),IF(Main[[#This Row],[Class]]="B", WORKDAY(Main[[#This Row],[Tech Start Date]],19),IF(Main[[#This Row],[Class]]="A",WORKDAY(Main[[#This Row],[Tech Start Date]],9),""))))</f>
        <v>40970</v>
      </c>
      <c r="Q1406" s="67"/>
      <c r="R1406" s="67">
        <v>40974</v>
      </c>
      <c r="S1406" s="65" t="s">
        <v>11</v>
      </c>
      <c r="T1406" s="70" t="s">
        <v>3879</v>
      </c>
      <c r="U1406" s="65" t="s">
        <v>534</v>
      </c>
      <c r="V1406" s="65" t="s">
        <v>1914</v>
      </c>
      <c r="W1406" s="65" t="s">
        <v>1919</v>
      </c>
      <c r="X1406" s="65" t="s">
        <v>2817</v>
      </c>
      <c r="Y1406" s="65" t="s">
        <v>3130</v>
      </c>
      <c r="Z1406" s="65" t="s">
        <v>129</v>
      </c>
      <c r="AA1406" s="65" t="s">
        <v>2817</v>
      </c>
    </row>
    <row r="1407" spans="1:27" ht="17.45" hidden="1" customHeight="1">
      <c r="A1407" s="100" t="str">
        <f>IF(priority(Main[[#This Row],[Comments]])&lt;&gt;0, priority(Main[[#This Row],[Comments]]),"")</f>
        <v/>
      </c>
      <c r="B1407" s="77" t="s">
        <v>2654</v>
      </c>
      <c r="C1407" s="65" t="s">
        <v>72</v>
      </c>
      <c r="D1407" s="66" t="s">
        <v>2667</v>
      </c>
      <c r="E1407" s="67"/>
      <c r="F1407" s="67"/>
      <c r="G1407" s="64" t="str">
        <f>IF(stdProdLT(Main[[#This Row],[Comments]])=0.1,"N/A",IF(stdProdLT(Main[[#This Row],[Comments]])=0,"",stdProdLT(Main[[#This Row],[Comments]])))</f>
        <v/>
      </c>
      <c r="H1407" s="68" t="str">
        <f>IF(AND(Main[[#This Row],[In Stock Date]]&lt;&gt;"",Main[[#This Row],[Revised Due Date]]&lt;&gt;""),Main[[#This Row],[In Stock Date]]-Main[[#This Row],[Revised Due Date]],"")</f>
        <v/>
      </c>
      <c r="I1407" s="65" t="s">
        <v>2249</v>
      </c>
      <c r="J1407" s="65" t="s">
        <v>28</v>
      </c>
      <c r="K1407" s="71" t="s">
        <v>1923</v>
      </c>
      <c r="L1407" s="67">
        <v>40869</v>
      </c>
      <c r="M1407" s="69">
        <f>IF(Main[[#This Row],[Tech Start Date]]&lt;1/1/1990,"",IF(Main[[#This Row],[Class]]="C",WORKDAY(Main[[#This Row],[Tech Start Date]],9),IF(Main[[#This Row],[Class]]="B", WORKDAY(Main[[#This Row],[Tech Start Date]],6),IF(Main[[#This Row],[Class]]="A",WORKDAY(Main[[#This Row],[Tech Start Date]],2),""))))</f>
        <v>40871</v>
      </c>
      <c r="N1407" s="69">
        <f>IF(Main[[#This Row],[Tech Start Date]]&lt;1/1/1990,"",IF(Main[[#This Row],[Class]]="C",WORKDAY(Main[[#This Row],[Tech Start Date]],19),IF(Main[[#This Row],[Class]]="B", WORKDAY(Main[[#This Row],[Tech Start Date]],12),IF(Main[[#This Row],[Class]]="A",WORKDAY(Main[[#This Row],[Tech Start Date]],4),""))))</f>
        <v>40875</v>
      </c>
      <c r="O1407" s="69">
        <f>IF(Main[[#This Row],[Tech Start Date]]&lt;1/1/1990,"",IF(Main[[#This Row],[Class]]="C",WORKDAY(Main[[#This Row],[Tech Start Date]],23),IF(Main[[#This Row],[Class]]="B", WORKDAY(Main[[#This Row],[Tech Start Date]],15),IF(Main[[#This Row],[Class]]="A",WORKDAY(Main[[#This Row],[Tech Start Date]],5),""))))</f>
        <v>40876</v>
      </c>
      <c r="P1407" s="69">
        <f>IF(Main[[#This Row],[Tech Start Date]]&lt;1/1/1990,"",IF(Main[[#This Row],[Class]]="C",WORKDAY(Main[[#This Row],[Tech Start Date]],28),IF(Main[[#This Row],[Class]]="B", WORKDAY(Main[[#This Row],[Tech Start Date]],19),IF(Main[[#This Row],[Class]]="A",WORKDAY(Main[[#This Row],[Tech Start Date]],9),""))))</f>
        <v>40882</v>
      </c>
      <c r="Q1407" s="67">
        <v>40882</v>
      </c>
      <c r="R1407" s="67"/>
      <c r="S1407" s="65" t="s">
        <v>11</v>
      </c>
      <c r="T1407" s="70" t="s">
        <v>4</v>
      </c>
      <c r="U1407" s="65" t="s">
        <v>14</v>
      </c>
      <c r="V1407" s="65" t="s">
        <v>1915</v>
      </c>
      <c r="W1407" s="65" t="s">
        <v>1916</v>
      </c>
      <c r="X1407" s="65" t="s">
        <v>2890</v>
      </c>
      <c r="Y1407" s="65" t="s">
        <v>3047</v>
      </c>
      <c r="Z1407" s="65" t="s">
        <v>2053</v>
      </c>
      <c r="AA1407" s="65" t="s">
        <v>2890</v>
      </c>
    </row>
    <row r="1408" spans="1:27" ht="17.45" hidden="1" customHeight="1">
      <c r="A1408" s="100" t="str">
        <f>IF(priority(Main[[#This Row],[Comments]])&lt;&gt;0, priority(Main[[#This Row],[Comments]]),"")</f>
        <v/>
      </c>
      <c r="B1408" s="77" t="s">
        <v>2652</v>
      </c>
      <c r="C1408" s="65" t="s">
        <v>72</v>
      </c>
      <c r="D1408" s="66" t="s">
        <v>2653</v>
      </c>
      <c r="E1408" s="67"/>
      <c r="F1408" s="67"/>
      <c r="G1408" s="64" t="str">
        <f>IF(stdProdLT(Main[[#This Row],[Comments]])=0.1,"N/A",IF(stdProdLT(Main[[#This Row],[Comments]])=0,"",stdProdLT(Main[[#This Row],[Comments]])))</f>
        <v/>
      </c>
      <c r="H1408" s="68" t="str">
        <f>IF(AND(Main[[#This Row],[In Stock Date]]&lt;&gt;"",Main[[#This Row],[Revised Due Date]]&lt;&gt;""),Main[[#This Row],[In Stock Date]]-Main[[#This Row],[Revised Due Date]],"")</f>
        <v/>
      </c>
      <c r="I1408" s="65" t="s">
        <v>2624</v>
      </c>
      <c r="J1408" s="65" t="s">
        <v>28</v>
      </c>
      <c r="K1408" s="71" t="s">
        <v>1923</v>
      </c>
      <c r="L1408" s="67">
        <v>40869</v>
      </c>
      <c r="M1408" s="69">
        <f>IF(Main[[#This Row],[Tech Start Date]]&lt;1/1/1990,"",IF(Main[[#This Row],[Class]]="C",WORKDAY(Main[[#This Row],[Tech Start Date]],9),IF(Main[[#This Row],[Class]]="B", WORKDAY(Main[[#This Row],[Tech Start Date]],6),IF(Main[[#This Row],[Class]]="A",WORKDAY(Main[[#This Row],[Tech Start Date]],2),""))))</f>
        <v>40871</v>
      </c>
      <c r="N1408" s="69">
        <f>IF(Main[[#This Row],[Tech Start Date]]&lt;1/1/1990,"",IF(Main[[#This Row],[Class]]="C",WORKDAY(Main[[#This Row],[Tech Start Date]],19),IF(Main[[#This Row],[Class]]="B", WORKDAY(Main[[#This Row],[Tech Start Date]],12),IF(Main[[#This Row],[Class]]="A",WORKDAY(Main[[#This Row],[Tech Start Date]],4),""))))</f>
        <v>40875</v>
      </c>
      <c r="O1408" s="69">
        <f>IF(Main[[#This Row],[Tech Start Date]]&lt;1/1/1990,"",IF(Main[[#This Row],[Class]]="C",WORKDAY(Main[[#This Row],[Tech Start Date]],23),IF(Main[[#This Row],[Class]]="B", WORKDAY(Main[[#This Row],[Tech Start Date]],15),IF(Main[[#This Row],[Class]]="A",WORKDAY(Main[[#This Row],[Tech Start Date]],5),""))))</f>
        <v>40876</v>
      </c>
      <c r="P1408" s="69">
        <f>IF(Main[[#This Row],[Tech Start Date]]&lt;1/1/1990,"",IF(Main[[#This Row],[Class]]="C",WORKDAY(Main[[#This Row],[Tech Start Date]],28),IF(Main[[#This Row],[Class]]="B", WORKDAY(Main[[#This Row],[Tech Start Date]],19),IF(Main[[#This Row],[Class]]="A",WORKDAY(Main[[#This Row],[Tech Start Date]],9),""))))</f>
        <v>40882</v>
      </c>
      <c r="Q1408" s="67">
        <v>40882</v>
      </c>
      <c r="R1408" s="67">
        <v>40882</v>
      </c>
      <c r="S1408" s="65" t="s">
        <v>11</v>
      </c>
      <c r="T1408" s="70" t="s">
        <v>4</v>
      </c>
      <c r="U1408" s="65" t="s">
        <v>14</v>
      </c>
      <c r="V1408" s="65" t="s">
        <v>1915</v>
      </c>
      <c r="W1408" s="65" t="s">
        <v>1916</v>
      </c>
      <c r="X1408" s="65" t="s">
        <v>2890</v>
      </c>
      <c r="Y1408" s="65" t="s">
        <v>3047</v>
      </c>
      <c r="Z1408" s="65" t="s">
        <v>2053</v>
      </c>
      <c r="AA1408" s="65" t="s">
        <v>2890</v>
      </c>
    </row>
    <row r="1409" spans="1:27" ht="17.45" hidden="1" customHeight="1">
      <c r="A1409" s="100" t="str">
        <f>IF(priority(Main[[#This Row],[Comments]])&lt;&gt;0, priority(Main[[#This Row],[Comments]]),"")</f>
        <v/>
      </c>
      <c r="B1409" s="77" t="s">
        <v>2649</v>
      </c>
      <c r="C1409" s="65" t="s">
        <v>72</v>
      </c>
      <c r="D1409" s="66" t="s">
        <v>2650</v>
      </c>
      <c r="E1409" s="67"/>
      <c r="F1409" s="67"/>
      <c r="G1409" s="64" t="str">
        <f>IF(stdProdLT(Main[[#This Row],[Comments]])=0.1,"N/A",IF(stdProdLT(Main[[#This Row],[Comments]])=0,"",stdProdLT(Main[[#This Row],[Comments]])))</f>
        <v/>
      </c>
      <c r="H1409" s="68" t="str">
        <f>IF(AND(Main[[#This Row],[In Stock Date]]&lt;&gt;"",Main[[#This Row],[Revised Due Date]]&lt;&gt;""),Main[[#This Row],[In Stock Date]]-Main[[#This Row],[Revised Due Date]],"")</f>
        <v/>
      </c>
      <c r="I1409" s="65" t="s">
        <v>2624</v>
      </c>
      <c r="J1409" s="65" t="s">
        <v>28</v>
      </c>
      <c r="K1409" s="65" t="s">
        <v>1923</v>
      </c>
      <c r="L1409" s="67">
        <v>40869</v>
      </c>
      <c r="M1409" s="69">
        <f>IF(Main[[#This Row],[Tech Start Date]]&lt;1/1/1990,"",IF(Main[[#This Row],[Class]]="C",WORKDAY(Main[[#This Row],[Tech Start Date]],9),IF(Main[[#This Row],[Class]]="B", WORKDAY(Main[[#This Row],[Tech Start Date]],6),IF(Main[[#This Row],[Class]]="A",WORKDAY(Main[[#This Row],[Tech Start Date]],2),""))))</f>
        <v>40871</v>
      </c>
      <c r="N1409" s="69">
        <f>IF(Main[[#This Row],[Tech Start Date]]&lt;1/1/1990,"",IF(Main[[#This Row],[Class]]="C",WORKDAY(Main[[#This Row],[Tech Start Date]],19),IF(Main[[#This Row],[Class]]="B", WORKDAY(Main[[#This Row],[Tech Start Date]],12),IF(Main[[#This Row],[Class]]="A",WORKDAY(Main[[#This Row],[Tech Start Date]],4),""))))</f>
        <v>40875</v>
      </c>
      <c r="O1409" s="69">
        <f>IF(Main[[#This Row],[Tech Start Date]]&lt;1/1/1990,"",IF(Main[[#This Row],[Class]]="C",WORKDAY(Main[[#This Row],[Tech Start Date]],23),IF(Main[[#This Row],[Class]]="B", WORKDAY(Main[[#This Row],[Tech Start Date]],15),IF(Main[[#This Row],[Class]]="A",WORKDAY(Main[[#This Row],[Tech Start Date]],5),""))))</f>
        <v>40876</v>
      </c>
      <c r="P1409" s="69">
        <f>IF(Main[[#This Row],[Tech Start Date]]&lt;1/1/1990,"",IF(Main[[#This Row],[Class]]="C",WORKDAY(Main[[#This Row],[Tech Start Date]],28),IF(Main[[#This Row],[Class]]="B", WORKDAY(Main[[#This Row],[Tech Start Date]],19),IF(Main[[#This Row],[Class]]="A",WORKDAY(Main[[#This Row],[Tech Start Date]],9),""))))</f>
        <v>40882</v>
      </c>
      <c r="Q1409" s="67">
        <v>40882</v>
      </c>
      <c r="R1409" s="67">
        <v>40882</v>
      </c>
      <c r="S1409" s="65" t="s">
        <v>17</v>
      </c>
      <c r="T1409" s="70" t="s">
        <v>4</v>
      </c>
      <c r="U1409" s="65" t="s">
        <v>14</v>
      </c>
      <c r="V1409" s="65" t="s">
        <v>1915</v>
      </c>
      <c r="W1409" s="65" t="s">
        <v>1916</v>
      </c>
      <c r="X1409" s="65" t="s">
        <v>2890</v>
      </c>
      <c r="Y1409" s="65" t="s">
        <v>3047</v>
      </c>
      <c r="Z1409" s="65" t="s">
        <v>2053</v>
      </c>
      <c r="AA1409" s="65" t="s">
        <v>2890</v>
      </c>
    </row>
    <row r="1410" spans="1:27" ht="17.45" hidden="1" customHeight="1">
      <c r="A1410" s="100">
        <f>IF(priority(Main[[#This Row],[Comments]])&lt;&gt;0, priority(Main[[#This Row],[Comments]]),"")</f>
        <v>6</v>
      </c>
      <c r="B1410" s="77" t="s">
        <v>2397</v>
      </c>
      <c r="C1410" s="65" t="s">
        <v>2398</v>
      </c>
      <c r="D1410" s="66" t="s">
        <v>3810</v>
      </c>
      <c r="E1410" s="67">
        <v>40864.56318287037</v>
      </c>
      <c r="F1410" s="67"/>
      <c r="G1410" s="64" t="str">
        <f>IF(stdProdLT(Main[[#This Row],[Comments]])=0.1,"N/A",IF(stdProdLT(Main[[#This Row],[Comments]])=0,"",stdProdLT(Main[[#This Row],[Comments]])))</f>
        <v>N/A</v>
      </c>
      <c r="H1410" s="68" t="str">
        <f>IF(AND(Main[[#This Row],[In Stock Date]]&lt;&gt;"",Main[[#This Row],[Revised Due Date]]&lt;&gt;""),Main[[#This Row],[In Stock Date]]-Main[[#This Row],[Revised Due Date]],"")</f>
        <v/>
      </c>
      <c r="I1410" s="65" t="s">
        <v>2249</v>
      </c>
      <c r="J1410" s="65" t="s">
        <v>28</v>
      </c>
      <c r="K1410" s="65" t="s">
        <v>1921</v>
      </c>
      <c r="L1410" s="67">
        <v>40878</v>
      </c>
      <c r="M1410" s="69">
        <f>IF(Main[[#This Row],[Tech Start Date]]&lt;1/1/1990,"",IF(Main[[#This Row],[Class]]="C",WORKDAY(Main[[#This Row],[Tech Start Date]],9),IF(Main[[#This Row],[Class]]="B", WORKDAY(Main[[#This Row],[Tech Start Date]],6),IF(Main[[#This Row],[Class]]="A",WORKDAY(Main[[#This Row],[Tech Start Date]],2),""))))</f>
        <v>40886</v>
      </c>
      <c r="N1410" s="69">
        <f>IF(Main[[#This Row],[Tech Start Date]]&lt;1/1/1990,"",IF(Main[[#This Row],[Class]]="C",WORKDAY(Main[[#This Row],[Tech Start Date]],19),IF(Main[[#This Row],[Class]]="B", WORKDAY(Main[[#This Row],[Tech Start Date]],12),IF(Main[[#This Row],[Class]]="A",WORKDAY(Main[[#This Row],[Tech Start Date]],4),""))))</f>
        <v>40896</v>
      </c>
      <c r="O1410" s="69">
        <f>IF(Main[[#This Row],[Tech Start Date]]&lt;1/1/1990,"",IF(Main[[#This Row],[Class]]="C",WORKDAY(Main[[#This Row],[Tech Start Date]],23),IF(Main[[#This Row],[Class]]="B", WORKDAY(Main[[#This Row],[Tech Start Date]],15),IF(Main[[#This Row],[Class]]="A",WORKDAY(Main[[#This Row],[Tech Start Date]],5),""))))</f>
        <v>40899</v>
      </c>
      <c r="P1410" s="69">
        <f>IF(Main[[#This Row],[Tech Start Date]]&lt;1/1/1990,"",IF(Main[[#This Row],[Class]]="C",WORKDAY(Main[[#This Row],[Tech Start Date]],28),IF(Main[[#This Row],[Class]]="B", WORKDAY(Main[[#This Row],[Tech Start Date]],19),IF(Main[[#This Row],[Class]]="A",WORKDAY(Main[[#This Row],[Tech Start Date]],9),""))))</f>
        <v>40905</v>
      </c>
      <c r="Q1410" s="67"/>
      <c r="R1410" s="67">
        <v>40982</v>
      </c>
      <c r="S1410" s="65" t="s">
        <v>11</v>
      </c>
      <c r="T1410" s="70" t="s">
        <v>3811</v>
      </c>
      <c r="U1410" s="65" t="s">
        <v>29</v>
      </c>
      <c r="V1410" s="65" t="s">
        <v>1915</v>
      </c>
      <c r="W1410" s="65" t="s">
        <v>1916</v>
      </c>
      <c r="X1410" s="65" t="s">
        <v>2816</v>
      </c>
      <c r="Y1410" s="65" t="s">
        <v>2993</v>
      </c>
      <c r="Z1410" s="65" t="s">
        <v>2053</v>
      </c>
      <c r="AA1410" s="65" t="s">
        <v>2816</v>
      </c>
    </row>
    <row r="1411" spans="1:27" ht="17.45" hidden="1" customHeight="1">
      <c r="A1411" s="100" t="str">
        <f>IF(priority(Main[[#This Row],[Comments]])&lt;&gt;0, priority(Main[[#This Row],[Comments]]),"")</f>
        <v/>
      </c>
      <c r="B1411" s="77" t="s">
        <v>1227</v>
      </c>
      <c r="C1411" s="65" t="s">
        <v>33</v>
      </c>
      <c r="D1411" s="66" t="s">
        <v>3812</v>
      </c>
      <c r="E1411" s="67">
        <v>40603.336435185185</v>
      </c>
      <c r="F1411" s="67">
        <v>40632</v>
      </c>
      <c r="G1411" s="64" t="str">
        <f>IF(stdProdLT(Main[[#This Row],[Comments]])=0.1,"N/A",IF(stdProdLT(Main[[#This Row],[Comments]])=0,"",stdProdLT(Main[[#This Row],[Comments]])))</f>
        <v/>
      </c>
      <c r="H1411" s="68">
        <f>IF(AND(Main[[#This Row],[In Stock Date]]&lt;&gt;"",Main[[#This Row],[Revised Due Date]]&lt;&gt;""),Main[[#This Row],[In Stock Date]]-Main[[#This Row],[Revised Due Date]],"")</f>
        <v>-351</v>
      </c>
      <c r="I1411" s="65" t="s">
        <v>889</v>
      </c>
      <c r="J1411" s="65" t="s">
        <v>28</v>
      </c>
      <c r="K1411" s="65" t="s">
        <v>1926</v>
      </c>
      <c r="L1411" s="67">
        <v>40878</v>
      </c>
      <c r="M1411" s="69" t="str">
        <f>IF(Main[[#This Row],[Tech Start Date]]&lt;1/1/1990,"",IF(Main[[#This Row],[Class]]="C",WORKDAY(Main[[#This Row],[Tech Start Date]],9),IF(Main[[#This Row],[Class]]="B", WORKDAY(Main[[#This Row],[Tech Start Date]],6),IF(Main[[#This Row],[Class]]="A",WORKDAY(Main[[#This Row],[Tech Start Date]],2),""))))</f>
        <v/>
      </c>
      <c r="N1411" s="69" t="str">
        <f>IF(Main[[#This Row],[Tech Start Date]]&lt;1/1/1990,"",IF(Main[[#This Row],[Class]]="C",WORKDAY(Main[[#This Row],[Tech Start Date]],19),IF(Main[[#This Row],[Class]]="B", WORKDAY(Main[[#This Row],[Tech Start Date]],12),IF(Main[[#This Row],[Class]]="A",WORKDAY(Main[[#This Row],[Tech Start Date]],4),""))))</f>
        <v/>
      </c>
      <c r="O1411" s="69" t="str">
        <f>IF(Main[[#This Row],[Tech Start Date]]&lt;1/1/1990,"",IF(Main[[#This Row],[Class]]="C",WORKDAY(Main[[#This Row],[Tech Start Date]],23),IF(Main[[#This Row],[Class]]="B", WORKDAY(Main[[#This Row],[Tech Start Date]],15),IF(Main[[#This Row],[Class]]="A",WORKDAY(Main[[#This Row],[Tech Start Date]],5),""))))</f>
        <v/>
      </c>
      <c r="P1411" s="69" t="str">
        <f>IF(Main[[#This Row],[Tech Start Date]]&lt;1/1/1990,"",IF(Main[[#This Row],[Class]]="C",WORKDAY(Main[[#This Row],[Tech Start Date]],28),IF(Main[[#This Row],[Class]]="B", WORKDAY(Main[[#This Row],[Tech Start Date]],19),IF(Main[[#This Row],[Class]]="A",WORKDAY(Main[[#This Row],[Tech Start Date]],9),""))))</f>
        <v/>
      </c>
      <c r="Q1411" s="67">
        <v>40612</v>
      </c>
      <c r="R1411" s="67">
        <v>40983</v>
      </c>
      <c r="S1411" s="65" t="s">
        <v>17</v>
      </c>
      <c r="T1411" s="70" t="s">
        <v>4</v>
      </c>
      <c r="U1411" s="65" t="s">
        <v>29</v>
      </c>
      <c r="V1411" s="65" t="s">
        <v>1914</v>
      </c>
      <c r="W1411" s="65" t="s">
        <v>1919</v>
      </c>
      <c r="X1411" s="65" t="s">
        <v>2875</v>
      </c>
      <c r="Y1411" s="65" t="s">
        <v>3021</v>
      </c>
      <c r="Z1411" s="65" t="s">
        <v>877</v>
      </c>
      <c r="AA1411" s="65" t="s">
        <v>2875</v>
      </c>
    </row>
    <row r="1412" spans="1:27" ht="17.45" hidden="1" customHeight="1">
      <c r="A1412" s="100" t="str">
        <f>IF(priority(Main[[#This Row],[Comments]])&lt;&gt;0, priority(Main[[#This Row],[Comments]]),"")</f>
        <v/>
      </c>
      <c r="B1412" s="77" t="s">
        <v>2566</v>
      </c>
      <c r="C1412" s="65" t="s">
        <v>2567</v>
      </c>
      <c r="D1412" s="66" t="s">
        <v>2806</v>
      </c>
      <c r="E1412" s="67"/>
      <c r="F1412" s="67"/>
      <c r="G1412" s="64">
        <f>IF(stdProdLT(Main[[#This Row],[Comments]])=0.1,"N/A",IF(stdProdLT(Main[[#This Row],[Comments]])=0,"",stdProdLT(Main[[#This Row],[Comments]])))</f>
        <v>140</v>
      </c>
      <c r="H1412" s="68" t="str">
        <f>IF(AND(Main[[#This Row],[In Stock Date]]&lt;&gt;"",Main[[#This Row],[Revised Due Date]]&lt;&gt;""),Main[[#This Row],[In Stock Date]]-Main[[#This Row],[Revised Due Date]],"")</f>
        <v/>
      </c>
      <c r="I1412" s="65" t="s">
        <v>429</v>
      </c>
      <c r="J1412" s="65" t="s">
        <v>70</v>
      </c>
      <c r="K1412" s="65" t="s">
        <v>1923</v>
      </c>
      <c r="L1412" s="67">
        <v>40885</v>
      </c>
      <c r="M1412" s="69">
        <f>IF(Main[[#This Row],[Tech Start Date]]&lt;1/1/1990,"",IF(Main[[#This Row],[Class]]="C",WORKDAY(Main[[#This Row],[Tech Start Date]],9),IF(Main[[#This Row],[Class]]="B", WORKDAY(Main[[#This Row],[Tech Start Date]],6),IF(Main[[#This Row],[Class]]="A",WORKDAY(Main[[#This Row],[Tech Start Date]],2),""))))</f>
        <v>40889</v>
      </c>
      <c r="N1412" s="69">
        <f>IF(Main[[#This Row],[Tech Start Date]]&lt;1/1/1990,"",IF(Main[[#This Row],[Class]]="C",WORKDAY(Main[[#This Row],[Tech Start Date]],19),IF(Main[[#This Row],[Class]]="B", WORKDAY(Main[[#This Row],[Tech Start Date]],12),IF(Main[[#This Row],[Class]]="A",WORKDAY(Main[[#This Row],[Tech Start Date]],4),""))))</f>
        <v>40891</v>
      </c>
      <c r="O1412" s="69">
        <f>IF(Main[[#This Row],[Tech Start Date]]&lt;1/1/1990,"",IF(Main[[#This Row],[Class]]="C",WORKDAY(Main[[#This Row],[Tech Start Date]],23),IF(Main[[#This Row],[Class]]="B", WORKDAY(Main[[#This Row],[Tech Start Date]],15),IF(Main[[#This Row],[Class]]="A",WORKDAY(Main[[#This Row],[Tech Start Date]],5),""))))</f>
        <v>40892</v>
      </c>
      <c r="P1412" s="69">
        <f>IF(Main[[#This Row],[Tech Start Date]]&lt;1/1/1990,"",IF(Main[[#This Row],[Class]]="C",WORKDAY(Main[[#This Row],[Tech Start Date]],28),IF(Main[[#This Row],[Class]]="B", WORKDAY(Main[[#This Row],[Tech Start Date]],19),IF(Main[[#This Row],[Class]]="A",WORKDAY(Main[[#This Row],[Tech Start Date]],9),""))))</f>
        <v>40898</v>
      </c>
      <c r="Q1412" s="67">
        <v>40879</v>
      </c>
      <c r="R1412" s="67"/>
      <c r="S1412" s="65" t="s">
        <v>11</v>
      </c>
      <c r="T1412" s="70" t="s">
        <v>3813</v>
      </c>
      <c r="U1412" s="65" t="s">
        <v>14</v>
      </c>
      <c r="V1412" s="65" t="s">
        <v>1924</v>
      </c>
      <c r="W1412" s="65" t="s">
        <v>1922</v>
      </c>
      <c r="X1412" s="65" t="s">
        <v>2904</v>
      </c>
      <c r="Y1412" s="65" t="s">
        <v>4</v>
      </c>
      <c r="Z1412" s="65" t="s">
        <v>530</v>
      </c>
      <c r="AA1412" s="65" t="s">
        <v>2904</v>
      </c>
    </row>
    <row r="1413" spans="1:27" ht="17.45" hidden="1" customHeight="1">
      <c r="A1413" s="100" t="str">
        <f>IF(priority(Main[[#This Row],[Comments]])&lt;&gt;0, priority(Main[[#This Row],[Comments]]),"")</f>
        <v/>
      </c>
      <c r="B1413" s="77" t="s">
        <v>2807</v>
      </c>
      <c r="C1413" s="65" t="s">
        <v>2808</v>
      </c>
      <c r="D1413" s="66" t="s">
        <v>3179</v>
      </c>
      <c r="E1413" s="67">
        <v>40889.938506944447</v>
      </c>
      <c r="F1413" s="67">
        <v>41029</v>
      </c>
      <c r="G1413" s="64">
        <f>IF(stdProdLT(Main[[#This Row],[Comments]])=0.1,"N/A",IF(stdProdLT(Main[[#This Row],[Comments]])=0,"",stdProdLT(Main[[#This Row],[Comments]])))</f>
        <v>154</v>
      </c>
      <c r="H1413" s="68" t="str">
        <f>IF(AND(Main[[#This Row],[In Stock Date]]&lt;&gt;"",Main[[#This Row],[Revised Due Date]]&lt;&gt;""),Main[[#This Row],[In Stock Date]]-Main[[#This Row],[Revised Due Date]],"")</f>
        <v/>
      </c>
      <c r="I1413" s="65" t="s">
        <v>765</v>
      </c>
      <c r="J1413" s="65" t="s">
        <v>28</v>
      </c>
      <c r="K1413" s="65" t="s">
        <v>1921</v>
      </c>
      <c r="L1413" s="67">
        <v>40904</v>
      </c>
      <c r="M1413" s="69">
        <f>IF(Main[[#This Row],[Tech Start Date]]&lt;1/1/1990,"",IF(Main[[#This Row],[Class]]="C",WORKDAY(Main[[#This Row],[Tech Start Date]],9),IF(Main[[#This Row],[Class]]="B", WORKDAY(Main[[#This Row],[Tech Start Date]],6),IF(Main[[#This Row],[Class]]="A",WORKDAY(Main[[#This Row],[Tech Start Date]],2),""))))</f>
        <v>40912</v>
      </c>
      <c r="N1413" s="69">
        <f>IF(Main[[#This Row],[Tech Start Date]]&lt;1/1/1990,"",IF(Main[[#This Row],[Class]]="C",WORKDAY(Main[[#This Row],[Tech Start Date]],19),IF(Main[[#This Row],[Class]]="B", WORKDAY(Main[[#This Row],[Tech Start Date]],12),IF(Main[[#This Row],[Class]]="A",WORKDAY(Main[[#This Row],[Tech Start Date]],4),""))))</f>
        <v>40920</v>
      </c>
      <c r="O1413" s="69">
        <f>IF(Main[[#This Row],[Tech Start Date]]&lt;1/1/1990,"",IF(Main[[#This Row],[Class]]="C",WORKDAY(Main[[#This Row],[Tech Start Date]],23),IF(Main[[#This Row],[Class]]="B", WORKDAY(Main[[#This Row],[Tech Start Date]],15),IF(Main[[#This Row],[Class]]="A",WORKDAY(Main[[#This Row],[Tech Start Date]],5),""))))</f>
        <v>40925</v>
      </c>
      <c r="P1413" s="69">
        <f>IF(Main[[#This Row],[Tech Start Date]]&lt;1/1/1990,"",IF(Main[[#This Row],[Class]]="C",WORKDAY(Main[[#This Row],[Tech Start Date]],28),IF(Main[[#This Row],[Class]]="B", WORKDAY(Main[[#This Row],[Tech Start Date]],19),IF(Main[[#This Row],[Class]]="A",WORKDAY(Main[[#This Row],[Tech Start Date]],9),""))))</f>
        <v>40931</v>
      </c>
      <c r="Q1413" s="67">
        <v>40918</v>
      </c>
      <c r="R1413" s="67"/>
      <c r="S1413" s="65" t="s">
        <v>11</v>
      </c>
      <c r="T1413" s="70" t="s">
        <v>3313</v>
      </c>
      <c r="U1413" s="65" t="s">
        <v>534</v>
      </c>
      <c r="V1413" s="65" t="s">
        <v>1917</v>
      </c>
      <c r="W1413" s="65" t="s">
        <v>1919</v>
      </c>
      <c r="X1413" s="65" t="s">
        <v>2924</v>
      </c>
      <c r="Y1413" s="65" t="s">
        <v>4</v>
      </c>
      <c r="Z1413" s="65" t="s">
        <v>530</v>
      </c>
      <c r="AA1413" s="65" t="s">
        <v>2924</v>
      </c>
    </row>
    <row r="1414" spans="1:27" ht="17.45" hidden="1" customHeight="1">
      <c r="A1414" s="100">
        <f>IF(priority(Main[[#This Row],[Comments]])&lt;&gt;0, priority(Main[[#This Row],[Comments]]),"")</f>
        <v>35</v>
      </c>
      <c r="B1414" s="77" t="s">
        <v>2758</v>
      </c>
      <c r="C1414" s="65" t="s">
        <v>3180</v>
      </c>
      <c r="D1414" s="66" t="s">
        <v>3814</v>
      </c>
      <c r="E1414" s="67">
        <v>40911.138009259259</v>
      </c>
      <c r="F1414" s="67">
        <v>41334</v>
      </c>
      <c r="G1414" s="64">
        <f>IF(stdProdLT(Main[[#This Row],[Comments]])=0.1,"N/A",IF(stdProdLT(Main[[#This Row],[Comments]])=0,"",stdProdLT(Main[[#This Row],[Comments]])))</f>
        <v>140</v>
      </c>
      <c r="H1414" s="68">
        <f>IF(AND(Main[[#This Row],[In Stock Date]]&lt;&gt;"",Main[[#This Row],[Revised Due Date]]&lt;&gt;""),Main[[#This Row],[In Stock Date]]-Main[[#This Row],[Revised Due Date]],"")</f>
        <v>357</v>
      </c>
      <c r="I1414" s="65" t="s">
        <v>399</v>
      </c>
      <c r="J1414" s="65" t="s">
        <v>51</v>
      </c>
      <c r="K1414" s="65" t="s">
        <v>1921</v>
      </c>
      <c r="L1414" s="67">
        <v>40913</v>
      </c>
      <c r="M1414" s="69">
        <f>IF(Main[[#This Row],[Tech Start Date]]&lt;1/1/1990,"",IF(Main[[#This Row],[Class]]="C",WORKDAY(Main[[#This Row],[Tech Start Date]],9),IF(Main[[#This Row],[Class]]="B", WORKDAY(Main[[#This Row],[Tech Start Date]],6),IF(Main[[#This Row],[Class]]="A",WORKDAY(Main[[#This Row],[Tech Start Date]],2),""))))</f>
        <v>40921</v>
      </c>
      <c r="N1414" s="69">
        <f>IF(Main[[#This Row],[Tech Start Date]]&lt;1/1/1990,"",IF(Main[[#This Row],[Class]]="C",WORKDAY(Main[[#This Row],[Tech Start Date]],19),IF(Main[[#This Row],[Class]]="B", WORKDAY(Main[[#This Row],[Tech Start Date]],12),IF(Main[[#This Row],[Class]]="A",WORKDAY(Main[[#This Row],[Tech Start Date]],4),""))))</f>
        <v>40931</v>
      </c>
      <c r="O1414" s="69">
        <f>IF(Main[[#This Row],[Tech Start Date]]&lt;1/1/1990,"",IF(Main[[#This Row],[Class]]="C",WORKDAY(Main[[#This Row],[Tech Start Date]],23),IF(Main[[#This Row],[Class]]="B", WORKDAY(Main[[#This Row],[Tech Start Date]],15),IF(Main[[#This Row],[Class]]="A",WORKDAY(Main[[#This Row],[Tech Start Date]],5),""))))</f>
        <v>40934</v>
      </c>
      <c r="P1414" s="69">
        <f>IF(Main[[#This Row],[Tech Start Date]]&lt;1/1/1990,"",IF(Main[[#This Row],[Class]]="C",WORKDAY(Main[[#This Row],[Tech Start Date]],28),IF(Main[[#This Row],[Class]]="B", WORKDAY(Main[[#This Row],[Tech Start Date]],19),IF(Main[[#This Row],[Class]]="A",WORKDAY(Main[[#This Row],[Tech Start Date]],9),""))))</f>
        <v>40940</v>
      </c>
      <c r="Q1414" s="67">
        <v>40903</v>
      </c>
      <c r="R1414" s="67">
        <v>40977</v>
      </c>
      <c r="S1414" s="65" t="s">
        <v>11</v>
      </c>
      <c r="T1414" s="70" t="s">
        <v>3815</v>
      </c>
      <c r="U1414" s="65" t="s">
        <v>29</v>
      </c>
      <c r="V1414" s="65" t="s">
        <v>1924</v>
      </c>
      <c r="W1414" s="65" t="s">
        <v>1920</v>
      </c>
      <c r="X1414" s="65" t="s">
        <v>2846</v>
      </c>
      <c r="Y1414" s="65" t="s">
        <v>4</v>
      </c>
      <c r="Z1414" s="65" t="s">
        <v>530</v>
      </c>
      <c r="AA1414" s="65" t="s">
        <v>2846</v>
      </c>
    </row>
    <row r="1415" spans="1:27" ht="17.45" hidden="1" customHeight="1">
      <c r="A1415" s="100">
        <f>IF(priority(Main[[#This Row],[Comments]])&lt;&gt;0, priority(Main[[#This Row],[Comments]]),"")</f>
        <v>3</v>
      </c>
      <c r="B1415" s="77" t="s">
        <v>2730</v>
      </c>
      <c r="C1415" s="65" t="s">
        <v>3180</v>
      </c>
      <c r="D1415" s="66" t="s">
        <v>3816</v>
      </c>
      <c r="E1415" s="67">
        <v>40911.202465277776</v>
      </c>
      <c r="F1415" s="67">
        <v>41334</v>
      </c>
      <c r="G1415" s="64">
        <f>IF(stdProdLT(Main[[#This Row],[Comments]])=0.1,"N/A",IF(stdProdLT(Main[[#This Row],[Comments]])=0,"",stdProdLT(Main[[#This Row],[Comments]])))</f>
        <v>140</v>
      </c>
      <c r="H1415" s="68">
        <f>IF(AND(Main[[#This Row],[In Stock Date]]&lt;&gt;"",Main[[#This Row],[Revised Due Date]]&lt;&gt;""),Main[[#This Row],[In Stock Date]]-Main[[#This Row],[Revised Due Date]],"")</f>
        <v>366</v>
      </c>
      <c r="I1415" s="65" t="s">
        <v>399</v>
      </c>
      <c r="J1415" s="65" t="s">
        <v>51</v>
      </c>
      <c r="K1415" s="65" t="s">
        <v>1921</v>
      </c>
      <c r="L1415" s="67">
        <v>40913</v>
      </c>
      <c r="M1415" s="69">
        <f>IF(Main[[#This Row],[Tech Start Date]]&lt;1/1/1990,"",IF(Main[[#This Row],[Class]]="C",WORKDAY(Main[[#This Row],[Tech Start Date]],9),IF(Main[[#This Row],[Class]]="B", WORKDAY(Main[[#This Row],[Tech Start Date]],6),IF(Main[[#This Row],[Class]]="A",WORKDAY(Main[[#This Row],[Tech Start Date]],2),""))))</f>
        <v>40921</v>
      </c>
      <c r="N1415" s="69">
        <f>IF(Main[[#This Row],[Tech Start Date]]&lt;1/1/1990,"",IF(Main[[#This Row],[Class]]="C",WORKDAY(Main[[#This Row],[Tech Start Date]],19),IF(Main[[#This Row],[Class]]="B", WORKDAY(Main[[#This Row],[Tech Start Date]],12),IF(Main[[#This Row],[Class]]="A",WORKDAY(Main[[#This Row],[Tech Start Date]],4),""))))</f>
        <v>40931</v>
      </c>
      <c r="O1415" s="69">
        <f>IF(Main[[#This Row],[Tech Start Date]]&lt;1/1/1990,"",IF(Main[[#This Row],[Class]]="C",WORKDAY(Main[[#This Row],[Tech Start Date]],23),IF(Main[[#This Row],[Class]]="B", WORKDAY(Main[[#This Row],[Tech Start Date]],15),IF(Main[[#This Row],[Class]]="A",WORKDAY(Main[[#This Row],[Tech Start Date]],5),""))))</f>
        <v>40934</v>
      </c>
      <c r="P1415" s="69">
        <f>IF(Main[[#This Row],[Tech Start Date]]&lt;1/1/1990,"",IF(Main[[#This Row],[Class]]="C",WORKDAY(Main[[#This Row],[Tech Start Date]],28),IF(Main[[#This Row],[Class]]="B", WORKDAY(Main[[#This Row],[Tech Start Date]],19),IF(Main[[#This Row],[Class]]="A",WORKDAY(Main[[#This Row],[Tech Start Date]],9),""))))</f>
        <v>40940</v>
      </c>
      <c r="Q1415" s="67">
        <v>40903</v>
      </c>
      <c r="R1415" s="67">
        <v>40968</v>
      </c>
      <c r="S1415" s="65" t="s">
        <v>11</v>
      </c>
      <c r="T1415" s="70" t="s">
        <v>3817</v>
      </c>
      <c r="U1415" s="65" t="s">
        <v>29</v>
      </c>
      <c r="V1415" s="65" t="s">
        <v>1924</v>
      </c>
      <c r="W1415" s="65" t="s">
        <v>1920</v>
      </c>
      <c r="X1415" s="65" t="s">
        <v>2846</v>
      </c>
      <c r="Y1415" s="65" t="s">
        <v>4</v>
      </c>
      <c r="Z1415" s="65" t="s">
        <v>530</v>
      </c>
      <c r="AA1415" s="65" t="s">
        <v>2846</v>
      </c>
    </row>
    <row r="1416" spans="1:27" ht="17.45" customHeight="1">
      <c r="A1416" s="100">
        <f>IF(priority(Main[[#This Row],[Comments]])&lt;&gt;0, priority(Main[[#This Row],[Comments]]),"")</f>
        <v>26</v>
      </c>
      <c r="B1416" s="77" t="s">
        <v>2691</v>
      </c>
      <c r="C1416" s="65" t="s">
        <v>2692</v>
      </c>
      <c r="D1416" s="66" t="s">
        <v>3230</v>
      </c>
      <c r="E1416" s="67">
        <v>40899.118032407408</v>
      </c>
      <c r="F1416" s="67">
        <v>41122</v>
      </c>
      <c r="G1416" s="64">
        <f>IF(stdProdLT(Main[[#This Row],[Comments]])=0.1,"N/A",IF(stdProdLT(Main[[#This Row],[Comments]])=0,"",stdProdLT(Main[[#This Row],[Comments]])))</f>
        <v>84</v>
      </c>
      <c r="H1416" s="68">
        <f>IF(AND(Main[[#This Row],[In Stock Date]]&lt;&gt;"",Main[[#This Row],[Revised Due Date]]&lt;&gt;""),Main[[#This Row],[In Stock Date]]-Main[[#This Row],[Revised Due Date]],"")</f>
        <v>138</v>
      </c>
      <c r="I1416" s="65" t="s">
        <v>894</v>
      </c>
      <c r="J1416" s="65" t="s">
        <v>52</v>
      </c>
      <c r="K1416" s="65" t="s">
        <v>1927</v>
      </c>
      <c r="L1416" s="67"/>
      <c r="M1416" s="69" t="str">
        <f>IF(Main[[#This Row],[Tech Start Date]]&lt;1/1/1990,"",IF(Main[[#This Row],[Class]]="C",WORKDAY(Main[[#This Row],[Tech Start Date]],9),IF(Main[[#This Row],[Class]]="B", WORKDAY(Main[[#This Row],[Tech Start Date]],6),IF(Main[[#This Row],[Class]]="A",WORKDAY(Main[[#This Row],[Tech Start Date]],2),""))))</f>
        <v/>
      </c>
      <c r="N1416" s="69" t="str">
        <f>IF(Main[[#This Row],[Tech Start Date]]&lt;1/1/1990,"",IF(Main[[#This Row],[Class]]="C",WORKDAY(Main[[#This Row],[Tech Start Date]],19),IF(Main[[#This Row],[Class]]="B", WORKDAY(Main[[#This Row],[Tech Start Date]],12),IF(Main[[#This Row],[Class]]="A",WORKDAY(Main[[#This Row],[Tech Start Date]],4),""))))</f>
        <v/>
      </c>
      <c r="O1416" s="69" t="str">
        <f>IF(Main[[#This Row],[Tech Start Date]]&lt;1/1/1990,"",IF(Main[[#This Row],[Class]]="C",WORKDAY(Main[[#This Row],[Tech Start Date]],23),IF(Main[[#This Row],[Class]]="B", WORKDAY(Main[[#This Row],[Tech Start Date]],15),IF(Main[[#This Row],[Class]]="A",WORKDAY(Main[[#This Row],[Tech Start Date]],5),""))))</f>
        <v/>
      </c>
      <c r="P1416" s="69" t="str">
        <f>IF(Main[[#This Row],[Tech Start Date]]&lt;1/1/1990,"",IF(Main[[#This Row],[Class]]="C",WORKDAY(Main[[#This Row],[Tech Start Date]],28),IF(Main[[#This Row],[Class]]="B", WORKDAY(Main[[#This Row],[Tech Start Date]],19),IF(Main[[#This Row],[Class]]="A",WORKDAY(Main[[#This Row],[Tech Start Date]],9),""))))</f>
        <v/>
      </c>
      <c r="Q1416" s="67">
        <v>40960</v>
      </c>
      <c r="R1416" s="67">
        <v>40984</v>
      </c>
      <c r="S1416" s="65" t="s">
        <v>11</v>
      </c>
      <c r="T1416" s="70" t="s">
        <v>3602</v>
      </c>
      <c r="U1416" s="65" t="s">
        <v>29</v>
      </c>
      <c r="V1416" s="65" t="s">
        <v>1914</v>
      </c>
      <c r="W1416" s="65" t="s">
        <v>1920</v>
      </c>
      <c r="X1416" s="65" t="s">
        <v>2835</v>
      </c>
      <c r="Y1416" s="65" t="s">
        <v>4</v>
      </c>
      <c r="Z1416" s="65" t="s">
        <v>912</v>
      </c>
      <c r="AA1416" s="65" t="s">
        <v>2835</v>
      </c>
    </row>
    <row r="1417" spans="1:27" ht="17.45" customHeight="1">
      <c r="A1417" s="100">
        <f>IF(priority(Main[[#This Row],[Comments]])&lt;&gt;0, priority(Main[[#This Row],[Comments]]),"")</f>
        <v>27</v>
      </c>
      <c r="B1417" s="77" t="s">
        <v>3883</v>
      </c>
      <c r="C1417" s="65" t="s">
        <v>3873</v>
      </c>
      <c r="D1417" s="66" t="s">
        <v>3884</v>
      </c>
      <c r="E1417" s="67">
        <v>40955.592650462961</v>
      </c>
      <c r="F1417" s="67">
        <v>41173</v>
      </c>
      <c r="G1417" s="64">
        <f>IF(stdProdLT(Main[[#This Row],[Comments]])=0.1,"N/A",IF(stdProdLT(Main[[#This Row],[Comments]])=0,"",stdProdLT(Main[[#This Row],[Comments]])))</f>
        <v>126</v>
      </c>
      <c r="H1417" s="68">
        <f>IF(AND(Main[[#This Row],[In Stock Date]]&lt;&gt;"",Main[[#This Row],[Revised Due Date]]&lt;&gt;""),Main[[#This Row],[In Stock Date]]-Main[[#This Row],[Revised Due Date]],"")</f>
        <v>179</v>
      </c>
      <c r="I1417" s="65" t="s">
        <v>561</v>
      </c>
      <c r="J1417" s="65" t="s">
        <v>28</v>
      </c>
      <c r="K1417" s="65" t="s">
        <v>1921</v>
      </c>
      <c r="L1417" s="67">
        <v>40959</v>
      </c>
      <c r="M1417" s="69">
        <f>IF(Main[[#This Row],[Tech Start Date]]&lt;1/1/1990,"",IF(Main[[#This Row],[Class]]="C",WORKDAY(Main[[#This Row],[Tech Start Date]],9),IF(Main[[#This Row],[Class]]="B", WORKDAY(Main[[#This Row],[Tech Start Date]],6),IF(Main[[#This Row],[Class]]="A",WORKDAY(Main[[#This Row],[Tech Start Date]],2),""))))</f>
        <v>40967</v>
      </c>
      <c r="N1417" s="69">
        <f>IF(Main[[#This Row],[Tech Start Date]]&lt;1/1/1990,"",IF(Main[[#This Row],[Class]]="C",WORKDAY(Main[[#This Row],[Tech Start Date]],19),IF(Main[[#This Row],[Class]]="B", WORKDAY(Main[[#This Row],[Tech Start Date]],12),IF(Main[[#This Row],[Class]]="A",WORKDAY(Main[[#This Row],[Tech Start Date]],4),""))))</f>
        <v>40975</v>
      </c>
      <c r="O1417" s="69">
        <f>IF(Main[[#This Row],[Tech Start Date]]&lt;1/1/1990,"",IF(Main[[#This Row],[Class]]="C",WORKDAY(Main[[#This Row],[Tech Start Date]],23),IF(Main[[#This Row],[Class]]="B", WORKDAY(Main[[#This Row],[Tech Start Date]],15),IF(Main[[#This Row],[Class]]="A",WORKDAY(Main[[#This Row],[Tech Start Date]],5),""))))</f>
        <v>40980</v>
      </c>
      <c r="P1417" s="69">
        <f>IF(Main[[#This Row],[Tech Start Date]]&lt;1/1/1990,"",IF(Main[[#This Row],[Class]]="C",WORKDAY(Main[[#This Row],[Tech Start Date]],28),IF(Main[[#This Row],[Class]]="B", WORKDAY(Main[[#This Row],[Tech Start Date]],19),IF(Main[[#This Row],[Class]]="A",WORKDAY(Main[[#This Row],[Tech Start Date]],9),""))))</f>
        <v>40984</v>
      </c>
      <c r="Q1417" s="67"/>
      <c r="R1417" s="67">
        <v>40994</v>
      </c>
      <c r="S1417" s="65" t="s">
        <v>11</v>
      </c>
      <c r="T1417" s="70" t="s">
        <v>3885</v>
      </c>
      <c r="U1417" s="65" t="s">
        <v>29</v>
      </c>
      <c r="V1417" s="65" t="s">
        <v>1914</v>
      </c>
      <c r="W1417" s="65" t="s">
        <v>1920</v>
      </c>
      <c r="X1417" s="65" t="s">
        <v>2852</v>
      </c>
      <c r="Y1417" s="65" t="s">
        <v>2990</v>
      </c>
      <c r="Z1417" s="65" t="s">
        <v>129</v>
      </c>
      <c r="AA1417" s="65" t="s">
        <v>2852</v>
      </c>
    </row>
    <row r="1418" spans="1:27" ht="17.45" customHeight="1">
      <c r="A1418" s="100">
        <f>IF(priority(Main[[#This Row],[Comments]])&lt;&gt;0, priority(Main[[#This Row],[Comments]]),"")</f>
        <v>28</v>
      </c>
      <c r="B1418" s="77" t="s">
        <v>3872</v>
      </c>
      <c r="C1418" s="65" t="s">
        <v>3873</v>
      </c>
      <c r="D1418" s="66" t="s">
        <v>3874</v>
      </c>
      <c r="E1418" s="67">
        <v>40953.707939814813</v>
      </c>
      <c r="F1418" s="67">
        <v>41173</v>
      </c>
      <c r="G1418" s="64">
        <f>IF(stdProdLT(Main[[#This Row],[Comments]])=0.1,"N/A",IF(stdProdLT(Main[[#This Row],[Comments]])=0,"",stdProdLT(Main[[#This Row],[Comments]])))</f>
        <v>126</v>
      </c>
      <c r="H1418" s="68">
        <f>IF(AND(Main[[#This Row],[In Stock Date]]&lt;&gt;"",Main[[#This Row],[Revised Due Date]]&lt;&gt;""),Main[[#This Row],[In Stock Date]]-Main[[#This Row],[Revised Due Date]],"")</f>
        <v>179</v>
      </c>
      <c r="I1418" s="65" t="s">
        <v>561</v>
      </c>
      <c r="J1418" s="65" t="s">
        <v>28</v>
      </c>
      <c r="K1418" s="65" t="s">
        <v>1921</v>
      </c>
      <c r="L1418" s="67">
        <v>40959</v>
      </c>
      <c r="M1418" s="69">
        <f>IF(Main[[#This Row],[Tech Start Date]]&lt;1/1/1990,"",IF(Main[[#This Row],[Class]]="C",WORKDAY(Main[[#This Row],[Tech Start Date]],9),IF(Main[[#This Row],[Class]]="B", WORKDAY(Main[[#This Row],[Tech Start Date]],6),IF(Main[[#This Row],[Class]]="A",WORKDAY(Main[[#This Row],[Tech Start Date]],2),""))))</f>
        <v>40967</v>
      </c>
      <c r="N1418" s="69">
        <f>IF(Main[[#This Row],[Tech Start Date]]&lt;1/1/1990,"",IF(Main[[#This Row],[Class]]="C",WORKDAY(Main[[#This Row],[Tech Start Date]],19),IF(Main[[#This Row],[Class]]="B", WORKDAY(Main[[#This Row],[Tech Start Date]],12),IF(Main[[#This Row],[Class]]="A",WORKDAY(Main[[#This Row],[Tech Start Date]],4),""))))</f>
        <v>40975</v>
      </c>
      <c r="O1418" s="69">
        <f>IF(Main[[#This Row],[Tech Start Date]]&lt;1/1/1990,"",IF(Main[[#This Row],[Class]]="C",WORKDAY(Main[[#This Row],[Tech Start Date]],23),IF(Main[[#This Row],[Class]]="B", WORKDAY(Main[[#This Row],[Tech Start Date]],15),IF(Main[[#This Row],[Class]]="A",WORKDAY(Main[[#This Row],[Tech Start Date]],5),""))))</f>
        <v>40980</v>
      </c>
      <c r="P1418" s="69">
        <f>IF(Main[[#This Row],[Tech Start Date]]&lt;1/1/1990,"",IF(Main[[#This Row],[Class]]="C",WORKDAY(Main[[#This Row],[Tech Start Date]],28),IF(Main[[#This Row],[Class]]="B", WORKDAY(Main[[#This Row],[Tech Start Date]],19),IF(Main[[#This Row],[Class]]="A",WORKDAY(Main[[#This Row],[Tech Start Date]],9),""))))</f>
        <v>40984</v>
      </c>
      <c r="Q1418" s="67"/>
      <c r="R1418" s="67">
        <v>40994</v>
      </c>
      <c r="S1418" s="65" t="s">
        <v>11</v>
      </c>
      <c r="T1418" s="70" t="s">
        <v>3875</v>
      </c>
      <c r="U1418" s="65" t="s">
        <v>29</v>
      </c>
      <c r="V1418" s="65" t="s">
        <v>1914</v>
      </c>
      <c r="W1418" s="65" t="s">
        <v>1920</v>
      </c>
      <c r="X1418" s="65" t="s">
        <v>2852</v>
      </c>
      <c r="Y1418" s="65" t="s">
        <v>2990</v>
      </c>
      <c r="Z1418" s="65" t="s">
        <v>129</v>
      </c>
      <c r="AA1418" s="65" t="s">
        <v>2852</v>
      </c>
    </row>
    <row r="1419" spans="1:27" ht="17.45" hidden="1" customHeight="1">
      <c r="A1419" s="100" t="str">
        <f>IF(priority(Main[[#This Row],[Comments]])&lt;&gt;0, priority(Main[[#This Row],[Comments]]),"")</f>
        <v/>
      </c>
      <c r="B1419" s="77" t="s">
        <v>3173</v>
      </c>
      <c r="C1419" s="65" t="s">
        <v>3244</v>
      </c>
      <c r="D1419" s="66" t="s">
        <v>3314</v>
      </c>
      <c r="E1419" s="67"/>
      <c r="F1419" s="67">
        <v>41105</v>
      </c>
      <c r="G1419" s="64">
        <f>IF(stdProdLT(Main[[#This Row],[Comments]])=0.1,"N/A",IF(stdProdLT(Main[[#This Row],[Comments]])=0,"",stdProdLT(Main[[#This Row],[Comments]])))</f>
        <v>126</v>
      </c>
      <c r="H1419" s="68" t="str">
        <f>IF(AND(Main[[#This Row],[In Stock Date]]&lt;&gt;"",Main[[#This Row],[Revised Due Date]]&lt;&gt;""),Main[[#This Row],[In Stock Date]]-Main[[#This Row],[Revised Due Date]],"")</f>
        <v/>
      </c>
      <c r="I1419" s="65" t="s">
        <v>937</v>
      </c>
      <c r="J1419" s="65" t="s">
        <v>28</v>
      </c>
      <c r="K1419" s="65" t="s">
        <v>1921</v>
      </c>
      <c r="L1419" s="67">
        <v>40921</v>
      </c>
      <c r="M1419" s="69">
        <f>IF(Main[[#This Row],[Tech Start Date]]&lt;1/1/1990,"",IF(Main[[#This Row],[Class]]="C",WORKDAY(Main[[#This Row],[Tech Start Date]],9),IF(Main[[#This Row],[Class]]="B", WORKDAY(Main[[#This Row],[Tech Start Date]],6),IF(Main[[#This Row],[Class]]="A",WORKDAY(Main[[#This Row],[Tech Start Date]],2),""))))</f>
        <v>40931</v>
      </c>
      <c r="N1419" s="69">
        <f>IF(Main[[#This Row],[Tech Start Date]]&lt;1/1/1990,"",IF(Main[[#This Row],[Class]]="C",WORKDAY(Main[[#This Row],[Tech Start Date]],19),IF(Main[[#This Row],[Class]]="B", WORKDAY(Main[[#This Row],[Tech Start Date]],12),IF(Main[[#This Row],[Class]]="A",WORKDAY(Main[[#This Row],[Tech Start Date]],4),""))))</f>
        <v>40939</v>
      </c>
      <c r="O1419" s="69">
        <f>IF(Main[[#This Row],[Tech Start Date]]&lt;1/1/1990,"",IF(Main[[#This Row],[Class]]="C",WORKDAY(Main[[#This Row],[Tech Start Date]],23),IF(Main[[#This Row],[Class]]="B", WORKDAY(Main[[#This Row],[Tech Start Date]],15),IF(Main[[#This Row],[Class]]="A",WORKDAY(Main[[#This Row],[Tech Start Date]],5),""))))</f>
        <v>40942</v>
      </c>
      <c r="P1419" s="69">
        <f>IF(Main[[#This Row],[Tech Start Date]]&lt;1/1/1990,"",IF(Main[[#This Row],[Class]]="C",WORKDAY(Main[[#This Row],[Tech Start Date]],28),IF(Main[[#This Row],[Class]]="B", WORKDAY(Main[[#This Row],[Tech Start Date]],19),IF(Main[[#This Row],[Class]]="A",WORKDAY(Main[[#This Row],[Tech Start Date]],9),""))))</f>
        <v>40948</v>
      </c>
      <c r="Q1419" s="67">
        <v>41105</v>
      </c>
      <c r="R1419" s="67"/>
      <c r="S1419" s="65" t="s">
        <v>11</v>
      </c>
      <c r="T1419" s="70" t="s">
        <v>3315</v>
      </c>
      <c r="U1419" s="65" t="s">
        <v>14</v>
      </c>
      <c r="V1419" s="65" t="s">
        <v>1914</v>
      </c>
      <c r="W1419" s="65" t="s">
        <v>1925</v>
      </c>
      <c r="X1419" s="65" t="s">
        <v>2852</v>
      </c>
      <c r="Y1419" s="65" t="s">
        <v>2990</v>
      </c>
      <c r="Z1419" s="65" t="s">
        <v>129</v>
      </c>
      <c r="AA1419" s="65" t="s">
        <v>2852</v>
      </c>
    </row>
    <row r="1420" spans="1:27" ht="17.45" customHeight="1">
      <c r="A1420" s="100">
        <f>IF(priority(Main[[#This Row],[Comments]])&lt;&gt;0, priority(Main[[#This Row],[Comments]]),"")</f>
        <v>29</v>
      </c>
      <c r="B1420" s="77" t="s">
        <v>2767</v>
      </c>
      <c r="C1420" s="65" t="s">
        <v>2768</v>
      </c>
      <c r="D1420" s="66" t="s">
        <v>3892</v>
      </c>
      <c r="E1420" s="67">
        <v>40885.00640046296</v>
      </c>
      <c r="F1420" s="67"/>
      <c r="G1420" s="64">
        <f>IF(stdProdLT(Main[[#This Row],[Comments]])=0.1,"N/A",IF(stdProdLT(Main[[#This Row],[Comments]])=0,"",stdProdLT(Main[[#This Row],[Comments]])))</f>
        <v>98</v>
      </c>
      <c r="H1420" s="68" t="str">
        <f>IF(AND(Main[[#This Row],[In Stock Date]]&lt;&gt;"",Main[[#This Row],[Revised Due Date]]&lt;&gt;""),Main[[#This Row],[In Stock Date]]-Main[[#This Row],[Revised Due Date]],"")</f>
        <v/>
      </c>
      <c r="I1420" s="65" t="s">
        <v>889</v>
      </c>
      <c r="J1420" s="65" t="s">
        <v>4</v>
      </c>
      <c r="K1420" s="65" t="s">
        <v>1927</v>
      </c>
      <c r="L1420" s="67">
        <v>40960</v>
      </c>
      <c r="M1420" s="69">
        <f>IF(Main[[#This Row],[Tech Start Date]]&lt;1/1/1990,"",IF(Main[[#This Row],[Class]]="C",WORKDAY(Main[[#This Row],[Tech Start Date]],9),IF(Main[[#This Row],[Class]]="B", WORKDAY(Main[[#This Row],[Tech Start Date]],6),IF(Main[[#This Row],[Class]]="A",WORKDAY(Main[[#This Row],[Tech Start Date]],2),""))))</f>
        <v>40973</v>
      </c>
      <c r="N1420" s="69">
        <f>IF(Main[[#This Row],[Tech Start Date]]&lt;1/1/1990,"",IF(Main[[#This Row],[Class]]="C",WORKDAY(Main[[#This Row],[Tech Start Date]],19),IF(Main[[#This Row],[Class]]="B", WORKDAY(Main[[#This Row],[Tech Start Date]],12),IF(Main[[#This Row],[Class]]="A",WORKDAY(Main[[#This Row],[Tech Start Date]],4),""))))</f>
        <v>40987</v>
      </c>
      <c r="O1420" s="69">
        <f>IF(Main[[#This Row],[Tech Start Date]]&lt;1/1/1990,"",IF(Main[[#This Row],[Class]]="C",WORKDAY(Main[[#This Row],[Tech Start Date]],23),IF(Main[[#This Row],[Class]]="B", WORKDAY(Main[[#This Row],[Tech Start Date]],15),IF(Main[[#This Row],[Class]]="A",WORKDAY(Main[[#This Row],[Tech Start Date]],5),""))))</f>
        <v>40991</v>
      </c>
      <c r="P1420" s="69">
        <f>IF(Main[[#This Row],[Tech Start Date]]&lt;1/1/1990,"",IF(Main[[#This Row],[Class]]="C",WORKDAY(Main[[#This Row],[Tech Start Date]],28),IF(Main[[#This Row],[Class]]="B", WORKDAY(Main[[#This Row],[Tech Start Date]],19),IF(Main[[#This Row],[Class]]="A",WORKDAY(Main[[#This Row],[Tech Start Date]],9),""))))</f>
        <v>40998</v>
      </c>
      <c r="Q1420" s="67">
        <v>40889</v>
      </c>
      <c r="R1420" s="67">
        <v>40988</v>
      </c>
      <c r="S1420" s="65" t="s">
        <v>11</v>
      </c>
      <c r="T1420" s="70" t="s">
        <v>3893</v>
      </c>
      <c r="U1420" s="65" t="s">
        <v>29</v>
      </c>
      <c r="V1420" s="65" t="s">
        <v>1914</v>
      </c>
      <c r="W1420" s="65" t="s">
        <v>1920</v>
      </c>
      <c r="X1420" s="65" t="s">
        <v>2854</v>
      </c>
      <c r="Y1420" s="65" t="s">
        <v>4</v>
      </c>
      <c r="Z1420" s="65" t="s">
        <v>877</v>
      </c>
      <c r="AA1420" s="65" t="s">
        <v>2854</v>
      </c>
    </row>
    <row r="1421" spans="1:27" ht="17.45" customHeight="1">
      <c r="A1421" s="100">
        <f>IF(priority(Main[[#This Row],[Comments]])&lt;&gt;0, priority(Main[[#This Row],[Comments]]),"")</f>
        <v>30</v>
      </c>
      <c r="B1421" s="77" t="s">
        <v>2678</v>
      </c>
      <c r="C1421" s="65" t="s">
        <v>116</v>
      </c>
      <c r="D1421" s="66" t="s">
        <v>2813</v>
      </c>
      <c r="E1421" s="67">
        <v>40763.500717592593</v>
      </c>
      <c r="F1421" s="67">
        <v>41090</v>
      </c>
      <c r="G1421" s="64" t="str">
        <f>IF(stdProdLT(Main[[#This Row],[Comments]])=0.1,"N/A",IF(stdProdLT(Main[[#This Row],[Comments]])=0,"",stdProdLT(Main[[#This Row],[Comments]])))</f>
        <v>N/A</v>
      </c>
      <c r="H1421" s="68">
        <f>IF(AND(Main[[#This Row],[In Stock Date]]&lt;&gt;"",Main[[#This Row],[Revised Due Date]]&lt;&gt;""),Main[[#This Row],[In Stock Date]]-Main[[#This Row],[Revised Due Date]],"")</f>
        <v>45</v>
      </c>
      <c r="I1421" s="65" t="s">
        <v>889</v>
      </c>
      <c r="J1421" s="65" t="s">
        <v>28</v>
      </c>
      <c r="K1421" s="65" t="s">
        <v>1927</v>
      </c>
      <c r="L1421" s="67">
        <v>40772</v>
      </c>
      <c r="M1421" s="69">
        <f>IF(Main[[#This Row],[Tech Start Date]]&lt;1/1/1990,"",IF(Main[[#This Row],[Class]]="C",WORKDAY(Main[[#This Row],[Tech Start Date]],9),IF(Main[[#This Row],[Class]]="B", WORKDAY(Main[[#This Row],[Tech Start Date]],6),IF(Main[[#This Row],[Class]]="A",WORKDAY(Main[[#This Row],[Tech Start Date]],2),""))))</f>
        <v>40785</v>
      </c>
      <c r="N1421" s="69">
        <f>IF(Main[[#This Row],[Tech Start Date]]&lt;1/1/1990,"",IF(Main[[#This Row],[Class]]="C",WORKDAY(Main[[#This Row],[Tech Start Date]],19),IF(Main[[#This Row],[Class]]="B", WORKDAY(Main[[#This Row],[Tech Start Date]],12),IF(Main[[#This Row],[Class]]="A",WORKDAY(Main[[#This Row],[Tech Start Date]],4),""))))</f>
        <v>40799</v>
      </c>
      <c r="O1421" s="69">
        <f>IF(Main[[#This Row],[Tech Start Date]]&lt;1/1/1990,"",IF(Main[[#This Row],[Class]]="C",WORKDAY(Main[[#This Row],[Tech Start Date]],23),IF(Main[[#This Row],[Class]]="B", WORKDAY(Main[[#This Row],[Tech Start Date]],15),IF(Main[[#This Row],[Class]]="A",WORKDAY(Main[[#This Row],[Tech Start Date]],5),""))))</f>
        <v>40805</v>
      </c>
      <c r="P1421" s="69">
        <f>IF(Main[[#This Row],[Tech Start Date]]&lt;1/1/1990,"",IF(Main[[#This Row],[Class]]="C",WORKDAY(Main[[#This Row],[Tech Start Date]],28),IF(Main[[#This Row],[Class]]="B", WORKDAY(Main[[#This Row],[Tech Start Date]],19),IF(Main[[#This Row],[Class]]="A",WORKDAY(Main[[#This Row],[Tech Start Date]],9),""))))</f>
        <v>40812</v>
      </c>
      <c r="Q1421" s="67">
        <v>40687</v>
      </c>
      <c r="R1421" s="67">
        <v>41045</v>
      </c>
      <c r="S1421" s="65" t="s">
        <v>11</v>
      </c>
      <c r="T1421" s="70" t="s">
        <v>3794</v>
      </c>
      <c r="U1421" s="65" t="s">
        <v>29</v>
      </c>
      <c r="V1421" s="65" t="s">
        <v>1914</v>
      </c>
      <c r="W1421" s="65" t="s">
        <v>1919</v>
      </c>
      <c r="X1421" s="65" t="s">
        <v>2843</v>
      </c>
      <c r="Y1421" s="65" t="s">
        <v>3154</v>
      </c>
      <c r="Z1421" s="65" t="s">
        <v>877</v>
      </c>
      <c r="AA1421" s="65" t="s">
        <v>2843</v>
      </c>
    </row>
    <row r="1422" spans="1:27" ht="17.45" hidden="1" customHeight="1">
      <c r="A1422" s="100">
        <f>IF(priority(Main[[#This Row],[Comments]])&lt;&gt;0, priority(Main[[#This Row],[Comments]]),"")</f>
        <v>12</v>
      </c>
      <c r="B1422" s="77" t="s">
        <v>3204</v>
      </c>
      <c r="C1422" s="65" t="s">
        <v>3212</v>
      </c>
      <c r="D1422" s="66" t="s">
        <v>3825</v>
      </c>
      <c r="E1422" s="67">
        <v>40921.041666666664</v>
      </c>
      <c r="F1422" s="67">
        <v>41122</v>
      </c>
      <c r="G1422" s="64">
        <f>IF(stdProdLT(Main[[#This Row],[Comments]])=0.1,"N/A",IF(stdProdLT(Main[[#This Row],[Comments]])=0,"",stdProdLT(Main[[#This Row],[Comments]])))</f>
        <v>168</v>
      </c>
      <c r="H1422" s="68">
        <f>IF(AND(Main[[#This Row],[In Stock Date]]&lt;&gt;"",Main[[#This Row],[Revised Due Date]]&lt;&gt;""),Main[[#This Row],[In Stock Date]]-Main[[#This Row],[Revised Due Date]],"")</f>
        <v>159</v>
      </c>
      <c r="I1422" s="65" t="s">
        <v>102</v>
      </c>
      <c r="J1422" s="65" t="s">
        <v>51</v>
      </c>
      <c r="K1422" s="65" t="s">
        <v>1927</v>
      </c>
      <c r="L1422" s="67">
        <v>40924</v>
      </c>
      <c r="M1422" s="69">
        <f>IF(Main[[#This Row],[Tech Start Date]]&lt;1/1/1990,"",IF(Main[[#This Row],[Class]]="C",WORKDAY(Main[[#This Row],[Tech Start Date]],9),IF(Main[[#This Row],[Class]]="B", WORKDAY(Main[[#This Row],[Tech Start Date]],6),IF(Main[[#This Row],[Class]]="A",WORKDAY(Main[[#This Row],[Tech Start Date]],2),""))))</f>
        <v>40935</v>
      </c>
      <c r="N1422" s="69">
        <f>IF(Main[[#This Row],[Tech Start Date]]&lt;1/1/1990,"",IF(Main[[#This Row],[Class]]="C",WORKDAY(Main[[#This Row],[Tech Start Date]],19),IF(Main[[#This Row],[Class]]="B", WORKDAY(Main[[#This Row],[Tech Start Date]],12),IF(Main[[#This Row],[Class]]="A",WORKDAY(Main[[#This Row],[Tech Start Date]],4),""))))</f>
        <v>40949</v>
      </c>
      <c r="O1422" s="69">
        <f>IF(Main[[#This Row],[Tech Start Date]]&lt;1/1/1990,"",IF(Main[[#This Row],[Class]]="C",WORKDAY(Main[[#This Row],[Tech Start Date]],23),IF(Main[[#This Row],[Class]]="B", WORKDAY(Main[[#This Row],[Tech Start Date]],15),IF(Main[[#This Row],[Class]]="A",WORKDAY(Main[[#This Row],[Tech Start Date]],5),""))))</f>
        <v>40955</v>
      </c>
      <c r="P1422" s="69">
        <f>IF(Main[[#This Row],[Tech Start Date]]&lt;1/1/1990,"",IF(Main[[#This Row],[Class]]="C",WORKDAY(Main[[#This Row],[Tech Start Date]],28),IF(Main[[#This Row],[Class]]="B", WORKDAY(Main[[#This Row],[Tech Start Date]],19),IF(Main[[#This Row],[Class]]="A",WORKDAY(Main[[#This Row],[Tech Start Date]],9),""))))</f>
        <v>40962</v>
      </c>
      <c r="Q1422" s="67">
        <v>40953</v>
      </c>
      <c r="R1422" s="67">
        <v>40963</v>
      </c>
      <c r="S1422" s="65" t="s">
        <v>11</v>
      </c>
      <c r="T1422" s="70" t="s">
        <v>3826</v>
      </c>
      <c r="U1422" s="65" t="s">
        <v>29</v>
      </c>
      <c r="V1422" s="65" t="s">
        <v>1917</v>
      </c>
      <c r="W1422" s="65" t="s">
        <v>1920</v>
      </c>
      <c r="X1422" s="65" t="s">
        <v>2848</v>
      </c>
      <c r="Y1422" s="65" t="s">
        <v>2979</v>
      </c>
      <c r="Z1422" s="65" t="s">
        <v>306</v>
      </c>
      <c r="AA1422" s="65" t="s">
        <v>2848</v>
      </c>
    </row>
    <row r="1423" spans="1:27" ht="17.45" hidden="1" customHeight="1">
      <c r="A1423" s="100">
        <f>IF(priority(Main[[#This Row],[Comments]])&lt;&gt;0, priority(Main[[#This Row],[Comments]]),"")</f>
        <v>42</v>
      </c>
      <c r="B1423" s="77" t="s">
        <v>3196</v>
      </c>
      <c r="C1423" s="65" t="s">
        <v>3208</v>
      </c>
      <c r="D1423" s="66" t="s">
        <v>3197</v>
      </c>
      <c r="E1423" s="67"/>
      <c r="F1423" s="67">
        <v>41153</v>
      </c>
      <c r="G1423" s="64">
        <f>IF(stdProdLT(Main[[#This Row],[Comments]])=0.1,"N/A",IF(stdProdLT(Main[[#This Row],[Comments]])=0,"",stdProdLT(Main[[#This Row],[Comments]])))</f>
        <v>140</v>
      </c>
      <c r="H1423" s="68">
        <f>IF(AND(Main[[#This Row],[In Stock Date]]&lt;&gt;"",Main[[#This Row],[Revised Due Date]]&lt;&gt;""),Main[[#This Row],[In Stock Date]]-Main[[#This Row],[Revised Due Date]],"")</f>
        <v>194</v>
      </c>
      <c r="I1423" s="65" t="s">
        <v>69</v>
      </c>
      <c r="J1423" s="65" t="s">
        <v>70</v>
      </c>
      <c r="K1423" s="65" t="s">
        <v>1921</v>
      </c>
      <c r="L1423" s="67">
        <v>40925</v>
      </c>
      <c r="M1423" s="69">
        <f>IF(Main[[#This Row],[Tech Start Date]]&lt;1/1/1990,"",IF(Main[[#This Row],[Class]]="C",WORKDAY(Main[[#This Row],[Tech Start Date]],9),IF(Main[[#This Row],[Class]]="B", WORKDAY(Main[[#This Row],[Tech Start Date]],6),IF(Main[[#This Row],[Class]]="A",WORKDAY(Main[[#This Row],[Tech Start Date]],2),""))))</f>
        <v>40933</v>
      </c>
      <c r="N1423" s="69">
        <f>IF(Main[[#This Row],[Tech Start Date]]&lt;1/1/1990,"",IF(Main[[#This Row],[Class]]="C",WORKDAY(Main[[#This Row],[Tech Start Date]],19),IF(Main[[#This Row],[Class]]="B", WORKDAY(Main[[#This Row],[Tech Start Date]],12),IF(Main[[#This Row],[Class]]="A",WORKDAY(Main[[#This Row],[Tech Start Date]],4),""))))</f>
        <v>40941</v>
      </c>
      <c r="O1423" s="69">
        <f>IF(Main[[#This Row],[Tech Start Date]]&lt;1/1/1990,"",IF(Main[[#This Row],[Class]]="C",WORKDAY(Main[[#This Row],[Tech Start Date]],23),IF(Main[[#This Row],[Class]]="B", WORKDAY(Main[[#This Row],[Tech Start Date]],15),IF(Main[[#This Row],[Class]]="A",WORKDAY(Main[[#This Row],[Tech Start Date]],5),""))))</f>
        <v>40946</v>
      </c>
      <c r="P1423" s="69">
        <f>IF(Main[[#This Row],[Tech Start Date]]&lt;1/1/1990,"",IF(Main[[#This Row],[Class]]="C",WORKDAY(Main[[#This Row],[Tech Start Date]],28),IF(Main[[#This Row],[Class]]="B", WORKDAY(Main[[#This Row],[Tech Start Date]],19),IF(Main[[#This Row],[Class]]="A",WORKDAY(Main[[#This Row],[Tech Start Date]],9),""))))</f>
        <v>40952</v>
      </c>
      <c r="Q1423" s="67">
        <v>40959</v>
      </c>
      <c r="R1423" s="67">
        <v>40959</v>
      </c>
      <c r="S1423" s="65" t="s">
        <v>11</v>
      </c>
      <c r="T1423" s="70" t="s">
        <v>3235</v>
      </c>
      <c r="U1423" s="65" t="s">
        <v>14</v>
      </c>
      <c r="V1423" s="65" t="s">
        <v>1924</v>
      </c>
      <c r="W1423" s="65" t="s">
        <v>1920</v>
      </c>
      <c r="X1423" s="65" t="s">
        <v>2846</v>
      </c>
      <c r="Y1423" s="65" t="s">
        <v>4</v>
      </c>
      <c r="Z1423" s="65" t="s">
        <v>530</v>
      </c>
      <c r="AA1423" s="65" t="s">
        <v>2846</v>
      </c>
    </row>
    <row r="1424" spans="1:27" ht="17.45" hidden="1" customHeight="1">
      <c r="A1424" s="100">
        <f>IF(priority(Main[[#This Row],[Comments]])&lt;&gt;0, priority(Main[[#This Row],[Comments]]),"")</f>
        <v>2</v>
      </c>
      <c r="B1424" s="77" t="s">
        <v>3186</v>
      </c>
      <c r="C1424" s="65" t="s">
        <v>3212</v>
      </c>
      <c r="D1424" s="66" t="s">
        <v>3830</v>
      </c>
      <c r="E1424" s="67">
        <v>40920.17900462963</v>
      </c>
      <c r="F1424" s="67">
        <v>41122</v>
      </c>
      <c r="G1424" s="64">
        <f>IF(stdProdLT(Main[[#This Row],[Comments]])=0.1,"N/A",IF(stdProdLT(Main[[#This Row],[Comments]])=0,"",stdProdLT(Main[[#This Row],[Comments]])))</f>
        <v>168</v>
      </c>
      <c r="H1424" s="68">
        <f>IF(AND(Main[[#This Row],[In Stock Date]]&lt;&gt;"",Main[[#This Row],[Revised Due Date]]&lt;&gt;""),Main[[#This Row],[In Stock Date]]-Main[[#This Row],[Revised Due Date]],"")</f>
        <v>160</v>
      </c>
      <c r="I1424" s="65" t="s">
        <v>102</v>
      </c>
      <c r="J1424" s="65" t="s">
        <v>51</v>
      </c>
      <c r="K1424" s="65" t="s">
        <v>1927</v>
      </c>
      <c r="L1424" s="67">
        <v>40925</v>
      </c>
      <c r="M1424" s="69">
        <f>IF(Main[[#This Row],[Tech Start Date]]&lt;1/1/1990,"",IF(Main[[#This Row],[Class]]="C",WORKDAY(Main[[#This Row],[Tech Start Date]],9),IF(Main[[#This Row],[Class]]="B", WORKDAY(Main[[#This Row],[Tech Start Date]],6),IF(Main[[#This Row],[Class]]="A",WORKDAY(Main[[#This Row],[Tech Start Date]],2),""))))</f>
        <v>40938</v>
      </c>
      <c r="N1424" s="69">
        <f>IF(Main[[#This Row],[Tech Start Date]]&lt;1/1/1990,"",IF(Main[[#This Row],[Class]]="C",WORKDAY(Main[[#This Row],[Tech Start Date]],19),IF(Main[[#This Row],[Class]]="B", WORKDAY(Main[[#This Row],[Tech Start Date]],12),IF(Main[[#This Row],[Class]]="A",WORKDAY(Main[[#This Row],[Tech Start Date]],4),""))))</f>
        <v>40952</v>
      </c>
      <c r="O1424" s="69">
        <f>IF(Main[[#This Row],[Tech Start Date]]&lt;1/1/1990,"",IF(Main[[#This Row],[Class]]="C",WORKDAY(Main[[#This Row],[Tech Start Date]],23),IF(Main[[#This Row],[Class]]="B", WORKDAY(Main[[#This Row],[Tech Start Date]],15),IF(Main[[#This Row],[Class]]="A",WORKDAY(Main[[#This Row],[Tech Start Date]],5),""))))</f>
        <v>40956</v>
      </c>
      <c r="P1424" s="69">
        <f>IF(Main[[#This Row],[Tech Start Date]]&lt;1/1/1990,"",IF(Main[[#This Row],[Class]]="C",WORKDAY(Main[[#This Row],[Tech Start Date]],28),IF(Main[[#This Row],[Class]]="B", WORKDAY(Main[[#This Row],[Tech Start Date]],19),IF(Main[[#This Row],[Class]]="A",WORKDAY(Main[[#This Row],[Tech Start Date]],9),""))))</f>
        <v>40963</v>
      </c>
      <c r="Q1424" s="67">
        <v>40953</v>
      </c>
      <c r="R1424" s="67">
        <v>40962</v>
      </c>
      <c r="S1424" s="65" t="s">
        <v>11</v>
      </c>
      <c r="T1424" s="70" t="s">
        <v>3831</v>
      </c>
      <c r="U1424" s="65" t="s">
        <v>29</v>
      </c>
      <c r="V1424" s="65" t="s">
        <v>1917</v>
      </c>
      <c r="W1424" s="65" t="s">
        <v>1920</v>
      </c>
      <c r="X1424" s="65" t="s">
        <v>2848</v>
      </c>
      <c r="Y1424" s="65" t="s">
        <v>2979</v>
      </c>
      <c r="Z1424" s="65" t="s">
        <v>306</v>
      </c>
      <c r="AA1424" s="65" t="s">
        <v>2848</v>
      </c>
    </row>
    <row r="1425" spans="1:27" ht="17.45" hidden="1" customHeight="1">
      <c r="A1425" s="100">
        <f>IF(priority(Main[[#This Row],[Comments]])&lt;&gt;0, priority(Main[[#This Row],[Comments]]),"")</f>
        <v>14</v>
      </c>
      <c r="B1425" s="77" t="s">
        <v>3198</v>
      </c>
      <c r="C1425" s="65" t="s">
        <v>3212</v>
      </c>
      <c r="D1425" s="66" t="s">
        <v>3199</v>
      </c>
      <c r="E1425" s="67">
        <v>40921.094768518517</v>
      </c>
      <c r="F1425" s="67">
        <v>41105</v>
      </c>
      <c r="G1425" s="64">
        <f>IF(stdProdLT(Main[[#This Row],[Comments]])=0.1,"N/A",IF(stdProdLT(Main[[#This Row],[Comments]])=0,"",stdProdLT(Main[[#This Row],[Comments]])))</f>
        <v>168</v>
      </c>
      <c r="H1425" s="68">
        <f>IF(AND(Main[[#This Row],[In Stock Date]]&lt;&gt;"",Main[[#This Row],[Revised Due Date]]&lt;&gt;""),Main[[#This Row],[In Stock Date]]-Main[[#This Row],[Revised Due Date]],"")</f>
        <v>135</v>
      </c>
      <c r="I1425" s="65" t="s">
        <v>44</v>
      </c>
      <c r="J1425" s="65" t="s">
        <v>70</v>
      </c>
      <c r="K1425" s="65" t="s">
        <v>1927</v>
      </c>
      <c r="L1425" s="67">
        <v>40925</v>
      </c>
      <c r="M1425" s="69">
        <f>IF(Main[[#This Row],[Tech Start Date]]&lt;1/1/1990,"",IF(Main[[#This Row],[Class]]="C",WORKDAY(Main[[#This Row],[Tech Start Date]],9),IF(Main[[#This Row],[Class]]="B", WORKDAY(Main[[#This Row],[Tech Start Date]],6),IF(Main[[#This Row],[Class]]="A",WORKDAY(Main[[#This Row],[Tech Start Date]],2),""))))</f>
        <v>40938</v>
      </c>
      <c r="N1425" s="69">
        <f>IF(Main[[#This Row],[Tech Start Date]]&lt;1/1/1990,"",IF(Main[[#This Row],[Class]]="C",WORKDAY(Main[[#This Row],[Tech Start Date]],19),IF(Main[[#This Row],[Class]]="B", WORKDAY(Main[[#This Row],[Tech Start Date]],12),IF(Main[[#This Row],[Class]]="A",WORKDAY(Main[[#This Row],[Tech Start Date]],4),""))))</f>
        <v>40952</v>
      </c>
      <c r="O1425" s="69">
        <f>IF(Main[[#This Row],[Tech Start Date]]&lt;1/1/1990,"",IF(Main[[#This Row],[Class]]="C",WORKDAY(Main[[#This Row],[Tech Start Date]],23),IF(Main[[#This Row],[Class]]="B", WORKDAY(Main[[#This Row],[Tech Start Date]],15),IF(Main[[#This Row],[Class]]="A",WORKDAY(Main[[#This Row],[Tech Start Date]],5),""))))</f>
        <v>40956</v>
      </c>
      <c r="P1425" s="69">
        <f>IF(Main[[#This Row],[Tech Start Date]]&lt;1/1/1990,"",IF(Main[[#This Row],[Class]]="C",WORKDAY(Main[[#This Row],[Tech Start Date]],28),IF(Main[[#This Row],[Class]]="B", WORKDAY(Main[[#This Row],[Tech Start Date]],19),IF(Main[[#This Row],[Class]]="A",WORKDAY(Main[[#This Row],[Tech Start Date]],9),""))))</f>
        <v>40963</v>
      </c>
      <c r="Q1425" s="67">
        <v>40953</v>
      </c>
      <c r="R1425" s="67">
        <v>40970</v>
      </c>
      <c r="S1425" s="65" t="s">
        <v>11</v>
      </c>
      <c r="T1425" s="70" t="s">
        <v>3833</v>
      </c>
      <c r="U1425" s="65" t="s">
        <v>29</v>
      </c>
      <c r="V1425" s="65" t="s">
        <v>1917</v>
      </c>
      <c r="W1425" s="65" t="s">
        <v>1920</v>
      </c>
      <c r="X1425" s="65" t="s">
        <v>2848</v>
      </c>
      <c r="Y1425" s="65" t="s">
        <v>2979</v>
      </c>
      <c r="Z1425" s="65" t="s">
        <v>530</v>
      </c>
      <c r="AA1425" s="65" t="s">
        <v>2848</v>
      </c>
    </row>
    <row r="1426" spans="1:27" ht="17.45" hidden="1" customHeight="1">
      <c r="A1426" s="100">
        <f>IF(priority(Main[[#This Row],[Comments]])&lt;&gt;0, priority(Main[[#This Row],[Comments]]),"")</f>
        <v>17</v>
      </c>
      <c r="B1426" s="77" t="s">
        <v>3200</v>
      </c>
      <c r="C1426" s="65" t="s">
        <v>3212</v>
      </c>
      <c r="D1426" s="66" t="s">
        <v>3201</v>
      </c>
      <c r="E1426" s="67"/>
      <c r="F1426" s="67">
        <v>41122</v>
      </c>
      <c r="G1426" s="64">
        <f>IF(stdProdLT(Main[[#This Row],[Comments]])=0.1,"N/A",IF(stdProdLT(Main[[#This Row],[Comments]])=0,"",stdProdLT(Main[[#This Row],[Comments]])))</f>
        <v>168</v>
      </c>
      <c r="H1426" s="68">
        <f>IF(AND(Main[[#This Row],[In Stock Date]]&lt;&gt;"",Main[[#This Row],[Revised Due Date]]&lt;&gt;""),Main[[#This Row],[In Stock Date]]-Main[[#This Row],[Revised Due Date]],"")</f>
        <v>173</v>
      </c>
      <c r="I1426" s="65" t="s">
        <v>44</v>
      </c>
      <c r="J1426" s="65" t="s">
        <v>28</v>
      </c>
      <c r="K1426" s="65" t="s">
        <v>1927</v>
      </c>
      <c r="L1426" s="67">
        <v>40925</v>
      </c>
      <c r="M1426" s="69">
        <f>IF(Main[[#This Row],[Tech Start Date]]&lt;1/1/1990,"",IF(Main[[#This Row],[Class]]="C",WORKDAY(Main[[#This Row],[Tech Start Date]],9),IF(Main[[#This Row],[Class]]="B", WORKDAY(Main[[#This Row],[Tech Start Date]],6),IF(Main[[#This Row],[Class]]="A",WORKDAY(Main[[#This Row],[Tech Start Date]],2),""))))</f>
        <v>40938</v>
      </c>
      <c r="N1426" s="69">
        <f>IF(Main[[#This Row],[Tech Start Date]]&lt;1/1/1990,"",IF(Main[[#This Row],[Class]]="C",WORKDAY(Main[[#This Row],[Tech Start Date]],19),IF(Main[[#This Row],[Class]]="B", WORKDAY(Main[[#This Row],[Tech Start Date]],12),IF(Main[[#This Row],[Class]]="A",WORKDAY(Main[[#This Row],[Tech Start Date]],4),""))))</f>
        <v>40952</v>
      </c>
      <c r="O1426" s="69">
        <f>IF(Main[[#This Row],[Tech Start Date]]&lt;1/1/1990,"",IF(Main[[#This Row],[Class]]="C",WORKDAY(Main[[#This Row],[Tech Start Date]],23),IF(Main[[#This Row],[Class]]="B", WORKDAY(Main[[#This Row],[Tech Start Date]],15),IF(Main[[#This Row],[Class]]="A",WORKDAY(Main[[#This Row],[Tech Start Date]],5),""))))</f>
        <v>40956</v>
      </c>
      <c r="P1426" s="69">
        <f>IF(Main[[#This Row],[Tech Start Date]]&lt;1/1/1990,"",IF(Main[[#This Row],[Class]]="C",WORKDAY(Main[[#This Row],[Tech Start Date]],28),IF(Main[[#This Row],[Class]]="B", WORKDAY(Main[[#This Row],[Tech Start Date]],19),IF(Main[[#This Row],[Class]]="A",WORKDAY(Main[[#This Row],[Tech Start Date]],9),""))))</f>
        <v>40963</v>
      </c>
      <c r="Q1426" s="67">
        <v>40973</v>
      </c>
      <c r="R1426" s="67">
        <v>40949</v>
      </c>
      <c r="S1426" s="65" t="s">
        <v>11</v>
      </c>
      <c r="T1426" s="70" t="s">
        <v>3832</v>
      </c>
      <c r="U1426" s="65" t="s">
        <v>14</v>
      </c>
      <c r="V1426" s="65" t="s">
        <v>1917</v>
      </c>
      <c r="W1426" s="65" t="s">
        <v>1920</v>
      </c>
      <c r="X1426" s="65" t="s">
        <v>2848</v>
      </c>
      <c r="Y1426" s="65" t="s">
        <v>2979</v>
      </c>
      <c r="Z1426" s="65" t="s">
        <v>530</v>
      </c>
      <c r="AA1426" s="65" t="s">
        <v>2848</v>
      </c>
    </row>
    <row r="1427" spans="1:27" ht="17.45" hidden="1" customHeight="1">
      <c r="A1427" s="100">
        <f>IF(priority(Main[[#This Row],[Comments]])&lt;&gt;0, priority(Main[[#This Row],[Comments]]),"")</f>
        <v>99</v>
      </c>
      <c r="B1427" s="77" t="s">
        <v>3184</v>
      </c>
      <c r="C1427" s="65" t="s">
        <v>3901</v>
      </c>
      <c r="D1427" s="66" t="s">
        <v>3829</v>
      </c>
      <c r="E1427" s="67">
        <v>40920.303043981483</v>
      </c>
      <c r="F1427" s="67">
        <v>41153</v>
      </c>
      <c r="G1427" s="64">
        <f>IF(stdProdLT(Main[[#This Row],[Comments]])=0.1,"N/A",IF(stdProdLT(Main[[#This Row],[Comments]])=0,"",stdProdLT(Main[[#This Row],[Comments]])))</f>
        <v>168</v>
      </c>
      <c r="H1427" s="68">
        <f>IF(AND(Main[[#This Row],[In Stock Date]]&lt;&gt;"",Main[[#This Row],[Revised Due Date]]&lt;&gt;""),Main[[#This Row],[In Stock Date]]-Main[[#This Row],[Revised Due Date]],"")</f>
        <v>183</v>
      </c>
      <c r="I1427" s="65" t="s">
        <v>765</v>
      </c>
      <c r="J1427" s="65" t="s">
        <v>52</v>
      </c>
      <c r="K1427" s="65" t="s">
        <v>1927</v>
      </c>
      <c r="L1427" s="67">
        <v>40925</v>
      </c>
      <c r="M1427" s="69">
        <f>IF(Main[[#This Row],[Tech Start Date]]&lt;1/1/1990,"",IF(Main[[#This Row],[Class]]="C",WORKDAY(Main[[#This Row],[Tech Start Date]],9),IF(Main[[#This Row],[Class]]="B", WORKDAY(Main[[#This Row],[Tech Start Date]],6),IF(Main[[#This Row],[Class]]="A",WORKDAY(Main[[#This Row],[Tech Start Date]],2),""))))</f>
        <v>40938</v>
      </c>
      <c r="N1427" s="69">
        <f>IF(Main[[#This Row],[Tech Start Date]]&lt;1/1/1990,"",IF(Main[[#This Row],[Class]]="C",WORKDAY(Main[[#This Row],[Tech Start Date]],19),IF(Main[[#This Row],[Class]]="B", WORKDAY(Main[[#This Row],[Tech Start Date]],12),IF(Main[[#This Row],[Class]]="A",WORKDAY(Main[[#This Row],[Tech Start Date]],4),""))))</f>
        <v>40952</v>
      </c>
      <c r="O1427" s="69">
        <f>IF(Main[[#This Row],[Tech Start Date]]&lt;1/1/1990,"",IF(Main[[#This Row],[Class]]="C",WORKDAY(Main[[#This Row],[Tech Start Date]],23),IF(Main[[#This Row],[Class]]="B", WORKDAY(Main[[#This Row],[Tech Start Date]],15),IF(Main[[#This Row],[Class]]="A",WORKDAY(Main[[#This Row],[Tech Start Date]],5),""))))</f>
        <v>40956</v>
      </c>
      <c r="P1427" s="69">
        <f>IF(Main[[#This Row],[Tech Start Date]]&lt;1/1/1990,"",IF(Main[[#This Row],[Class]]="C",WORKDAY(Main[[#This Row],[Tech Start Date]],28),IF(Main[[#This Row],[Class]]="B", WORKDAY(Main[[#This Row],[Tech Start Date]],19),IF(Main[[#This Row],[Class]]="A",WORKDAY(Main[[#This Row],[Tech Start Date]],9),""))))</f>
        <v>40963</v>
      </c>
      <c r="Q1427" s="67">
        <v>40984</v>
      </c>
      <c r="R1427" s="67">
        <v>40970</v>
      </c>
      <c r="S1427" s="65" t="s">
        <v>11</v>
      </c>
      <c r="T1427" s="70" t="s">
        <v>3997</v>
      </c>
      <c r="U1427" s="65" t="s">
        <v>29</v>
      </c>
      <c r="V1427" s="65" t="s">
        <v>1917</v>
      </c>
      <c r="W1427" s="65" t="s">
        <v>1925</v>
      </c>
      <c r="X1427" s="65" t="s">
        <v>2846</v>
      </c>
      <c r="Y1427" s="65" t="s">
        <v>4</v>
      </c>
      <c r="Z1427" s="65" t="s">
        <v>530</v>
      </c>
      <c r="AA1427" s="65" t="s">
        <v>2846</v>
      </c>
    </row>
    <row r="1428" spans="1:27" ht="17.45" hidden="1" customHeight="1">
      <c r="A1428" s="100">
        <f>IF(priority(Main[[#This Row],[Comments]])&lt;&gt;0, priority(Main[[#This Row],[Comments]]),"")</f>
        <v>13</v>
      </c>
      <c r="B1428" s="77" t="s">
        <v>3202</v>
      </c>
      <c r="C1428" s="65" t="s">
        <v>3212</v>
      </c>
      <c r="D1428" s="66" t="s">
        <v>3203</v>
      </c>
      <c r="E1428" s="67">
        <v>40921.060983796298</v>
      </c>
      <c r="F1428" s="67">
        <v>41105</v>
      </c>
      <c r="G1428" s="64">
        <f>IF(stdProdLT(Main[[#This Row],[Comments]])=0.1,"N/A",IF(stdProdLT(Main[[#This Row],[Comments]])=0,"",stdProdLT(Main[[#This Row],[Comments]])))</f>
        <v>168</v>
      </c>
      <c r="H1428" s="68">
        <f>IF(AND(Main[[#This Row],[In Stock Date]]&lt;&gt;"",Main[[#This Row],[Revised Due Date]]&lt;&gt;""),Main[[#This Row],[In Stock Date]]-Main[[#This Row],[Revised Due Date]],"")</f>
        <v>130</v>
      </c>
      <c r="I1428" s="65" t="s">
        <v>489</v>
      </c>
      <c r="J1428" s="65" t="s">
        <v>70</v>
      </c>
      <c r="K1428" s="65" t="s">
        <v>1927</v>
      </c>
      <c r="L1428" s="67">
        <v>40925</v>
      </c>
      <c r="M1428" s="69">
        <f>IF(Main[[#This Row],[Tech Start Date]]&lt;1/1/1990,"",IF(Main[[#This Row],[Class]]="C",WORKDAY(Main[[#This Row],[Tech Start Date]],9),IF(Main[[#This Row],[Class]]="B", WORKDAY(Main[[#This Row],[Tech Start Date]],6),IF(Main[[#This Row],[Class]]="A",WORKDAY(Main[[#This Row],[Tech Start Date]],2),""))))</f>
        <v>40938</v>
      </c>
      <c r="N1428" s="69">
        <f>IF(Main[[#This Row],[Tech Start Date]]&lt;1/1/1990,"",IF(Main[[#This Row],[Class]]="C",WORKDAY(Main[[#This Row],[Tech Start Date]],19),IF(Main[[#This Row],[Class]]="B", WORKDAY(Main[[#This Row],[Tech Start Date]],12),IF(Main[[#This Row],[Class]]="A",WORKDAY(Main[[#This Row],[Tech Start Date]],4),""))))</f>
        <v>40952</v>
      </c>
      <c r="O1428" s="69">
        <f>IF(Main[[#This Row],[Tech Start Date]]&lt;1/1/1990,"",IF(Main[[#This Row],[Class]]="C",WORKDAY(Main[[#This Row],[Tech Start Date]],23),IF(Main[[#This Row],[Class]]="B", WORKDAY(Main[[#This Row],[Tech Start Date]],15),IF(Main[[#This Row],[Class]]="A",WORKDAY(Main[[#This Row],[Tech Start Date]],5),""))))</f>
        <v>40956</v>
      </c>
      <c r="P1428" s="69">
        <f>IF(Main[[#This Row],[Tech Start Date]]&lt;1/1/1990,"",IF(Main[[#This Row],[Class]]="C",WORKDAY(Main[[#This Row],[Tech Start Date]],28),IF(Main[[#This Row],[Class]]="B", WORKDAY(Main[[#This Row],[Tech Start Date]],19),IF(Main[[#This Row],[Class]]="A",WORKDAY(Main[[#This Row],[Tech Start Date]],9),""))))</f>
        <v>40963</v>
      </c>
      <c r="Q1428" s="67">
        <v>40953</v>
      </c>
      <c r="R1428" s="67">
        <v>40975</v>
      </c>
      <c r="S1428" s="65" t="s">
        <v>11</v>
      </c>
      <c r="T1428" s="70" t="s">
        <v>3828</v>
      </c>
      <c r="U1428" s="65" t="s">
        <v>29</v>
      </c>
      <c r="V1428" s="65" t="s">
        <v>1917</v>
      </c>
      <c r="W1428" s="65" t="s">
        <v>1920</v>
      </c>
      <c r="X1428" s="65" t="s">
        <v>2848</v>
      </c>
      <c r="Y1428" s="65" t="s">
        <v>2979</v>
      </c>
      <c r="Z1428" s="65" t="s">
        <v>530</v>
      </c>
      <c r="AA1428" s="65" t="s">
        <v>2848</v>
      </c>
    </row>
    <row r="1429" spans="1:27" ht="17.45" hidden="1" customHeight="1">
      <c r="A1429" s="100">
        <f>IF(priority(Main[[#This Row],[Comments]])&lt;&gt;0, priority(Main[[#This Row],[Comments]]),"")</f>
        <v>6</v>
      </c>
      <c r="B1429" s="77" t="s">
        <v>3226</v>
      </c>
      <c r="C1429" s="65" t="s">
        <v>3208</v>
      </c>
      <c r="D1429" s="66" t="s">
        <v>3970</v>
      </c>
      <c r="E1429" s="67">
        <v>40925.100439814814</v>
      </c>
      <c r="F1429" s="67">
        <v>41153</v>
      </c>
      <c r="G1429" s="64">
        <f>IF(stdProdLT(Main[[#This Row],[Comments]])=0.1,"N/A",IF(stdProdLT(Main[[#This Row],[Comments]])=0,"",stdProdLT(Main[[#This Row],[Comments]])))</f>
        <v>140</v>
      </c>
      <c r="H1429" s="68">
        <f>IF(AND(Main[[#This Row],[In Stock Date]]&lt;&gt;"",Main[[#This Row],[Revised Due Date]]&lt;&gt;""),Main[[#This Row],[In Stock Date]]-Main[[#This Row],[Revised Due Date]],"")</f>
        <v>190</v>
      </c>
      <c r="I1429" s="65" t="s">
        <v>399</v>
      </c>
      <c r="J1429" s="65" t="s">
        <v>51</v>
      </c>
      <c r="K1429" s="65" t="s">
        <v>1921</v>
      </c>
      <c r="L1429" s="67">
        <v>40925</v>
      </c>
      <c r="M1429" s="69">
        <f>IF(Main[[#This Row],[Tech Start Date]]&lt;1/1/1990,"",IF(Main[[#This Row],[Class]]="C",WORKDAY(Main[[#This Row],[Tech Start Date]],9),IF(Main[[#This Row],[Class]]="B", WORKDAY(Main[[#This Row],[Tech Start Date]],6),IF(Main[[#This Row],[Class]]="A",WORKDAY(Main[[#This Row],[Tech Start Date]],2),""))))</f>
        <v>40933</v>
      </c>
      <c r="N1429" s="69">
        <f>IF(Main[[#This Row],[Tech Start Date]]&lt;1/1/1990,"",IF(Main[[#This Row],[Class]]="C",WORKDAY(Main[[#This Row],[Tech Start Date]],19),IF(Main[[#This Row],[Class]]="B", WORKDAY(Main[[#This Row],[Tech Start Date]],12),IF(Main[[#This Row],[Class]]="A",WORKDAY(Main[[#This Row],[Tech Start Date]],4),""))))</f>
        <v>40941</v>
      </c>
      <c r="O1429" s="69">
        <f>IF(Main[[#This Row],[Tech Start Date]]&lt;1/1/1990,"",IF(Main[[#This Row],[Class]]="C",WORKDAY(Main[[#This Row],[Tech Start Date]],23),IF(Main[[#This Row],[Class]]="B", WORKDAY(Main[[#This Row],[Tech Start Date]],15),IF(Main[[#This Row],[Class]]="A",WORKDAY(Main[[#This Row],[Tech Start Date]],5),""))))</f>
        <v>40946</v>
      </c>
      <c r="P1429" s="69">
        <f>IF(Main[[#This Row],[Tech Start Date]]&lt;1/1/1990,"",IF(Main[[#This Row],[Class]]="C",WORKDAY(Main[[#This Row],[Tech Start Date]],28),IF(Main[[#This Row],[Class]]="B", WORKDAY(Main[[#This Row],[Tech Start Date]],19),IF(Main[[#This Row],[Class]]="A",WORKDAY(Main[[#This Row],[Tech Start Date]],9),""))))</f>
        <v>40952</v>
      </c>
      <c r="Q1429" s="67">
        <v>41011</v>
      </c>
      <c r="R1429" s="67">
        <v>40963</v>
      </c>
      <c r="S1429" s="65" t="s">
        <v>11</v>
      </c>
      <c r="T1429" s="70" t="s">
        <v>3834</v>
      </c>
      <c r="U1429" s="65" t="s">
        <v>534</v>
      </c>
      <c r="V1429" s="65" t="s">
        <v>1924</v>
      </c>
      <c r="W1429" s="65" t="s">
        <v>1920</v>
      </c>
      <c r="X1429" s="65" t="s">
        <v>2848</v>
      </c>
      <c r="Y1429" s="65" t="s">
        <v>2979</v>
      </c>
      <c r="Z1429" s="65" t="s">
        <v>530</v>
      </c>
      <c r="AA1429" s="65" t="s">
        <v>2848</v>
      </c>
    </row>
    <row r="1430" spans="1:27" ht="17.45" hidden="1" customHeight="1">
      <c r="A1430" s="100">
        <f>IF(priority(Main[[#This Row],[Comments]])&lt;&gt;0, priority(Main[[#This Row],[Comments]]),"")</f>
        <v>33</v>
      </c>
      <c r="B1430" s="77" t="s">
        <v>2765</v>
      </c>
      <c r="C1430" s="65" t="s">
        <v>2008</v>
      </c>
      <c r="D1430" s="66" t="s">
        <v>2766</v>
      </c>
      <c r="E1430" s="67">
        <v>40914.055902777778</v>
      </c>
      <c r="F1430" s="67">
        <v>41153</v>
      </c>
      <c r="G1430" s="64">
        <f>IF(stdProdLT(Main[[#This Row],[Comments]])=0.1,"N/A",IF(stdProdLT(Main[[#This Row],[Comments]])=0,"",stdProdLT(Main[[#This Row],[Comments]])))</f>
        <v>168</v>
      </c>
      <c r="H1430" s="68">
        <f>IF(AND(Main[[#This Row],[In Stock Date]]&lt;&gt;"",Main[[#This Row],[Revised Due Date]]&lt;&gt;""),Main[[#This Row],[In Stock Date]]-Main[[#This Row],[Revised Due Date]],"")</f>
        <v>177</v>
      </c>
      <c r="I1430" s="65" t="s">
        <v>171</v>
      </c>
      <c r="J1430" s="65" t="s">
        <v>70</v>
      </c>
      <c r="K1430" s="65" t="s">
        <v>1927</v>
      </c>
      <c r="L1430" s="67">
        <v>40925</v>
      </c>
      <c r="M1430" s="69">
        <f>IF(Main[[#This Row],[Tech Start Date]]&lt;1/1/1990,"",IF(Main[[#This Row],[Class]]="C",WORKDAY(Main[[#This Row],[Tech Start Date]],9),IF(Main[[#This Row],[Class]]="B", WORKDAY(Main[[#This Row],[Tech Start Date]],6),IF(Main[[#This Row],[Class]]="A",WORKDAY(Main[[#This Row],[Tech Start Date]],2),""))))</f>
        <v>40938</v>
      </c>
      <c r="N1430" s="69">
        <f>IF(Main[[#This Row],[Tech Start Date]]&lt;1/1/1990,"",IF(Main[[#This Row],[Class]]="C",WORKDAY(Main[[#This Row],[Tech Start Date]],19),IF(Main[[#This Row],[Class]]="B", WORKDAY(Main[[#This Row],[Tech Start Date]],12),IF(Main[[#This Row],[Class]]="A",WORKDAY(Main[[#This Row],[Tech Start Date]],4),""))))</f>
        <v>40952</v>
      </c>
      <c r="O1430" s="69">
        <f>IF(Main[[#This Row],[Tech Start Date]]&lt;1/1/1990,"",IF(Main[[#This Row],[Class]]="C",WORKDAY(Main[[#This Row],[Tech Start Date]],23),IF(Main[[#This Row],[Class]]="B", WORKDAY(Main[[#This Row],[Tech Start Date]],15),IF(Main[[#This Row],[Class]]="A",WORKDAY(Main[[#This Row],[Tech Start Date]],5),""))))</f>
        <v>40956</v>
      </c>
      <c r="P1430" s="69">
        <f>IF(Main[[#This Row],[Tech Start Date]]&lt;1/1/1990,"",IF(Main[[#This Row],[Class]]="C",WORKDAY(Main[[#This Row],[Tech Start Date]],28),IF(Main[[#This Row],[Class]]="B", WORKDAY(Main[[#This Row],[Tech Start Date]],19),IF(Main[[#This Row],[Class]]="A",WORKDAY(Main[[#This Row],[Tech Start Date]],9),""))))</f>
        <v>40963</v>
      </c>
      <c r="Q1430" s="67">
        <v>40984</v>
      </c>
      <c r="R1430" s="67">
        <v>40976</v>
      </c>
      <c r="S1430" s="65" t="s">
        <v>11</v>
      </c>
      <c r="T1430" s="70" t="s">
        <v>3835</v>
      </c>
      <c r="U1430" s="65" t="s">
        <v>29</v>
      </c>
      <c r="V1430" s="65" t="s">
        <v>1917</v>
      </c>
      <c r="W1430" s="65" t="s">
        <v>1920</v>
      </c>
      <c r="X1430" s="65" t="s">
        <v>2854</v>
      </c>
      <c r="Y1430" s="65" t="s">
        <v>4</v>
      </c>
      <c r="Z1430" s="65" t="s">
        <v>530</v>
      </c>
      <c r="AA1430" s="65" t="s">
        <v>2854</v>
      </c>
    </row>
    <row r="1431" spans="1:27" ht="17.45" hidden="1" customHeight="1">
      <c r="A1431" s="100">
        <f>IF(priority(Main[[#This Row],[Comments]])&lt;&gt;0, priority(Main[[#This Row],[Comments]]),"")</f>
        <v>34</v>
      </c>
      <c r="B1431" s="77" t="s">
        <v>3182</v>
      </c>
      <c r="C1431" s="65" t="s">
        <v>3901</v>
      </c>
      <c r="D1431" s="66" t="s">
        <v>3183</v>
      </c>
      <c r="E1431" s="67">
        <v>40920.243854166663</v>
      </c>
      <c r="F1431" s="67">
        <v>41153</v>
      </c>
      <c r="G1431" s="64">
        <f>IF(stdProdLT(Main[[#This Row],[Comments]])=0.1,"N/A",IF(stdProdLT(Main[[#This Row],[Comments]])=0,"",stdProdLT(Main[[#This Row],[Comments]])))</f>
        <v>168</v>
      </c>
      <c r="H1431" s="68">
        <f>IF(AND(Main[[#This Row],[In Stock Date]]&lt;&gt;"",Main[[#This Row],[Revised Due Date]]&lt;&gt;""),Main[[#This Row],[In Stock Date]]-Main[[#This Row],[Revised Due Date]],"")</f>
        <v>184</v>
      </c>
      <c r="I1431" s="65" t="s">
        <v>130</v>
      </c>
      <c r="J1431" s="65" t="s">
        <v>1978</v>
      </c>
      <c r="K1431" s="65" t="s">
        <v>1927</v>
      </c>
      <c r="L1431" s="67">
        <v>40925</v>
      </c>
      <c r="M1431" s="69">
        <f>IF(Main[[#This Row],[Tech Start Date]]&lt;1/1/1990,"",IF(Main[[#This Row],[Class]]="C",WORKDAY(Main[[#This Row],[Tech Start Date]],9),IF(Main[[#This Row],[Class]]="B", WORKDAY(Main[[#This Row],[Tech Start Date]],6),IF(Main[[#This Row],[Class]]="A",WORKDAY(Main[[#This Row],[Tech Start Date]],2),""))))</f>
        <v>40938</v>
      </c>
      <c r="N1431" s="69">
        <f>IF(Main[[#This Row],[Tech Start Date]]&lt;1/1/1990,"",IF(Main[[#This Row],[Class]]="C",WORKDAY(Main[[#This Row],[Tech Start Date]],19),IF(Main[[#This Row],[Class]]="B", WORKDAY(Main[[#This Row],[Tech Start Date]],12),IF(Main[[#This Row],[Class]]="A",WORKDAY(Main[[#This Row],[Tech Start Date]],4),""))))</f>
        <v>40952</v>
      </c>
      <c r="O1431" s="69">
        <f>IF(Main[[#This Row],[Tech Start Date]]&lt;1/1/1990,"",IF(Main[[#This Row],[Class]]="C",WORKDAY(Main[[#This Row],[Tech Start Date]],23),IF(Main[[#This Row],[Class]]="B", WORKDAY(Main[[#This Row],[Tech Start Date]],15),IF(Main[[#This Row],[Class]]="A",WORKDAY(Main[[#This Row],[Tech Start Date]],5),""))))</f>
        <v>40956</v>
      </c>
      <c r="P1431" s="69">
        <f>IF(Main[[#This Row],[Tech Start Date]]&lt;1/1/1990,"",IF(Main[[#This Row],[Class]]="C",WORKDAY(Main[[#This Row],[Tech Start Date]],28),IF(Main[[#This Row],[Class]]="B", WORKDAY(Main[[#This Row],[Tech Start Date]],19),IF(Main[[#This Row],[Class]]="A",WORKDAY(Main[[#This Row],[Tech Start Date]],9),""))))</f>
        <v>40963</v>
      </c>
      <c r="Q1431" s="67">
        <v>40984</v>
      </c>
      <c r="R1431" s="67">
        <v>40969</v>
      </c>
      <c r="S1431" s="65" t="s">
        <v>11</v>
      </c>
      <c r="T1431" s="70" t="s">
        <v>3836</v>
      </c>
      <c r="U1431" s="65" t="s">
        <v>534</v>
      </c>
      <c r="V1431" s="65" t="s">
        <v>1917</v>
      </c>
      <c r="W1431" s="65" t="s">
        <v>1925</v>
      </c>
      <c r="X1431" s="65" t="s">
        <v>2846</v>
      </c>
      <c r="Y1431" s="65" t="s">
        <v>4</v>
      </c>
      <c r="Z1431" s="65" t="s">
        <v>530</v>
      </c>
      <c r="AA1431" s="65" t="s">
        <v>2846</v>
      </c>
    </row>
    <row r="1432" spans="1:27" ht="17.45" hidden="1" customHeight="1">
      <c r="A1432" s="100" t="str">
        <f>IF(priority(Main[[#This Row],[Comments]])&lt;&gt;0, priority(Main[[#This Row],[Comments]]),"")</f>
        <v/>
      </c>
      <c r="B1432" s="77" t="s">
        <v>3494</v>
      </c>
      <c r="C1432" s="65" t="s">
        <v>3495</v>
      </c>
      <c r="D1432" s="66" t="s">
        <v>3496</v>
      </c>
      <c r="E1432" s="67">
        <v>40899.057951388888</v>
      </c>
      <c r="F1432" s="67"/>
      <c r="G1432" s="64" t="str">
        <f>IF(stdProdLT(Main[[#This Row],[Comments]])=0.1,"N/A",IF(stdProdLT(Main[[#This Row],[Comments]])=0,"",stdProdLT(Main[[#This Row],[Comments]])))</f>
        <v>N/A</v>
      </c>
      <c r="H1432" s="68" t="str">
        <f>IF(AND(Main[[#This Row],[In Stock Date]]&lt;&gt;"",Main[[#This Row],[Revised Due Date]]&lt;&gt;""),Main[[#This Row],[In Stock Date]]-Main[[#This Row],[Revised Due Date]],"")</f>
        <v/>
      </c>
      <c r="I1432" s="65" t="s">
        <v>946</v>
      </c>
      <c r="J1432" s="65" t="s">
        <v>28</v>
      </c>
      <c r="K1432" s="65" t="s">
        <v>1927</v>
      </c>
      <c r="L1432" s="67">
        <v>40932</v>
      </c>
      <c r="M1432" s="69">
        <f>IF(Main[[#This Row],[Tech Start Date]]&lt;1/1/1990,"",IF(Main[[#This Row],[Class]]="C",WORKDAY(Main[[#This Row],[Tech Start Date]],9),IF(Main[[#This Row],[Class]]="B", WORKDAY(Main[[#This Row],[Tech Start Date]],6),IF(Main[[#This Row],[Class]]="A",WORKDAY(Main[[#This Row],[Tech Start Date]],2),""))))</f>
        <v>40945</v>
      </c>
      <c r="N1432" s="69">
        <f>IF(Main[[#This Row],[Tech Start Date]]&lt;1/1/1990,"",IF(Main[[#This Row],[Class]]="C",WORKDAY(Main[[#This Row],[Tech Start Date]],19),IF(Main[[#This Row],[Class]]="B", WORKDAY(Main[[#This Row],[Tech Start Date]],12),IF(Main[[#This Row],[Class]]="A",WORKDAY(Main[[#This Row],[Tech Start Date]],4),""))))</f>
        <v>40959</v>
      </c>
      <c r="O1432" s="69">
        <f>IF(Main[[#This Row],[Tech Start Date]]&lt;1/1/1990,"",IF(Main[[#This Row],[Class]]="C",WORKDAY(Main[[#This Row],[Tech Start Date]],23),IF(Main[[#This Row],[Class]]="B", WORKDAY(Main[[#This Row],[Tech Start Date]],15),IF(Main[[#This Row],[Class]]="A",WORKDAY(Main[[#This Row],[Tech Start Date]],5),""))))</f>
        <v>40963</v>
      </c>
      <c r="P1432" s="69">
        <f>IF(Main[[#This Row],[Tech Start Date]]&lt;1/1/1990,"",IF(Main[[#This Row],[Class]]="C",WORKDAY(Main[[#This Row],[Tech Start Date]],28),IF(Main[[#This Row],[Class]]="B", WORKDAY(Main[[#This Row],[Tech Start Date]],19),IF(Main[[#This Row],[Class]]="A",WORKDAY(Main[[#This Row],[Tech Start Date]],9),""))))</f>
        <v>40970</v>
      </c>
      <c r="Q1432" s="67">
        <v>40921</v>
      </c>
      <c r="R1432" s="67">
        <v>40968</v>
      </c>
      <c r="S1432" s="65" t="s">
        <v>17</v>
      </c>
      <c r="T1432" s="70" t="s">
        <v>3497</v>
      </c>
      <c r="U1432" s="65" t="s">
        <v>29</v>
      </c>
      <c r="V1432" s="65" t="s">
        <v>1915</v>
      </c>
      <c r="W1432" s="65" t="s">
        <v>1916</v>
      </c>
      <c r="X1432" s="65" t="s">
        <v>2835</v>
      </c>
      <c r="Y1432" s="65" t="s">
        <v>4</v>
      </c>
      <c r="Z1432" s="65" t="s">
        <v>2053</v>
      </c>
      <c r="AA1432" s="65" t="s">
        <v>2835</v>
      </c>
    </row>
    <row r="1433" spans="1:27" ht="17.45" hidden="1" customHeight="1">
      <c r="A1433" s="100">
        <f>IF(priority(Main[[#This Row],[Comments]])&lt;&gt;0, priority(Main[[#This Row],[Comments]]),"")</f>
        <v>8</v>
      </c>
      <c r="B1433" s="77" t="s">
        <v>3316</v>
      </c>
      <c r="C1433" s="65" t="s">
        <v>72</v>
      </c>
      <c r="D1433" s="66" t="s">
        <v>3837</v>
      </c>
      <c r="E1433" s="67">
        <v>40931.826180555552</v>
      </c>
      <c r="F1433" s="67">
        <v>41090</v>
      </c>
      <c r="G1433" s="64">
        <f>IF(stdProdLT(Main[[#This Row],[Comments]])=0.1,"N/A",IF(stdProdLT(Main[[#This Row],[Comments]])=0,"",stdProdLT(Main[[#This Row],[Comments]])))</f>
        <v>126</v>
      </c>
      <c r="H1433" s="68">
        <f>IF(AND(Main[[#This Row],[In Stock Date]]&lt;&gt;"",Main[[#This Row],[Revised Due Date]]&lt;&gt;""),Main[[#This Row],[In Stock Date]]-Main[[#This Row],[Revised Due Date]],"")</f>
        <v>115</v>
      </c>
      <c r="I1433" s="65" t="s">
        <v>2624</v>
      </c>
      <c r="J1433" s="65" t="s">
        <v>28</v>
      </c>
      <c r="K1433" s="65" t="s">
        <v>1927</v>
      </c>
      <c r="L1433" s="67">
        <v>40932</v>
      </c>
      <c r="M1433" s="69">
        <f>IF(Main[[#This Row],[Tech Start Date]]&lt;1/1/1990,"",IF(Main[[#This Row],[Class]]="C",WORKDAY(Main[[#This Row],[Tech Start Date]],9),IF(Main[[#This Row],[Class]]="B", WORKDAY(Main[[#This Row],[Tech Start Date]],6),IF(Main[[#This Row],[Class]]="A",WORKDAY(Main[[#This Row],[Tech Start Date]],2),""))))</f>
        <v>40945</v>
      </c>
      <c r="N1433" s="69">
        <f>IF(Main[[#This Row],[Tech Start Date]]&lt;1/1/1990,"",IF(Main[[#This Row],[Class]]="C",WORKDAY(Main[[#This Row],[Tech Start Date]],19),IF(Main[[#This Row],[Class]]="B", WORKDAY(Main[[#This Row],[Tech Start Date]],12),IF(Main[[#This Row],[Class]]="A",WORKDAY(Main[[#This Row],[Tech Start Date]],4),""))))</f>
        <v>40959</v>
      </c>
      <c r="O1433" s="69">
        <f>IF(Main[[#This Row],[Tech Start Date]]&lt;1/1/1990,"",IF(Main[[#This Row],[Class]]="C",WORKDAY(Main[[#This Row],[Tech Start Date]],23),IF(Main[[#This Row],[Class]]="B", WORKDAY(Main[[#This Row],[Tech Start Date]],15),IF(Main[[#This Row],[Class]]="A",WORKDAY(Main[[#This Row],[Tech Start Date]],5),""))))</f>
        <v>40963</v>
      </c>
      <c r="P1433" s="69">
        <f>IF(Main[[#This Row],[Tech Start Date]]&lt;1/1/1990,"",IF(Main[[#This Row],[Class]]="C",WORKDAY(Main[[#This Row],[Tech Start Date]],28),IF(Main[[#This Row],[Class]]="B", WORKDAY(Main[[#This Row],[Tech Start Date]],19),IF(Main[[#This Row],[Class]]="A",WORKDAY(Main[[#This Row],[Tech Start Date]],9),""))))</f>
        <v>40970</v>
      </c>
      <c r="Q1433" s="67">
        <v>40950</v>
      </c>
      <c r="R1433" s="67">
        <v>40975</v>
      </c>
      <c r="S1433" s="65" t="s">
        <v>11</v>
      </c>
      <c r="T1433" s="70" t="s">
        <v>3838</v>
      </c>
      <c r="U1433" s="65" t="s">
        <v>29</v>
      </c>
      <c r="V1433" s="65" t="s">
        <v>1915</v>
      </c>
      <c r="W1433" s="65" t="s">
        <v>1922</v>
      </c>
      <c r="X1433" s="65" t="s">
        <v>2847</v>
      </c>
      <c r="Y1433" s="65" t="s">
        <v>4</v>
      </c>
      <c r="Z1433" s="65" t="s">
        <v>2053</v>
      </c>
      <c r="AA1433" s="65" t="s">
        <v>2847</v>
      </c>
    </row>
    <row r="1434" spans="1:27" ht="17.45" customHeight="1">
      <c r="A1434" s="100">
        <f>IF(priority(Main[[#This Row],[Comments]])&lt;&gt;0, priority(Main[[#This Row],[Comments]]),"")</f>
        <v>31</v>
      </c>
      <c r="B1434" s="77" t="s">
        <v>2152</v>
      </c>
      <c r="C1434" s="65" t="s">
        <v>116</v>
      </c>
      <c r="D1434" s="66" t="s">
        <v>2796</v>
      </c>
      <c r="E1434" s="67">
        <v>40770.33797453704</v>
      </c>
      <c r="F1434" s="67">
        <v>41044</v>
      </c>
      <c r="G1434" s="64" t="str">
        <f>IF(stdProdLT(Main[[#This Row],[Comments]])=0.1,"N/A",IF(stdProdLT(Main[[#This Row],[Comments]])=0,"",stdProdLT(Main[[#This Row],[Comments]])))</f>
        <v>N/A</v>
      </c>
      <c r="H1434" s="68">
        <f>IF(AND(Main[[#This Row],[In Stock Date]]&lt;&gt;"",Main[[#This Row],[Revised Due Date]]&lt;&gt;""),Main[[#This Row],[In Stock Date]]-Main[[#This Row],[Revised Due Date]],"")</f>
        <v>46</v>
      </c>
      <c r="I1434" s="65" t="s">
        <v>937</v>
      </c>
      <c r="J1434" s="65" t="s">
        <v>21</v>
      </c>
      <c r="K1434" s="65" t="s">
        <v>1927</v>
      </c>
      <c r="L1434" s="67">
        <v>40778</v>
      </c>
      <c r="M1434" s="69">
        <f>IF(Main[[#This Row],[Tech Start Date]]&lt;1/1/1990,"",IF(Main[[#This Row],[Class]]="C",WORKDAY(Main[[#This Row],[Tech Start Date]],9),IF(Main[[#This Row],[Class]]="B", WORKDAY(Main[[#This Row],[Tech Start Date]],6),IF(Main[[#This Row],[Class]]="A",WORKDAY(Main[[#This Row],[Tech Start Date]],2),""))))</f>
        <v>40791</v>
      </c>
      <c r="N1434" s="69">
        <f>IF(Main[[#This Row],[Tech Start Date]]&lt;1/1/1990,"",IF(Main[[#This Row],[Class]]="C",WORKDAY(Main[[#This Row],[Tech Start Date]],19),IF(Main[[#This Row],[Class]]="B", WORKDAY(Main[[#This Row],[Tech Start Date]],12),IF(Main[[#This Row],[Class]]="A",WORKDAY(Main[[#This Row],[Tech Start Date]],4),""))))</f>
        <v>40805</v>
      </c>
      <c r="O1434" s="69">
        <f>IF(Main[[#This Row],[Tech Start Date]]&lt;1/1/1990,"",IF(Main[[#This Row],[Class]]="C",WORKDAY(Main[[#This Row],[Tech Start Date]],23),IF(Main[[#This Row],[Class]]="B", WORKDAY(Main[[#This Row],[Tech Start Date]],15),IF(Main[[#This Row],[Class]]="A",WORKDAY(Main[[#This Row],[Tech Start Date]],5),""))))</f>
        <v>40809</v>
      </c>
      <c r="P1434" s="69">
        <f>IF(Main[[#This Row],[Tech Start Date]]&lt;1/1/1990,"",IF(Main[[#This Row],[Class]]="C",WORKDAY(Main[[#This Row],[Tech Start Date]],28),IF(Main[[#This Row],[Class]]="B", WORKDAY(Main[[#This Row],[Tech Start Date]],19),IF(Main[[#This Row],[Class]]="A",WORKDAY(Main[[#This Row],[Tech Start Date]],9),""))))</f>
        <v>40816</v>
      </c>
      <c r="Q1434" s="67">
        <v>40802</v>
      </c>
      <c r="R1434" s="67">
        <v>40998</v>
      </c>
      <c r="S1434" s="65" t="s">
        <v>11</v>
      </c>
      <c r="T1434" s="70" t="s">
        <v>3795</v>
      </c>
      <c r="U1434" s="65" t="s">
        <v>29</v>
      </c>
      <c r="V1434" s="65" t="s">
        <v>1914</v>
      </c>
      <c r="W1434" s="65" t="s">
        <v>1922</v>
      </c>
      <c r="X1434" s="65" t="s">
        <v>2852</v>
      </c>
      <c r="Y1434" s="65" t="s">
        <v>3134</v>
      </c>
      <c r="Z1434" s="65" t="s">
        <v>129</v>
      </c>
      <c r="AA1434" s="65" t="s">
        <v>2852</v>
      </c>
    </row>
    <row r="1435" spans="1:27" ht="17.45" hidden="1" customHeight="1">
      <c r="A1435" s="100">
        <f>IF(priority(Main[[#This Row],[Comments]])&lt;&gt;0, priority(Main[[#This Row],[Comments]]),"")</f>
        <v>5</v>
      </c>
      <c r="B1435" s="77" t="s">
        <v>3251</v>
      </c>
      <c r="C1435" s="65" t="s">
        <v>577</v>
      </c>
      <c r="D1435" s="66" t="s">
        <v>3840</v>
      </c>
      <c r="E1435" s="67">
        <v>40933.480763888889</v>
      </c>
      <c r="F1435" s="67">
        <v>40969</v>
      </c>
      <c r="G1435" s="64" t="str">
        <f>IF(stdProdLT(Main[[#This Row],[Comments]])=0.1,"N/A",IF(stdProdLT(Main[[#This Row],[Comments]])=0,"",stdProdLT(Main[[#This Row],[Comments]])))</f>
        <v>N/A</v>
      </c>
      <c r="H1435" s="68">
        <f>IF(AND(Main[[#This Row],[In Stock Date]]&lt;&gt;"",Main[[#This Row],[Revised Due Date]]&lt;&gt;""),Main[[#This Row],[In Stock Date]]-Main[[#This Row],[Revised Due Date]],"")</f>
        <v>-4</v>
      </c>
      <c r="I1435" s="65" t="s">
        <v>940</v>
      </c>
      <c r="J1435" s="65" t="s">
        <v>28</v>
      </c>
      <c r="K1435" s="65" t="s">
        <v>1927</v>
      </c>
      <c r="L1435" s="67">
        <v>40938</v>
      </c>
      <c r="M1435" s="69">
        <f>IF(Main[[#This Row],[Tech Start Date]]&lt;1/1/1990,"",IF(Main[[#This Row],[Class]]="C",WORKDAY(Main[[#This Row],[Tech Start Date]],9),IF(Main[[#This Row],[Class]]="B", WORKDAY(Main[[#This Row],[Tech Start Date]],6),IF(Main[[#This Row],[Class]]="A",WORKDAY(Main[[#This Row],[Tech Start Date]],2),""))))</f>
        <v>40949</v>
      </c>
      <c r="N1435" s="69">
        <f>IF(Main[[#This Row],[Tech Start Date]]&lt;1/1/1990,"",IF(Main[[#This Row],[Class]]="C",WORKDAY(Main[[#This Row],[Tech Start Date]],19),IF(Main[[#This Row],[Class]]="B", WORKDAY(Main[[#This Row],[Tech Start Date]],12),IF(Main[[#This Row],[Class]]="A",WORKDAY(Main[[#This Row],[Tech Start Date]],4),""))))</f>
        <v>40963</v>
      </c>
      <c r="O1435" s="69">
        <f>IF(Main[[#This Row],[Tech Start Date]]&lt;1/1/1990,"",IF(Main[[#This Row],[Class]]="C",WORKDAY(Main[[#This Row],[Tech Start Date]],23),IF(Main[[#This Row],[Class]]="B", WORKDAY(Main[[#This Row],[Tech Start Date]],15),IF(Main[[#This Row],[Class]]="A",WORKDAY(Main[[#This Row],[Tech Start Date]],5),""))))</f>
        <v>40969</v>
      </c>
      <c r="P1435" s="69">
        <f>IF(Main[[#This Row],[Tech Start Date]]&lt;1/1/1990,"",IF(Main[[#This Row],[Class]]="C",WORKDAY(Main[[#This Row],[Tech Start Date]],28),IF(Main[[#This Row],[Class]]="B", WORKDAY(Main[[#This Row],[Tech Start Date]],19),IF(Main[[#This Row],[Class]]="A",WORKDAY(Main[[#This Row],[Tech Start Date]],9),""))))</f>
        <v>40976</v>
      </c>
      <c r="Q1435" s="67">
        <v>40940</v>
      </c>
      <c r="R1435" s="67">
        <v>40973</v>
      </c>
      <c r="S1435" s="65" t="s">
        <v>11</v>
      </c>
      <c r="T1435" s="70" t="s">
        <v>3841</v>
      </c>
      <c r="U1435" s="65" t="s">
        <v>29</v>
      </c>
      <c r="V1435" s="65" t="s">
        <v>1915</v>
      </c>
      <c r="W1435" s="65" t="s">
        <v>1916</v>
      </c>
      <c r="X1435" s="65" t="s">
        <v>2816</v>
      </c>
      <c r="Y1435" s="65" t="s">
        <v>4</v>
      </c>
      <c r="Z1435" s="65" t="s">
        <v>2053</v>
      </c>
      <c r="AA1435" s="65" t="s">
        <v>2816</v>
      </c>
    </row>
    <row r="1436" spans="1:27" ht="17.45" hidden="1" customHeight="1">
      <c r="A1436" s="100">
        <f>IF(priority(Main[[#This Row],[Comments]])&lt;&gt;0, priority(Main[[#This Row],[Comments]]),"")</f>
        <v>7</v>
      </c>
      <c r="B1436" s="77" t="s">
        <v>3490</v>
      </c>
      <c r="C1436" s="65" t="s">
        <v>3491</v>
      </c>
      <c r="D1436" s="66" t="s">
        <v>3842</v>
      </c>
      <c r="E1436" s="67">
        <v>40941.352685185186</v>
      </c>
      <c r="F1436" s="67">
        <v>40962</v>
      </c>
      <c r="G1436" s="64" t="str">
        <f>IF(stdProdLT(Main[[#This Row],[Comments]])=0.1,"N/A",IF(stdProdLT(Main[[#This Row],[Comments]])=0,"",stdProdLT(Main[[#This Row],[Comments]])))</f>
        <v>N/A</v>
      </c>
      <c r="H1436" s="68">
        <f>IF(AND(Main[[#This Row],[In Stock Date]]&lt;&gt;"",Main[[#This Row],[Revised Due Date]]&lt;&gt;""),Main[[#This Row],[In Stock Date]]-Main[[#This Row],[Revised Due Date]],"")</f>
        <v>-13</v>
      </c>
      <c r="I1436" s="65" t="s">
        <v>2249</v>
      </c>
      <c r="J1436" s="65" t="s">
        <v>28</v>
      </c>
      <c r="K1436" s="71" t="s">
        <v>1927</v>
      </c>
      <c r="L1436" s="67">
        <v>40942</v>
      </c>
      <c r="M1436" s="69">
        <f>IF(Main[[#This Row],[Tech Start Date]]&lt;1/1/1990,"",IF(Main[[#This Row],[Class]]="C",WORKDAY(Main[[#This Row],[Tech Start Date]],9),IF(Main[[#This Row],[Class]]="B", WORKDAY(Main[[#This Row],[Tech Start Date]],6),IF(Main[[#This Row],[Class]]="A",WORKDAY(Main[[#This Row],[Tech Start Date]],2),""))))</f>
        <v>40955</v>
      </c>
      <c r="N1436" s="69">
        <f>IF(Main[[#This Row],[Tech Start Date]]&lt;1/1/1990,"",IF(Main[[#This Row],[Class]]="C",WORKDAY(Main[[#This Row],[Tech Start Date]],19),IF(Main[[#This Row],[Class]]="B", WORKDAY(Main[[#This Row],[Tech Start Date]],12),IF(Main[[#This Row],[Class]]="A",WORKDAY(Main[[#This Row],[Tech Start Date]],4),""))))</f>
        <v>40969</v>
      </c>
      <c r="O1436" s="69">
        <f>IF(Main[[#This Row],[Tech Start Date]]&lt;1/1/1990,"",IF(Main[[#This Row],[Class]]="C",WORKDAY(Main[[#This Row],[Tech Start Date]],23),IF(Main[[#This Row],[Class]]="B", WORKDAY(Main[[#This Row],[Tech Start Date]],15),IF(Main[[#This Row],[Class]]="A",WORKDAY(Main[[#This Row],[Tech Start Date]],5),""))))</f>
        <v>40975</v>
      </c>
      <c r="P1436" s="69">
        <f>IF(Main[[#This Row],[Tech Start Date]]&lt;1/1/1990,"",IF(Main[[#This Row],[Class]]="C",WORKDAY(Main[[#This Row],[Tech Start Date]],28),IF(Main[[#This Row],[Class]]="B", WORKDAY(Main[[#This Row],[Tech Start Date]],19),IF(Main[[#This Row],[Class]]="A",WORKDAY(Main[[#This Row],[Tech Start Date]],9),""))))</f>
        <v>40982</v>
      </c>
      <c r="Q1436" s="67">
        <v>40948</v>
      </c>
      <c r="R1436" s="67">
        <v>40975</v>
      </c>
      <c r="S1436" s="65" t="s">
        <v>11</v>
      </c>
      <c r="T1436" s="70" t="s">
        <v>3843</v>
      </c>
      <c r="U1436" s="65" t="s">
        <v>29</v>
      </c>
      <c r="V1436" s="65" t="s">
        <v>1915</v>
      </c>
      <c r="W1436" s="65" t="s">
        <v>1916</v>
      </c>
      <c r="X1436" s="65" t="s">
        <v>2816</v>
      </c>
      <c r="Y1436" s="65" t="s">
        <v>4</v>
      </c>
      <c r="Z1436" s="65" t="s">
        <v>2053</v>
      </c>
      <c r="AA1436" s="65" t="s">
        <v>2816</v>
      </c>
    </row>
    <row r="1437" spans="1:27" ht="17.45" hidden="1" customHeight="1">
      <c r="A1437" s="100" t="str">
        <f>IF(priority(Main[[#This Row],[Comments]])&lt;&gt;0, priority(Main[[#This Row],[Comments]]),"")</f>
        <v/>
      </c>
      <c r="B1437" s="77" t="s">
        <v>3498</v>
      </c>
      <c r="C1437" s="65" t="s">
        <v>2210</v>
      </c>
      <c r="D1437" s="66" t="s">
        <v>3563</v>
      </c>
      <c r="E1437" s="67"/>
      <c r="F1437" s="67">
        <v>40978</v>
      </c>
      <c r="G1437" s="64" t="str">
        <f>IF(stdProdLT(Main[[#This Row],[Comments]])=0.1,"N/A",IF(stdProdLT(Main[[#This Row],[Comments]])=0,"",stdProdLT(Main[[#This Row],[Comments]])))</f>
        <v/>
      </c>
      <c r="H1437" s="68">
        <f>IF(AND(Main[[#This Row],[In Stock Date]]&lt;&gt;"",Main[[#This Row],[Revised Due Date]]&lt;&gt;""),Main[[#This Row],[In Stock Date]]-Main[[#This Row],[Revised Due Date]],"")</f>
        <v>24</v>
      </c>
      <c r="I1437" s="65" t="s">
        <v>941</v>
      </c>
      <c r="J1437" s="65" t="s">
        <v>28</v>
      </c>
      <c r="K1437" s="65" t="s">
        <v>1923</v>
      </c>
      <c r="L1437" s="67">
        <v>40945</v>
      </c>
      <c r="M1437" s="69">
        <f>IF(Main[[#This Row],[Tech Start Date]]&lt;1/1/1990,"",IF(Main[[#This Row],[Class]]="C",WORKDAY(Main[[#This Row],[Tech Start Date]],9),IF(Main[[#This Row],[Class]]="B", WORKDAY(Main[[#This Row],[Tech Start Date]],6),IF(Main[[#This Row],[Class]]="A",WORKDAY(Main[[#This Row],[Tech Start Date]],2),""))))</f>
        <v>40947</v>
      </c>
      <c r="N1437" s="69">
        <f>IF(Main[[#This Row],[Tech Start Date]]&lt;1/1/1990,"",IF(Main[[#This Row],[Class]]="C",WORKDAY(Main[[#This Row],[Tech Start Date]],19),IF(Main[[#This Row],[Class]]="B", WORKDAY(Main[[#This Row],[Tech Start Date]],12),IF(Main[[#This Row],[Class]]="A",WORKDAY(Main[[#This Row],[Tech Start Date]],4),""))))</f>
        <v>40949</v>
      </c>
      <c r="O1437" s="69">
        <f>IF(Main[[#This Row],[Tech Start Date]]&lt;1/1/1990,"",IF(Main[[#This Row],[Class]]="C",WORKDAY(Main[[#This Row],[Tech Start Date]],23),IF(Main[[#This Row],[Class]]="B", WORKDAY(Main[[#This Row],[Tech Start Date]],15),IF(Main[[#This Row],[Class]]="A",WORKDAY(Main[[#This Row],[Tech Start Date]],5),""))))</f>
        <v>40952</v>
      </c>
      <c r="P1437" s="69">
        <f>IF(Main[[#This Row],[Tech Start Date]]&lt;1/1/1990,"",IF(Main[[#This Row],[Class]]="C",WORKDAY(Main[[#This Row],[Tech Start Date]],28),IF(Main[[#This Row],[Class]]="B", WORKDAY(Main[[#This Row],[Tech Start Date]],19),IF(Main[[#This Row],[Class]]="A",WORKDAY(Main[[#This Row],[Tech Start Date]],9),""))))</f>
        <v>40956</v>
      </c>
      <c r="Q1437" s="67">
        <v>40978</v>
      </c>
      <c r="R1437" s="67">
        <v>40954</v>
      </c>
      <c r="S1437" s="65" t="s">
        <v>11</v>
      </c>
      <c r="T1437" s="70" t="s">
        <v>3564</v>
      </c>
      <c r="U1437" s="65" t="s">
        <v>14</v>
      </c>
      <c r="V1437" s="65" t="s">
        <v>1915</v>
      </c>
      <c r="W1437" s="65" t="s">
        <v>1919</v>
      </c>
      <c r="X1437" s="65" t="s">
        <v>2816</v>
      </c>
      <c r="Y1437" s="65" t="s">
        <v>4</v>
      </c>
      <c r="Z1437" s="65" t="s">
        <v>2053</v>
      </c>
      <c r="AA1437" s="65" t="s">
        <v>2816</v>
      </c>
    </row>
    <row r="1438" spans="1:27" ht="17.45" hidden="1" customHeight="1">
      <c r="A1438" s="100">
        <f>IF(priority(Main[[#This Row],[Comments]])&lt;&gt;0, priority(Main[[#This Row],[Comments]]),"")</f>
        <v>14</v>
      </c>
      <c r="B1438" s="77" t="s">
        <v>3566</v>
      </c>
      <c r="C1438" s="65" t="s">
        <v>3567</v>
      </c>
      <c r="D1438" s="66" t="s">
        <v>3844</v>
      </c>
      <c r="E1438" s="67">
        <v>40945.715231481481</v>
      </c>
      <c r="F1438" s="67"/>
      <c r="G1438" s="64" t="str">
        <f>IF(stdProdLT(Main[[#This Row],[Comments]])=0.1,"N/A",IF(stdProdLT(Main[[#This Row],[Comments]])=0,"",stdProdLT(Main[[#This Row],[Comments]])))</f>
        <v>N/A</v>
      </c>
      <c r="H1438" s="68" t="str">
        <f>IF(AND(Main[[#This Row],[In Stock Date]]&lt;&gt;"",Main[[#This Row],[Revised Due Date]]&lt;&gt;""),Main[[#This Row],[In Stock Date]]-Main[[#This Row],[Revised Due Date]],"")</f>
        <v/>
      </c>
      <c r="I1438" s="65" t="s">
        <v>940</v>
      </c>
      <c r="J1438" s="65" t="s">
        <v>28</v>
      </c>
      <c r="K1438" s="65" t="s">
        <v>1921</v>
      </c>
      <c r="L1438" s="67">
        <v>40946</v>
      </c>
      <c r="M1438" s="69">
        <f>IF(Main[[#This Row],[Tech Start Date]]&lt;1/1/1990,"",IF(Main[[#This Row],[Class]]="C",WORKDAY(Main[[#This Row],[Tech Start Date]],9),IF(Main[[#This Row],[Class]]="B", WORKDAY(Main[[#This Row],[Tech Start Date]],6),IF(Main[[#This Row],[Class]]="A",WORKDAY(Main[[#This Row],[Tech Start Date]],2),""))))</f>
        <v>40954</v>
      </c>
      <c r="N1438" s="69">
        <f>IF(Main[[#This Row],[Tech Start Date]]&lt;1/1/1990,"",IF(Main[[#This Row],[Class]]="C",WORKDAY(Main[[#This Row],[Tech Start Date]],19),IF(Main[[#This Row],[Class]]="B", WORKDAY(Main[[#This Row],[Tech Start Date]],12),IF(Main[[#This Row],[Class]]="A",WORKDAY(Main[[#This Row],[Tech Start Date]],4),""))))</f>
        <v>40962</v>
      </c>
      <c r="O1438" s="69">
        <f>IF(Main[[#This Row],[Tech Start Date]]&lt;1/1/1990,"",IF(Main[[#This Row],[Class]]="C",WORKDAY(Main[[#This Row],[Tech Start Date]],23),IF(Main[[#This Row],[Class]]="B", WORKDAY(Main[[#This Row],[Tech Start Date]],15),IF(Main[[#This Row],[Class]]="A",WORKDAY(Main[[#This Row],[Tech Start Date]],5),""))))</f>
        <v>40967</v>
      </c>
      <c r="P1438" s="69">
        <f>IF(Main[[#This Row],[Tech Start Date]]&lt;1/1/1990,"",IF(Main[[#This Row],[Class]]="C",WORKDAY(Main[[#This Row],[Tech Start Date]],28),IF(Main[[#This Row],[Class]]="B", WORKDAY(Main[[#This Row],[Tech Start Date]],19),IF(Main[[#This Row],[Class]]="A",WORKDAY(Main[[#This Row],[Tech Start Date]],9),""))))</f>
        <v>40973</v>
      </c>
      <c r="Q1438" s="67">
        <v>40952</v>
      </c>
      <c r="R1438" s="67">
        <v>40973</v>
      </c>
      <c r="S1438" s="65" t="s">
        <v>11</v>
      </c>
      <c r="T1438" s="70" t="s">
        <v>3845</v>
      </c>
      <c r="U1438" s="65" t="s">
        <v>29</v>
      </c>
      <c r="V1438" s="65" t="s">
        <v>1915</v>
      </c>
      <c r="W1438" s="65" t="s">
        <v>1916</v>
      </c>
      <c r="X1438" s="65" t="s">
        <v>2816</v>
      </c>
      <c r="Y1438" s="65" t="s">
        <v>4</v>
      </c>
      <c r="Z1438" s="65" t="s">
        <v>2053</v>
      </c>
      <c r="AA1438" s="65" t="s">
        <v>2816</v>
      </c>
    </row>
    <row r="1439" spans="1:27" ht="17.45" hidden="1" customHeight="1">
      <c r="A1439" s="100">
        <f>IF(priority(Main[[#This Row],[Comments]])&lt;&gt;0, priority(Main[[#This Row],[Comments]]),"")</f>
        <v>24</v>
      </c>
      <c r="B1439" s="77" t="s">
        <v>3367</v>
      </c>
      <c r="C1439" s="65" t="s">
        <v>2674</v>
      </c>
      <c r="D1439" s="66" t="s">
        <v>3846</v>
      </c>
      <c r="E1439" s="67">
        <v>40939.753379629627</v>
      </c>
      <c r="F1439" s="67">
        <v>41013</v>
      </c>
      <c r="G1439" s="64" t="str">
        <f>IF(stdProdLT(Main[[#This Row],[Comments]])=0.1,"N/A",IF(stdProdLT(Main[[#This Row],[Comments]])=0,"",stdProdLT(Main[[#This Row],[Comments]])))</f>
        <v>N/A</v>
      </c>
      <c r="H1439" s="68">
        <f>IF(AND(Main[[#This Row],[In Stock Date]]&lt;&gt;"",Main[[#This Row],[Revised Due Date]]&lt;&gt;""),Main[[#This Row],[In Stock Date]]-Main[[#This Row],[Revised Due Date]],"")</f>
        <v>46</v>
      </c>
      <c r="I1439" s="65" t="s">
        <v>2208</v>
      </c>
      <c r="J1439" s="65" t="s">
        <v>75</v>
      </c>
      <c r="K1439" s="65" t="s">
        <v>1923</v>
      </c>
      <c r="L1439" s="67">
        <v>40946</v>
      </c>
      <c r="M1439" s="69">
        <f>IF(Main[[#This Row],[Tech Start Date]]&lt;1/1/1990,"",IF(Main[[#This Row],[Class]]="C",WORKDAY(Main[[#This Row],[Tech Start Date]],9),IF(Main[[#This Row],[Class]]="B", WORKDAY(Main[[#This Row],[Tech Start Date]],6),IF(Main[[#This Row],[Class]]="A",WORKDAY(Main[[#This Row],[Tech Start Date]],2),""))))</f>
        <v>40948</v>
      </c>
      <c r="N1439" s="69">
        <f>IF(Main[[#This Row],[Tech Start Date]]&lt;1/1/1990,"",IF(Main[[#This Row],[Class]]="C",WORKDAY(Main[[#This Row],[Tech Start Date]],19),IF(Main[[#This Row],[Class]]="B", WORKDAY(Main[[#This Row],[Tech Start Date]],12),IF(Main[[#This Row],[Class]]="A",WORKDAY(Main[[#This Row],[Tech Start Date]],4),""))))</f>
        <v>40952</v>
      </c>
      <c r="O1439" s="69">
        <f>IF(Main[[#This Row],[Tech Start Date]]&lt;1/1/1990,"",IF(Main[[#This Row],[Class]]="C",WORKDAY(Main[[#This Row],[Tech Start Date]],23),IF(Main[[#This Row],[Class]]="B", WORKDAY(Main[[#This Row],[Tech Start Date]],15),IF(Main[[#This Row],[Class]]="A",WORKDAY(Main[[#This Row],[Tech Start Date]],5),""))))</f>
        <v>40953</v>
      </c>
      <c r="P1439" s="69">
        <f>IF(Main[[#This Row],[Tech Start Date]]&lt;1/1/1990,"",IF(Main[[#This Row],[Class]]="C",WORKDAY(Main[[#This Row],[Tech Start Date]],28),IF(Main[[#This Row],[Class]]="B", WORKDAY(Main[[#This Row],[Tech Start Date]],19),IF(Main[[#This Row],[Class]]="A",WORKDAY(Main[[#This Row],[Tech Start Date]],9),""))))</f>
        <v>40959</v>
      </c>
      <c r="Q1439" s="67">
        <v>40915</v>
      </c>
      <c r="R1439" s="67">
        <v>40967</v>
      </c>
      <c r="S1439" s="65" t="s">
        <v>11</v>
      </c>
      <c r="T1439" s="70" t="s">
        <v>3847</v>
      </c>
      <c r="U1439" s="65" t="s">
        <v>29</v>
      </c>
      <c r="V1439" s="65" t="s">
        <v>1924</v>
      </c>
      <c r="W1439" s="65" t="s">
        <v>1922</v>
      </c>
      <c r="X1439" s="65" t="s">
        <v>3368</v>
      </c>
      <c r="Y1439" s="65" t="s">
        <v>4</v>
      </c>
      <c r="Z1439" s="65" t="s">
        <v>530</v>
      </c>
      <c r="AA1439" s="65" t="s">
        <v>3368</v>
      </c>
    </row>
    <row r="1440" spans="1:27" ht="17.45" hidden="1" customHeight="1">
      <c r="A1440" s="100">
        <f>IF(priority(Main[[#This Row],[Comments]])&lt;&gt;0, priority(Main[[#This Row],[Comments]]),"")</f>
        <v>11</v>
      </c>
      <c r="B1440" s="77" t="s">
        <v>3565</v>
      </c>
      <c r="C1440" s="65" t="s">
        <v>2210</v>
      </c>
      <c r="D1440" s="66" t="s">
        <v>3848</v>
      </c>
      <c r="E1440" s="67">
        <v>40946.395277777781</v>
      </c>
      <c r="F1440" s="67">
        <v>40984</v>
      </c>
      <c r="G1440" s="64" t="str">
        <f>IF(stdProdLT(Main[[#This Row],[Comments]])=0.1,"N/A",IF(stdProdLT(Main[[#This Row],[Comments]])=0,"",stdProdLT(Main[[#This Row],[Comments]])))</f>
        <v/>
      </c>
      <c r="H1440" s="68">
        <f>IF(AND(Main[[#This Row],[In Stock Date]]&lt;&gt;"",Main[[#This Row],[Revised Due Date]]&lt;&gt;""),Main[[#This Row],[In Stock Date]]-Main[[#This Row],[Revised Due Date]],"")</f>
        <v>11</v>
      </c>
      <c r="I1440" s="65" t="s">
        <v>2249</v>
      </c>
      <c r="J1440" s="65" t="s">
        <v>28</v>
      </c>
      <c r="K1440" s="65" t="s">
        <v>1923</v>
      </c>
      <c r="L1440" s="67">
        <v>40946</v>
      </c>
      <c r="M1440" s="69">
        <f>IF(Main[[#This Row],[Tech Start Date]]&lt;1/1/1990,"",IF(Main[[#This Row],[Class]]="C",WORKDAY(Main[[#This Row],[Tech Start Date]],9),IF(Main[[#This Row],[Class]]="B", WORKDAY(Main[[#This Row],[Tech Start Date]],6),IF(Main[[#This Row],[Class]]="A",WORKDAY(Main[[#This Row],[Tech Start Date]],2),""))))</f>
        <v>40948</v>
      </c>
      <c r="N1440" s="69">
        <f>IF(Main[[#This Row],[Tech Start Date]]&lt;1/1/1990,"",IF(Main[[#This Row],[Class]]="C",WORKDAY(Main[[#This Row],[Tech Start Date]],19),IF(Main[[#This Row],[Class]]="B", WORKDAY(Main[[#This Row],[Tech Start Date]],12),IF(Main[[#This Row],[Class]]="A",WORKDAY(Main[[#This Row],[Tech Start Date]],4),""))))</f>
        <v>40952</v>
      </c>
      <c r="O1440" s="69">
        <f>IF(Main[[#This Row],[Tech Start Date]]&lt;1/1/1990,"",IF(Main[[#This Row],[Class]]="C",WORKDAY(Main[[#This Row],[Tech Start Date]],23),IF(Main[[#This Row],[Class]]="B", WORKDAY(Main[[#This Row],[Tech Start Date]],15),IF(Main[[#This Row],[Class]]="A",WORKDAY(Main[[#This Row],[Tech Start Date]],5),""))))</f>
        <v>40953</v>
      </c>
      <c r="P1440" s="69">
        <f>IF(Main[[#This Row],[Tech Start Date]]&lt;1/1/1990,"",IF(Main[[#This Row],[Class]]="C",WORKDAY(Main[[#This Row],[Tech Start Date]],28),IF(Main[[#This Row],[Class]]="B", WORKDAY(Main[[#This Row],[Tech Start Date]],19),IF(Main[[#This Row],[Class]]="A",WORKDAY(Main[[#This Row],[Tech Start Date]],9),""))))</f>
        <v>40959</v>
      </c>
      <c r="Q1440" s="67">
        <v>40984</v>
      </c>
      <c r="R1440" s="67">
        <v>40973</v>
      </c>
      <c r="S1440" s="65" t="s">
        <v>11</v>
      </c>
      <c r="T1440" s="70" t="s">
        <v>3849</v>
      </c>
      <c r="U1440" s="65" t="s">
        <v>29</v>
      </c>
      <c r="V1440" s="65" t="s">
        <v>1915</v>
      </c>
      <c r="W1440" s="65" t="s">
        <v>1919</v>
      </c>
      <c r="X1440" s="65" t="s">
        <v>2816</v>
      </c>
      <c r="Y1440" s="65" t="s">
        <v>4</v>
      </c>
      <c r="Z1440" s="65" t="s">
        <v>2053</v>
      </c>
      <c r="AA1440" s="65" t="s">
        <v>2816</v>
      </c>
    </row>
    <row r="1441" spans="1:27" ht="17.45" hidden="1" customHeight="1">
      <c r="A1441" s="100" t="str">
        <f>IF(priority(Main[[#This Row],[Comments]])&lt;&gt;0, priority(Main[[#This Row],[Comments]]),"")</f>
        <v/>
      </c>
      <c r="B1441" s="77" t="s">
        <v>3568</v>
      </c>
      <c r="C1441" s="65" t="s">
        <v>4</v>
      </c>
      <c r="D1441" s="66" t="s">
        <v>3569</v>
      </c>
      <c r="E1441" s="67">
        <v>40947.374143518522</v>
      </c>
      <c r="F1441" s="67"/>
      <c r="G1441" s="64" t="str">
        <f>IF(stdProdLT(Main[[#This Row],[Comments]])=0.1,"N/A",IF(stdProdLT(Main[[#This Row],[Comments]])=0,"",stdProdLT(Main[[#This Row],[Comments]])))</f>
        <v/>
      </c>
      <c r="H1441" s="68" t="str">
        <f>IF(AND(Main[[#This Row],[In Stock Date]]&lt;&gt;"",Main[[#This Row],[Revised Due Date]]&lt;&gt;""),Main[[#This Row],[In Stock Date]]-Main[[#This Row],[Revised Due Date]],"")</f>
        <v/>
      </c>
      <c r="I1441" s="65" t="s">
        <v>942</v>
      </c>
      <c r="J1441" s="65" t="s">
        <v>28</v>
      </c>
      <c r="K1441" s="65" t="s">
        <v>1921</v>
      </c>
      <c r="L1441" s="67">
        <v>40947</v>
      </c>
      <c r="M1441" s="69">
        <f>IF(Main[[#This Row],[Tech Start Date]]&lt;1/1/1990,"",IF(Main[[#This Row],[Class]]="C",WORKDAY(Main[[#This Row],[Tech Start Date]],9),IF(Main[[#This Row],[Class]]="B", WORKDAY(Main[[#This Row],[Tech Start Date]],6),IF(Main[[#This Row],[Class]]="A",WORKDAY(Main[[#This Row],[Tech Start Date]],2),""))))</f>
        <v>40955</v>
      </c>
      <c r="N1441" s="69">
        <f>IF(Main[[#This Row],[Tech Start Date]]&lt;1/1/1990,"",IF(Main[[#This Row],[Class]]="C",WORKDAY(Main[[#This Row],[Tech Start Date]],19),IF(Main[[#This Row],[Class]]="B", WORKDAY(Main[[#This Row],[Tech Start Date]],12),IF(Main[[#This Row],[Class]]="A",WORKDAY(Main[[#This Row],[Tech Start Date]],4),""))))</f>
        <v>40963</v>
      </c>
      <c r="O1441" s="69">
        <f>IF(Main[[#This Row],[Tech Start Date]]&lt;1/1/1990,"",IF(Main[[#This Row],[Class]]="C",WORKDAY(Main[[#This Row],[Tech Start Date]],23),IF(Main[[#This Row],[Class]]="B", WORKDAY(Main[[#This Row],[Tech Start Date]],15),IF(Main[[#This Row],[Class]]="A",WORKDAY(Main[[#This Row],[Tech Start Date]],5),""))))</f>
        <v>40968</v>
      </c>
      <c r="P1441" s="69">
        <f>IF(Main[[#This Row],[Tech Start Date]]&lt;1/1/1990,"",IF(Main[[#This Row],[Class]]="C",WORKDAY(Main[[#This Row],[Tech Start Date]],28),IF(Main[[#This Row],[Class]]="B", WORKDAY(Main[[#This Row],[Tech Start Date]],19),IF(Main[[#This Row],[Class]]="A",WORKDAY(Main[[#This Row],[Tech Start Date]],9),""))))</f>
        <v>40974</v>
      </c>
      <c r="Q1441" s="67"/>
      <c r="R1441" s="67">
        <v>40956</v>
      </c>
      <c r="S1441" s="65" t="s">
        <v>6</v>
      </c>
      <c r="T1441" s="70" t="s">
        <v>4</v>
      </c>
      <c r="U1441" s="65" t="s">
        <v>29</v>
      </c>
      <c r="V1441" s="65" t="s">
        <v>1915</v>
      </c>
      <c r="W1441" s="65" t="s">
        <v>1919</v>
      </c>
      <c r="X1441" s="65" t="s">
        <v>2053</v>
      </c>
      <c r="Y1441" s="65" t="s">
        <v>3153</v>
      </c>
      <c r="Z1441" s="65" t="s">
        <v>2053</v>
      </c>
      <c r="AA1441" s="65" t="s">
        <v>2053</v>
      </c>
    </row>
    <row r="1442" spans="1:27" ht="17.45" hidden="1" customHeight="1">
      <c r="A1442" s="100" t="str">
        <f>IF(priority(Main[[#This Row],[Comments]])&lt;&gt;0, priority(Main[[#This Row],[Comments]]),"")</f>
        <v/>
      </c>
      <c r="B1442" s="77" t="s">
        <v>3268</v>
      </c>
      <c r="C1442" s="65" t="s">
        <v>3207</v>
      </c>
      <c r="D1442" s="66" t="s">
        <v>3269</v>
      </c>
      <c r="E1442" s="67"/>
      <c r="F1442" s="67">
        <v>41153</v>
      </c>
      <c r="G1442" s="64">
        <f>IF(stdProdLT(Main[[#This Row],[Comments]])=0.1,"N/A",IF(stdProdLT(Main[[#This Row],[Comments]])=0,"",stdProdLT(Main[[#This Row],[Comments]])))</f>
        <v>168</v>
      </c>
      <c r="H1442" s="68" t="str">
        <f>IF(AND(Main[[#This Row],[In Stock Date]]&lt;&gt;"",Main[[#This Row],[Revised Due Date]]&lt;&gt;""),Main[[#This Row],[In Stock Date]]-Main[[#This Row],[Revised Due Date]],"")</f>
        <v/>
      </c>
      <c r="I1442" s="65" t="s">
        <v>765</v>
      </c>
      <c r="J1442" s="65" t="s">
        <v>28</v>
      </c>
      <c r="K1442" s="65" t="s">
        <v>1921</v>
      </c>
      <c r="L1442" s="67">
        <v>40948</v>
      </c>
      <c r="M1442" s="69">
        <f>IF(Main[[#This Row],[Tech Start Date]]&lt;1/1/1990,"",IF(Main[[#This Row],[Class]]="C",WORKDAY(Main[[#This Row],[Tech Start Date]],9),IF(Main[[#This Row],[Class]]="B", WORKDAY(Main[[#This Row],[Tech Start Date]],6),IF(Main[[#This Row],[Class]]="A",WORKDAY(Main[[#This Row],[Tech Start Date]],2),""))))</f>
        <v>40956</v>
      </c>
      <c r="N1442" s="69">
        <f>IF(Main[[#This Row],[Tech Start Date]]&lt;1/1/1990,"",IF(Main[[#This Row],[Class]]="C",WORKDAY(Main[[#This Row],[Tech Start Date]],19),IF(Main[[#This Row],[Class]]="B", WORKDAY(Main[[#This Row],[Tech Start Date]],12),IF(Main[[#This Row],[Class]]="A",WORKDAY(Main[[#This Row],[Tech Start Date]],4),""))))</f>
        <v>40966</v>
      </c>
      <c r="O1442" s="69">
        <f>IF(Main[[#This Row],[Tech Start Date]]&lt;1/1/1990,"",IF(Main[[#This Row],[Class]]="C",WORKDAY(Main[[#This Row],[Tech Start Date]],23),IF(Main[[#This Row],[Class]]="B", WORKDAY(Main[[#This Row],[Tech Start Date]],15),IF(Main[[#This Row],[Class]]="A",WORKDAY(Main[[#This Row],[Tech Start Date]],5),""))))</f>
        <v>40969</v>
      </c>
      <c r="P1442" s="69">
        <f>IF(Main[[#This Row],[Tech Start Date]]&lt;1/1/1990,"",IF(Main[[#This Row],[Class]]="C",WORKDAY(Main[[#This Row],[Tech Start Date]],28),IF(Main[[#This Row],[Class]]="B", WORKDAY(Main[[#This Row],[Tech Start Date]],19),IF(Main[[#This Row],[Class]]="A",WORKDAY(Main[[#This Row],[Tech Start Date]],9),""))))</f>
        <v>40975</v>
      </c>
      <c r="Q1442" s="67">
        <v>40983</v>
      </c>
      <c r="R1442" s="67"/>
      <c r="S1442" s="65" t="s">
        <v>11</v>
      </c>
      <c r="T1442" s="70" t="s">
        <v>3852</v>
      </c>
      <c r="U1442" s="65" t="s">
        <v>14</v>
      </c>
      <c r="V1442" s="65" t="s">
        <v>1917</v>
      </c>
      <c r="W1442" s="65" t="s">
        <v>1920</v>
      </c>
      <c r="X1442" s="65" t="s">
        <v>2848</v>
      </c>
      <c r="Y1442" s="65" t="s">
        <v>2979</v>
      </c>
      <c r="Z1442" s="65" t="s">
        <v>530</v>
      </c>
      <c r="AA1442" s="65" t="s">
        <v>2848</v>
      </c>
    </row>
    <row r="1443" spans="1:27" ht="17.45" hidden="1" customHeight="1">
      <c r="A1443" s="100" t="str">
        <f>IF(priority(Main[[#This Row],[Comments]])&lt;&gt;0, priority(Main[[#This Row],[Comments]]),"")</f>
        <v/>
      </c>
      <c r="B1443" s="77" t="s">
        <v>3571</v>
      </c>
      <c r="C1443" s="65" t="s">
        <v>122</v>
      </c>
      <c r="D1443" s="66" t="s">
        <v>3572</v>
      </c>
      <c r="E1443" s="67">
        <v>40946.693032407406</v>
      </c>
      <c r="F1443" s="67"/>
      <c r="G1443" s="64" t="str">
        <f>IF(stdProdLT(Main[[#This Row],[Comments]])=0.1,"N/A",IF(stdProdLT(Main[[#This Row],[Comments]])=0,"",stdProdLT(Main[[#This Row],[Comments]])))</f>
        <v/>
      </c>
      <c r="H1443" s="68" t="str">
        <f>IF(AND(Main[[#This Row],[In Stock Date]]&lt;&gt;"",Main[[#This Row],[Revised Due Date]]&lt;&gt;""),Main[[#This Row],[In Stock Date]]-Main[[#This Row],[Revised Due Date]],"")</f>
        <v/>
      </c>
      <c r="I1443" s="65" t="s">
        <v>561</v>
      </c>
      <c r="J1443" s="65" t="s">
        <v>21</v>
      </c>
      <c r="K1443" s="65" t="s">
        <v>1923</v>
      </c>
      <c r="L1443" s="67">
        <v>40948</v>
      </c>
      <c r="M1443" s="69">
        <f>IF(Main[[#This Row],[Tech Start Date]]&lt;1/1/1990,"",IF(Main[[#This Row],[Class]]="C",WORKDAY(Main[[#This Row],[Tech Start Date]],9),IF(Main[[#This Row],[Class]]="B", WORKDAY(Main[[#This Row],[Tech Start Date]],6),IF(Main[[#This Row],[Class]]="A",WORKDAY(Main[[#This Row],[Tech Start Date]],2),""))))</f>
        <v>40952</v>
      </c>
      <c r="N1443" s="69">
        <f>IF(Main[[#This Row],[Tech Start Date]]&lt;1/1/1990,"",IF(Main[[#This Row],[Class]]="C",WORKDAY(Main[[#This Row],[Tech Start Date]],19),IF(Main[[#This Row],[Class]]="B", WORKDAY(Main[[#This Row],[Tech Start Date]],12),IF(Main[[#This Row],[Class]]="A",WORKDAY(Main[[#This Row],[Tech Start Date]],4),""))))</f>
        <v>40954</v>
      </c>
      <c r="O1443" s="69">
        <f>IF(Main[[#This Row],[Tech Start Date]]&lt;1/1/1990,"",IF(Main[[#This Row],[Class]]="C",WORKDAY(Main[[#This Row],[Tech Start Date]],23),IF(Main[[#This Row],[Class]]="B", WORKDAY(Main[[#This Row],[Tech Start Date]],15),IF(Main[[#This Row],[Class]]="A",WORKDAY(Main[[#This Row],[Tech Start Date]],5),""))))</f>
        <v>40955</v>
      </c>
      <c r="P1443" s="69">
        <f>IF(Main[[#This Row],[Tech Start Date]]&lt;1/1/1990,"",IF(Main[[#This Row],[Class]]="C",WORKDAY(Main[[#This Row],[Tech Start Date]],28),IF(Main[[#This Row],[Class]]="B", WORKDAY(Main[[#This Row],[Tech Start Date]],19),IF(Main[[#This Row],[Class]]="A",WORKDAY(Main[[#This Row],[Tech Start Date]],9),""))))</f>
        <v>40961</v>
      </c>
      <c r="Q1443" s="67"/>
      <c r="R1443" s="67">
        <v>40959</v>
      </c>
      <c r="S1443" s="65" t="s">
        <v>17</v>
      </c>
      <c r="T1443" s="70" t="s">
        <v>4</v>
      </c>
      <c r="U1443" s="65" t="s">
        <v>29</v>
      </c>
      <c r="V1443" s="65" t="s">
        <v>1914</v>
      </c>
      <c r="W1443" s="65" t="s">
        <v>1916</v>
      </c>
      <c r="X1443" s="65" t="s">
        <v>2839</v>
      </c>
      <c r="Y1443" s="65" t="s">
        <v>2970</v>
      </c>
      <c r="Z1443" s="65" t="s">
        <v>129</v>
      </c>
      <c r="AA1443" s="65" t="s">
        <v>2839</v>
      </c>
    </row>
    <row r="1444" spans="1:27" ht="17.45" hidden="1" customHeight="1">
      <c r="A1444" s="100">
        <f>IF(priority(Main[[#This Row],[Comments]])&lt;&gt;0, priority(Main[[#This Row],[Comments]]),"")</f>
        <v>37</v>
      </c>
      <c r="B1444" s="77" t="s">
        <v>3299</v>
      </c>
      <c r="C1444" s="65" t="s">
        <v>4</v>
      </c>
      <c r="D1444" s="66" t="s">
        <v>3570</v>
      </c>
      <c r="E1444" s="67">
        <v>40933.750428240739</v>
      </c>
      <c r="F1444" s="67">
        <v>40969</v>
      </c>
      <c r="G1444" s="64" t="str">
        <f>IF(stdProdLT(Main[[#This Row],[Comments]])=0.1,"N/A",IF(stdProdLT(Main[[#This Row],[Comments]])=0,"",stdProdLT(Main[[#This Row],[Comments]])))</f>
        <v>N/A</v>
      </c>
      <c r="H1444" s="68">
        <f>IF(AND(Main[[#This Row],[In Stock Date]]&lt;&gt;"",Main[[#This Row],[Revised Due Date]]&lt;&gt;""),Main[[#This Row],[In Stock Date]]-Main[[#This Row],[Revised Due Date]],"")</f>
        <v>-8</v>
      </c>
      <c r="I1444" s="65" t="s">
        <v>2044</v>
      </c>
      <c r="J1444" s="65" t="s">
        <v>28</v>
      </c>
      <c r="K1444" s="65" t="s">
        <v>1927</v>
      </c>
      <c r="L1444" s="67">
        <v>40948</v>
      </c>
      <c r="M1444" s="69">
        <f>IF(Main[[#This Row],[Tech Start Date]]&lt;1/1/1990,"",IF(Main[[#This Row],[Class]]="C",WORKDAY(Main[[#This Row],[Tech Start Date]],9),IF(Main[[#This Row],[Class]]="B", WORKDAY(Main[[#This Row],[Tech Start Date]],6),IF(Main[[#This Row],[Class]]="A",WORKDAY(Main[[#This Row],[Tech Start Date]],2),""))))</f>
        <v>40961</v>
      </c>
      <c r="N1444" s="69">
        <f>IF(Main[[#This Row],[Tech Start Date]]&lt;1/1/1990,"",IF(Main[[#This Row],[Class]]="C",WORKDAY(Main[[#This Row],[Tech Start Date]],19),IF(Main[[#This Row],[Class]]="B", WORKDAY(Main[[#This Row],[Tech Start Date]],12),IF(Main[[#This Row],[Class]]="A",WORKDAY(Main[[#This Row],[Tech Start Date]],4),""))))</f>
        <v>40975</v>
      </c>
      <c r="O1444" s="69">
        <f>IF(Main[[#This Row],[Tech Start Date]]&lt;1/1/1990,"",IF(Main[[#This Row],[Class]]="C",WORKDAY(Main[[#This Row],[Tech Start Date]],23),IF(Main[[#This Row],[Class]]="B", WORKDAY(Main[[#This Row],[Tech Start Date]],15),IF(Main[[#This Row],[Class]]="A",WORKDAY(Main[[#This Row],[Tech Start Date]],5),""))))</f>
        <v>40981</v>
      </c>
      <c r="P1444" s="69">
        <f>IF(Main[[#This Row],[Tech Start Date]]&lt;1/1/1990,"",IF(Main[[#This Row],[Class]]="C",WORKDAY(Main[[#This Row],[Tech Start Date]],28),IF(Main[[#This Row],[Class]]="B", WORKDAY(Main[[#This Row],[Tech Start Date]],19),IF(Main[[#This Row],[Class]]="A",WORKDAY(Main[[#This Row],[Tech Start Date]],9),""))))</f>
        <v>40988</v>
      </c>
      <c r="Q1444" s="67">
        <v>40969</v>
      </c>
      <c r="R1444" s="67">
        <v>40977</v>
      </c>
      <c r="S1444" s="65" t="s">
        <v>11</v>
      </c>
      <c r="T1444" s="70" t="s">
        <v>3853</v>
      </c>
      <c r="U1444" s="65" t="s">
        <v>29</v>
      </c>
      <c r="V1444" s="65" t="s">
        <v>1917</v>
      </c>
      <c r="W1444" s="65" t="s">
        <v>1919</v>
      </c>
      <c r="X1444" s="65" t="s">
        <v>553</v>
      </c>
      <c r="Y1444" s="65" t="s">
        <v>2952</v>
      </c>
      <c r="Z1444" s="65" t="s">
        <v>530</v>
      </c>
      <c r="AA1444" s="65" t="s">
        <v>553</v>
      </c>
    </row>
    <row r="1445" spans="1:27" ht="17.45" customHeight="1">
      <c r="A1445" s="100">
        <f>IF(priority(Main[[#This Row],[Comments]])&lt;&gt;0, priority(Main[[#This Row],[Comments]]),"")</f>
        <v>32</v>
      </c>
      <c r="B1445" s="77" t="s">
        <v>2651</v>
      </c>
      <c r="C1445" s="65" t="s">
        <v>116</v>
      </c>
      <c r="D1445" s="66" t="s">
        <v>2805</v>
      </c>
      <c r="E1445" s="67">
        <v>40864.570104166669</v>
      </c>
      <c r="F1445" s="67">
        <v>41044</v>
      </c>
      <c r="G1445" s="64" t="str">
        <f>IF(stdProdLT(Main[[#This Row],[Comments]])=0.1,"N/A",IF(stdProdLT(Main[[#This Row],[Comments]])=0,"",stdProdLT(Main[[#This Row],[Comments]])))</f>
        <v>N/A</v>
      </c>
      <c r="H1445" s="68">
        <f>IF(AND(Main[[#This Row],[In Stock Date]]&lt;&gt;"",Main[[#This Row],[Revised Due Date]]&lt;&gt;""),Main[[#This Row],[In Stock Date]]-Main[[#This Row],[Revised Due Date]],"")</f>
        <v>46</v>
      </c>
      <c r="I1445" s="65" t="s">
        <v>937</v>
      </c>
      <c r="J1445" s="65" t="s">
        <v>21</v>
      </c>
      <c r="K1445" s="65" t="s">
        <v>1921</v>
      </c>
      <c r="L1445" s="67">
        <v>40869</v>
      </c>
      <c r="M1445" s="69">
        <f>IF(Main[[#This Row],[Tech Start Date]]&lt;1/1/1990,"",IF(Main[[#This Row],[Class]]="C",WORKDAY(Main[[#This Row],[Tech Start Date]],9),IF(Main[[#This Row],[Class]]="B", WORKDAY(Main[[#This Row],[Tech Start Date]],6),IF(Main[[#This Row],[Class]]="A",WORKDAY(Main[[#This Row],[Tech Start Date]],2),""))))</f>
        <v>40877</v>
      </c>
      <c r="N1445" s="69">
        <f>IF(Main[[#This Row],[Tech Start Date]]&lt;1/1/1990,"",IF(Main[[#This Row],[Class]]="C",WORKDAY(Main[[#This Row],[Tech Start Date]],19),IF(Main[[#This Row],[Class]]="B", WORKDAY(Main[[#This Row],[Tech Start Date]],12),IF(Main[[#This Row],[Class]]="A",WORKDAY(Main[[#This Row],[Tech Start Date]],4),""))))</f>
        <v>40885</v>
      </c>
      <c r="O1445" s="69">
        <f>IF(Main[[#This Row],[Tech Start Date]]&lt;1/1/1990,"",IF(Main[[#This Row],[Class]]="C",WORKDAY(Main[[#This Row],[Tech Start Date]],23),IF(Main[[#This Row],[Class]]="B", WORKDAY(Main[[#This Row],[Tech Start Date]],15),IF(Main[[#This Row],[Class]]="A",WORKDAY(Main[[#This Row],[Tech Start Date]],5),""))))</f>
        <v>40890</v>
      </c>
      <c r="P1445" s="69">
        <f>IF(Main[[#This Row],[Tech Start Date]]&lt;1/1/1990,"",IF(Main[[#This Row],[Class]]="C",WORKDAY(Main[[#This Row],[Tech Start Date]],28),IF(Main[[#This Row],[Class]]="B", WORKDAY(Main[[#This Row],[Tech Start Date]],19),IF(Main[[#This Row],[Class]]="A",WORKDAY(Main[[#This Row],[Tech Start Date]],9),""))))</f>
        <v>40896</v>
      </c>
      <c r="Q1445" s="67">
        <v>40904</v>
      </c>
      <c r="R1445" s="67">
        <v>40998</v>
      </c>
      <c r="S1445" s="65" t="s">
        <v>11</v>
      </c>
      <c r="T1445" s="70" t="s">
        <v>3809</v>
      </c>
      <c r="U1445" s="65" t="s">
        <v>29</v>
      </c>
      <c r="V1445" s="65" t="s">
        <v>1914</v>
      </c>
      <c r="W1445" s="65" t="s">
        <v>1922</v>
      </c>
      <c r="X1445" s="65" t="s">
        <v>2852</v>
      </c>
      <c r="Y1445" s="65" t="s">
        <v>3134</v>
      </c>
      <c r="Z1445" s="65" t="s">
        <v>129</v>
      </c>
      <c r="AA1445" s="65" t="s">
        <v>2852</v>
      </c>
    </row>
    <row r="1446" spans="1:27" ht="17.45" hidden="1" customHeight="1">
      <c r="A1446" s="100">
        <f>IF(priority(Main[[#This Row],[Comments]])&lt;&gt;0, priority(Main[[#This Row],[Comments]]),"")</f>
        <v>17</v>
      </c>
      <c r="B1446" s="77" t="s">
        <v>3335</v>
      </c>
      <c r="C1446" s="65" t="s">
        <v>2354</v>
      </c>
      <c r="D1446" s="66" t="s">
        <v>3984</v>
      </c>
      <c r="E1446" s="67">
        <v>40939.118807870371</v>
      </c>
      <c r="F1446" s="67">
        <v>41030</v>
      </c>
      <c r="G1446" s="64">
        <f>IF(stdProdLT(Main[[#This Row],[Comments]])=0.1,"N/A",IF(stdProdLT(Main[[#This Row],[Comments]])=0,"",stdProdLT(Main[[#This Row],[Comments]])))</f>
        <v>98</v>
      </c>
      <c r="H1446" s="68">
        <f>IF(AND(Main[[#This Row],[In Stock Date]]&lt;&gt;"",Main[[#This Row],[Revised Due Date]]&lt;&gt;""),Main[[#This Row],[In Stock Date]]-Main[[#This Row],[Revised Due Date]],"")</f>
        <v>47</v>
      </c>
      <c r="I1446" s="65" t="s">
        <v>2208</v>
      </c>
      <c r="J1446" s="65" t="s">
        <v>75</v>
      </c>
      <c r="K1446" s="65" t="s">
        <v>1921</v>
      </c>
      <c r="L1446" s="67">
        <v>40954</v>
      </c>
      <c r="M1446" s="69">
        <f>IF(Main[[#This Row],[Tech Start Date]]&lt;1/1/1990,"",IF(Main[[#This Row],[Class]]="C",WORKDAY(Main[[#This Row],[Tech Start Date]],9),IF(Main[[#This Row],[Class]]="B", WORKDAY(Main[[#This Row],[Tech Start Date]],6),IF(Main[[#This Row],[Class]]="A",WORKDAY(Main[[#This Row],[Tech Start Date]],2),""))))</f>
        <v>40962</v>
      </c>
      <c r="N1446" s="69">
        <f>IF(Main[[#This Row],[Tech Start Date]]&lt;1/1/1990,"",IF(Main[[#This Row],[Class]]="C",WORKDAY(Main[[#This Row],[Tech Start Date]],19),IF(Main[[#This Row],[Class]]="B", WORKDAY(Main[[#This Row],[Tech Start Date]],12),IF(Main[[#This Row],[Class]]="A",WORKDAY(Main[[#This Row],[Tech Start Date]],4),""))))</f>
        <v>40970</v>
      </c>
      <c r="O1446" s="69">
        <f>IF(Main[[#This Row],[Tech Start Date]]&lt;1/1/1990,"",IF(Main[[#This Row],[Class]]="C",WORKDAY(Main[[#This Row],[Tech Start Date]],23),IF(Main[[#This Row],[Class]]="B", WORKDAY(Main[[#This Row],[Tech Start Date]],15),IF(Main[[#This Row],[Class]]="A",WORKDAY(Main[[#This Row],[Tech Start Date]],5),""))))</f>
        <v>40975</v>
      </c>
      <c r="P1446" s="69">
        <f>IF(Main[[#This Row],[Tech Start Date]]&lt;1/1/1990,"",IF(Main[[#This Row],[Class]]="C",WORKDAY(Main[[#This Row],[Tech Start Date]],28),IF(Main[[#This Row],[Class]]="B", WORKDAY(Main[[#This Row],[Tech Start Date]],19),IF(Main[[#This Row],[Class]]="A",WORKDAY(Main[[#This Row],[Tech Start Date]],9),""))))</f>
        <v>40981</v>
      </c>
      <c r="Q1446" s="67">
        <v>40890</v>
      </c>
      <c r="R1446" s="67">
        <v>40983</v>
      </c>
      <c r="S1446" s="65" t="s">
        <v>11</v>
      </c>
      <c r="T1446" s="70" t="s">
        <v>3862</v>
      </c>
      <c r="U1446" s="65" t="s">
        <v>29</v>
      </c>
      <c r="V1446" s="65" t="s">
        <v>1924</v>
      </c>
      <c r="W1446" s="65" t="s">
        <v>1922</v>
      </c>
      <c r="X1446" s="65" t="s">
        <v>2843</v>
      </c>
      <c r="Y1446" s="65" t="s">
        <v>4</v>
      </c>
      <c r="Z1446" s="65" t="s">
        <v>530</v>
      </c>
      <c r="AA1446" s="65" t="s">
        <v>2843</v>
      </c>
    </row>
    <row r="1447" spans="1:27" ht="17.45" customHeight="1">
      <c r="A1447" s="100" t="str">
        <f>IF(priority(Main[[#This Row],[Comments]])&lt;&gt;0, priority(Main[[#This Row],[Comments]]),"")</f>
        <v/>
      </c>
      <c r="B1447" s="77" t="s">
        <v>3987</v>
      </c>
      <c r="C1447" s="65" t="s">
        <v>58</v>
      </c>
      <c r="D1447" s="66" t="s">
        <v>3988</v>
      </c>
      <c r="E1447" s="67">
        <v>40968.637592592589</v>
      </c>
      <c r="F1447" s="67">
        <v>41108</v>
      </c>
      <c r="G1447" s="64" t="str">
        <f>IF(stdProdLT(Main[[#This Row],[Comments]])=0.1,"N/A",IF(stdProdLT(Main[[#This Row],[Comments]])=0,"",stdProdLT(Main[[#This Row],[Comments]])))</f>
        <v/>
      </c>
      <c r="H1447" s="68" t="str">
        <f>IF(AND(Main[[#This Row],[In Stock Date]]&lt;&gt;"",Main[[#This Row],[Revised Due Date]]&lt;&gt;""),Main[[#This Row],[In Stock Date]]-Main[[#This Row],[Revised Due Date]],"")</f>
        <v/>
      </c>
      <c r="I1447" s="65" t="s">
        <v>4</v>
      </c>
      <c r="J1447" s="65" t="s">
        <v>75</v>
      </c>
      <c r="K1447" s="65" t="s">
        <v>4</v>
      </c>
      <c r="L1447" s="67"/>
      <c r="M1447" s="69" t="str">
        <f>IF(Main[[#This Row],[Tech Start Date]]&lt;1/1/1990,"",IF(Main[[#This Row],[Class]]="C",WORKDAY(Main[[#This Row],[Tech Start Date]],9),IF(Main[[#This Row],[Class]]="B", WORKDAY(Main[[#This Row],[Tech Start Date]],6),IF(Main[[#This Row],[Class]]="A",WORKDAY(Main[[#This Row],[Tech Start Date]],2),""))))</f>
        <v/>
      </c>
      <c r="N1447" s="69" t="str">
        <f>IF(Main[[#This Row],[Tech Start Date]]&lt;1/1/1990,"",IF(Main[[#This Row],[Class]]="C",WORKDAY(Main[[#This Row],[Tech Start Date]],19),IF(Main[[#This Row],[Class]]="B", WORKDAY(Main[[#This Row],[Tech Start Date]],12),IF(Main[[#This Row],[Class]]="A",WORKDAY(Main[[#This Row],[Tech Start Date]],4),""))))</f>
        <v/>
      </c>
      <c r="O1447" s="69" t="str">
        <f>IF(Main[[#This Row],[Tech Start Date]]&lt;1/1/1990,"",IF(Main[[#This Row],[Class]]="C",WORKDAY(Main[[#This Row],[Tech Start Date]],23),IF(Main[[#This Row],[Class]]="B", WORKDAY(Main[[#This Row],[Tech Start Date]],15),IF(Main[[#This Row],[Class]]="A",WORKDAY(Main[[#This Row],[Tech Start Date]],5),""))))</f>
        <v/>
      </c>
      <c r="P1447" s="69" t="str">
        <f>IF(Main[[#This Row],[Tech Start Date]]&lt;1/1/1990,"",IF(Main[[#This Row],[Class]]="C",WORKDAY(Main[[#This Row],[Tech Start Date]],28),IF(Main[[#This Row],[Class]]="B", WORKDAY(Main[[#This Row],[Tech Start Date]],19),IF(Main[[#This Row],[Class]]="A",WORKDAY(Main[[#This Row],[Tech Start Date]],9),""))))</f>
        <v/>
      </c>
      <c r="Q1447" s="67">
        <v>40996</v>
      </c>
      <c r="R1447" s="67"/>
      <c r="S1447" s="65" t="s">
        <v>11</v>
      </c>
      <c r="T1447" s="70" t="s">
        <v>4</v>
      </c>
      <c r="U1447" s="65" t="s">
        <v>7</v>
      </c>
      <c r="V1447" s="65" t="s">
        <v>1914</v>
      </c>
      <c r="W1447" s="65" t="s">
        <v>1925</v>
      </c>
      <c r="X1447" s="65" t="s">
        <v>2829</v>
      </c>
      <c r="Y1447" s="65" t="s">
        <v>3989</v>
      </c>
      <c r="Z1447" s="65" t="s">
        <v>306</v>
      </c>
      <c r="AA1447" s="65" t="s">
        <v>2829</v>
      </c>
    </row>
    <row r="1448" spans="1:27" ht="17.45" customHeight="1">
      <c r="A1448" s="100" t="str">
        <f>IF(priority(Main[[#This Row],[Comments]])&lt;&gt;0, priority(Main[[#This Row],[Comments]]),"")</f>
        <v/>
      </c>
      <c r="B1448" s="77" t="s">
        <v>3992</v>
      </c>
      <c r="C1448" s="65" t="s">
        <v>58</v>
      </c>
      <c r="D1448" s="66" t="s">
        <v>3993</v>
      </c>
      <c r="E1448" s="67">
        <v>40968.615104166667</v>
      </c>
      <c r="F1448" s="67">
        <v>41108</v>
      </c>
      <c r="G1448" s="64" t="str">
        <f>IF(stdProdLT(Main[[#This Row],[Comments]])=0.1,"N/A",IF(stdProdLT(Main[[#This Row],[Comments]])=0,"",stdProdLT(Main[[#This Row],[Comments]])))</f>
        <v/>
      </c>
      <c r="H1448" s="68" t="str">
        <f>IF(AND(Main[[#This Row],[In Stock Date]]&lt;&gt;"",Main[[#This Row],[Revised Due Date]]&lt;&gt;""),Main[[#This Row],[In Stock Date]]-Main[[#This Row],[Revised Due Date]],"")</f>
        <v/>
      </c>
      <c r="I1448" s="65" t="s">
        <v>4</v>
      </c>
      <c r="J1448" s="65" t="s">
        <v>75</v>
      </c>
      <c r="K1448" s="65" t="s">
        <v>4</v>
      </c>
      <c r="L1448" s="67"/>
      <c r="M1448" s="69" t="str">
        <f>IF(Main[[#This Row],[Tech Start Date]]&lt;1/1/1990,"",IF(Main[[#This Row],[Class]]="C",WORKDAY(Main[[#This Row],[Tech Start Date]],9),IF(Main[[#This Row],[Class]]="B", WORKDAY(Main[[#This Row],[Tech Start Date]],6),IF(Main[[#This Row],[Class]]="A",WORKDAY(Main[[#This Row],[Tech Start Date]],2),""))))</f>
        <v/>
      </c>
      <c r="N1448" s="69" t="str">
        <f>IF(Main[[#This Row],[Tech Start Date]]&lt;1/1/1990,"",IF(Main[[#This Row],[Class]]="C",WORKDAY(Main[[#This Row],[Tech Start Date]],19),IF(Main[[#This Row],[Class]]="B", WORKDAY(Main[[#This Row],[Tech Start Date]],12),IF(Main[[#This Row],[Class]]="A",WORKDAY(Main[[#This Row],[Tech Start Date]],4),""))))</f>
        <v/>
      </c>
      <c r="O1448" s="69" t="str">
        <f>IF(Main[[#This Row],[Tech Start Date]]&lt;1/1/1990,"",IF(Main[[#This Row],[Class]]="C",WORKDAY(Main[[#This Row],[Tech Start Date]],23),IF(Main[[#This Row],[Class]]="B", WORKDAY(Main[[#This Row],[Tech Start Date]],15),IF(Main[[#This Row],[Class]]="A",WORKDAY(Main[[#This Row],[Tech Start Date]],5),""))))</f>
        <v/>
      </c>
      <c r="P1448" s="69" t="str">
        <f>IF(Main[[#This Row],[Tech Start Date]]&lt;1/1/1990,"",IF(Main[[#This Row],[Class]]="C",WORKDAY(Main[[#This Row],[Tech Start Date]],28),IF(Main[[#This Row],[Class]]="B", WORKDAY(Main[[#This Row],[Tech Start Date]],19),IF(Main[[#This Row],[Class]]="A",WORKDAY(Main[[#This Row],[Tech Start Date]],9),""))))</f>
        <v/>
      </c>
      <c r="Q1448" s="67">
        <v>40996</v>
      </c>
      <c r="R1448" s="67"/>
      <c r="S1448" s="65" t="s">
        <v>11</v>
      </c>
      <c r="T1448" s="70" t="s">
        <v>4</v>
      </c>
      <c r="U1448" s="65" t="s">
        <v>7</v>
      </c>
      <c r="V1448" s="65" t="s">
        <v>1914</v>
      </c>
      <c r="W1448" s="65" t="s">
        <v>1925</v>
      </c>
      <c r="X1448" s="65" t="s">
        <v>2829</v>
      </c>
      <c r="Y1448" s="65" t="s">
        <v>3989</v>
      </c>
      <c r="Z1448" s="65" t="s">
        <v>306</v>
      </c>
      <c r="AA1448" s="65" t="s">
        <v>2829</v>
      </c>
    </row>
    <row r="1449" spans="1:27" ht="17.45" customHeight="1">
      <c r="A1449" s="100" t="str">
        <f>IF(priority(Main[[#This Row],[Comments]])&lt;&gt;0, priority(Main[[#This Row],[Comments]]),"")</f>
        <v/>
      </c>
      <c r="B1449" s="77" t="s">
        <v>3696</v>
      </c>
      <c r="C1449" s="65" t="s">
        <v>3548</v>
      </c>
      <c r="D1449" s="66" t="s">
        <v>3697</v>
      </c>
      <c r="E1449" s="67">
        <v>40967.587476851855</v>
      </c>
      <c r="F1449" s="67"/>
      <c r="G1449" s="64" t="str">
        <f>IF(stdProdLT(Main[[#This Row],[Comments]])=0.1,"N/A",IF(stdProdLT(Main[[#This Row],[Comments]])=0,"",stdProdLT(Main[[#This Row],[Comments]])))</f>
        <v/>
      </c>
      <c r="H1449" s="68" t="str">
        <f>IF(AND(Main[[#This Row],[In Stock Date]]&lt;&gt;"",Main[[#This Row],[Revised Due Date]]&lt;&gt;""),Main[[#This Row],[In Stock Date]]-Main[[#This Row],[Revised Due Date]],"")</f>
        <v/>
      </c>
      <c r="I1449" s="65" t="s">
        <v>4</v>
      </c>
      <c r="J1449" s="65" t="s">
        <v>4</v>
      </c>
      <c r="K1449" s="65" t="s">
        <v>4</v>
      </c>
      <c r="L1449" s="67"/>
      <c r="M1449" s="69" t="str">
        <f>IF(Main[[#This Row],[Tech Start Date]]&lt;1/1/1990,"",IF(Main[[#This Row],[Class]]="C",WORKDAY(Main[[#This Row],[Tech Start Date]],9),IF(Main[[#This Row],[Class]]="B", WORKDAY(Main[[#This Row],[Tech Start Date]],6),IF(Main[[#This Row],[Class]]="A",WORKDAY(Main[[#This Row],[Tech Start Date]],2),""))))</f>
        <v/>
      </c>
      <c r="N1449" s="69" t="str">
        <f>IF(Main[[#This Row],[Tech Start Date]]&lt;1/1/1990,"",IF(Main[[#This Row],[Class]]="C",WORKDAY(Main[[#This Row],[Tech Start Date]],19),IF(Main[[#This Row],[Class]]="B", WORKDAY(Main[[#This Row],[Tech Start Date]],12),IF(Main[[#This Row],[Class]]="A",WORKDAY(Main[[#This Row],[Tech Start Date]],4),""))))</f>
        <v/>
      </c>
      <c r="O1449" s="69" t="str">
        <f>IF(Main[[#This Row],[Tech Start Date]]&lt;1/1/1990,"",IF(Main[[#This Row],[Class]]="C",WORKDAY(Main[[#This Row],[Tech Start Date]],23),IF(Main[[#This Row],[Class]]="B", WORKDAY(Main[[#This Row],[Tech Start Date]],15),IF(Main[[#This Row],[Class]]="A",WORKDAY(Main[[#This Row],[Tech Start Date]],5),""))))</f>
        <v/>
      </c>
      <c r="P1449" s="69" t="str">
        <f>IF(Main[[#This Row],[Tech Start Date]]&lt;1/1/1990,"",IF(Main[[#This Row],[Class]]="C",WORKDAY(Main[[#This Row],[Tech Start Date]],28),IF(Main[[#This Row],[Class]]="B", WORKDAY(Main[[#This Row],[Tech Start Date]],19),IF(Main[[#This Row],[Class]]="A",WORKDAY(Main[[#This Row],[Tech Start Date]],9),""))))</f>
        <v/>
      </c>
      <c r="Q1449" s="67"/>
      <c r="R1449" s="67"/>
      <c r="S1449" s="65" t="s">
        <v>11</v>
      </c>
      <c r="T1449" s="70" t="s">
        <v>4</v>
      </c>
      <c r="U1449" s="65" t="s">
        <v>7</v>
      </c>
      <c r="V1449" s="65" t="s">
        <v>1914</v>
      </c>
      <c r="W1449" s="65" t="s">
        <v>1922</v>
      </c>
      <c r="X1449" s="65" t="s">
        <v>3472</v>
      </c>
      <c r="Y1449" s="65" t="s">
        <v>3487</v>
      </c>
      <c r="Z1449" s="65" t="s">
        <v>4</v>
      </c>
      <c r="AA1449" s="65" t="s">
        <v>3472</v>
      </c>
    </row>
    <row r="1450" spans="1:27" ht="17.45" customHeight="1">
      <c r="A1450" s="100" t="str">
        <f>IF(priority(Main[[#This Row],[Comments]])&lt;&gt;0, priority(Main[[#This Row],[Comments]]),"")</f>
        <v/>
      </c>
      <c r="B1450" s="77" t="s">
        <v>3709</v>
      </c>
      <c r="C1450" s="65" t="s">
        <v>3710</v>
      </c>
      <c r="D1450" s="66" t="s">
        <v>3711</v>
      </c>
      <c r="E1450" s="67">
        <v>40967.774861111109</v>
      </c>
      <c r="F1450" s="67"/>
      <c r="G1450" s="64">
        <f>IF(stdProdLT(Main[[#This Row],[Comments]])=0.1,"N/A",IF(stdProdLT(Main[[#This Row],[Comments]])=0,"",stdProdLT(Main[[#This Row],[Comments]])))</f>
        <v>126</v>
      </c>
      <c r="H1450" s="68" t="str">
        <f>IF(AND(Main[[#This Row],[In Stock Date]]&lt;&gt;"",Main[[#This Row],[Revised Due Date]]&lt;&gt;""),Main[[#This Row],[In Stock Date]]-Main[[#This Row],[Revised Due Date]],"")</f>
        <v/>
      </c>
      <c r="I1450" s="65" t="s">
        <v>4</v>
      </c>
      <c r="J1450" s="65" t="s">
        <v>4</v>
      </c>
      <c r="K1450" s="65" t="s">
        <v>4</v>
      </c>
      <c r="L1450" s="67"/>
      <c r="M1450" s="69" t="str">
        <f>IF(Main[[#This Row],[Tech Start Date]]&lt;1/1/1990,"",IF(Main[[#This Row],[Class]]="C",WORKDAY(Main[[#This Row],[Tech Start Date]],9),IF(Main[[#This Row],[Class]]="B", WORKDAY(Main[[#This Row],[Tech Start Date]],6),IF(Main[[#This Row],[Class]]="A",WORKDAY(Main[[#This Row],[Tech Start Date]],2),""))))</f>
        <v/>
      </c>
      <c r="N1450" s="69" t="str">
        <f>IF(Main[[#This Row],[Tech Start Date]]&lt;1/1/1990,"",IF(Main[[#This Row],[Class]]="C",WORKDAY(Main[[#This Row],[Tech Start Date]],19),IF(Main[[#This Row],[Class]]="B", WORKDAY(Main[[#This Row],[Tech Start Date]],12),IF(Main[[#This Row],[Class]]="A",WORKDAY(Main[[#This Row],[Tech Start Date]],4),""))))</f>
        <v/>
      </c>
      <c r="O1450" s="69" t="str">
        <f>IF(Main[[#This Row],[Tech Start Date]]&lt;1/1/1990,"",IF(Main[[#This Row],[Class]]="C",WORKDAY(Main[[#This Row],[Tech Start Date]],23),IF(Main[[#This Row],[Class]]="B", WORKDAY(Main[[#This Row],[Tech Start Date]],15),IF(Main[[#This Row],[Class]]="A",WORKDAY(Main[[#This Row],[Tech Start Date]],5),""))))</f>
        <v/>
      </c>
      <c r="P1450" s="69" t="str">
        <f>IF(Main[[#This Row],[Tech Start Date]]&lt;1/1/1990,"",IF(Main[[#This Row],[Class]]="C",WORKDAY(Main[[#This Row],[Tech Start Date]],28),IF(Main[[#This Row],[Class]]="B", WORKDAY(Main[[#This Row],[Tech Start Date]],19),IF(Main[[#This Row],[Class]]="A",WORKDAY(Main[[#This Row],[Tech Start Date]],9),""))))</f>
        <v/>
      </c>
      <c r="Q1450" s="67"/>
      <c r="R1450" s="67"/>
      <c r="S1450" s="65" t="s">
        <v>11</v>
      </c>
      <c r="T1450" s="70" t="s">
        <v>3712</v>
      </c>
      <c r="U1450" s="65" t="s">
        <v>7</v>
      </c>
      <c r="V1450" s="65" t="s">
        <v>1914</v>
      </c>
      <c r="W1450" s="65" t="s">
        <v>1922</v>
      </c>
      <c r="X1450" s="65" t="s">
        <v>50</v>
      </c>
      <c r="Y1450" s="65" t="s">
        <v>3713</v>
      </c>
      <c r="Z1450" s="65" t="s">
        <v>4</v>
      </c>
      <c r="AA1450" s="65" t="s">
        <v>3464</v>
      </c>
    </row>
    <row r="1451" spans="1:27" ht="17.45" hidden="1" customHeight="1">
      <c r="A1451" s="100" t="str">
        <f>IF(priority(Main[[#This Row],[Comments]])&lt;&gt;0, priority(Main[[#This Row],[Comments]]),"")</f>
        <v/>
      </c>
      <c r="B1451" s="77" t="s">
        <v>3866</v>
      </c>
      <c r="C1451" s="65" t="s">
        <v>4</v>
      </c>
      <c r="D1451" s="66" t="s">
        <v>3867</v>
      </c>
      <c r="E1451" s="67">
        <v>40955.366423611114</v>
      </c>
      <c r="F1451" s="67">
        <v>40959</v>
      </c>
      <c r="G1451" s="64" t="str">
        <f>IF(stdProdLT(Main[[#This Row],[Comments]])=0.1,"N/A",IF(stdProdLT(Main[[#This Row],[Comments]])=0,"",stdProdLT(Main[[#This Row],[Comments]])))</f>
        <v/>
      </c>
      <c r="H1451" s="68" t="str">
        <f>IF(AND(Main[[#This Row],[In Stock Date]]&lt;&gt;"",Main[[#This Row],[Revised Due Date]]&lt;&gt;""),Main[[#This Row],[In Stock Date]]-Main[[#This Row],[Revised Due Date]],"")</f>
        <v/>
      </c>
      <c r="I1451" s="65" t="s">
        <v>2044</v>
      </c>
      <c r="J1451" s="65" t="s">
        <v>28</v>
      </c>
      <c r="K1451" s="65" t="s">
        <v>1923</v>
      </c>
      <c r="L1451" s="67">
        <v>40955</v>
      </c>
      <c r="M1451" s="69">
        <f>IF(Main[[#This Row],[Tech Start Date]]&lt;1/1/1990,"",IF(Main[[#This Row],[Class]]="C",WORKDAY(Main[[#This Row],[Tech Start Date]],9),IF(Main[[#This Row],[Class]]="B", WORKDAY(Main[[#This Row],[Tech Start Date]],6),IF(Main[[#This Row],[Class]]="A",WORKDAY(Main[[#This Row],[Tech Start Date]],2),""))))</f>
        <v>40959</v>
      </c>
      <c r="N1451" s="69">
        <f>IF(Main[[#This Row],[Tech Start Date]]&lt;1/1/1990,"",IF(Main[[#This Row],[Class]]="C",WORKDAY(Main[[#This Row],[Tech Start Date]],19),IF(Main[[#This Row],[Class]]="B", WORKDAY(Main[[#This Row],[Tech Start Date]],12),IF(Main[[#This Row],[Class]]="A",WORKDAY(Main[[#This Row],[Tech Start Date]],4),""))))</f>
        <v>40961</v>
      </c>
      <c r="O1451" s="69">
        <f>IF(Main[[#This Row],[Tech Start Date]]&lt;1/1/1990,"",IF(Main[[#This Row],[Class]]="C",WORKDAY(Main[[#This Row],[Tech Start Date]],23),IF(Main[[#This Row],[Class]]="B", WORKDAY(Main[[#This Row],[Tech Start Date]],15),IF(Main[[#This Row],[Class]]="A",WORKDAY(Main[[#This Row],[Tech Start Date]],5),""))))</f>
        <v>40962</v>
      </c>
      <c r="P1451" s="69">
        <f>IF(Main[[#This Row],[Tech Start Date]]&lt;1/1/1990,"",IF(Main[[#This Row],[Class]]="C",WORKDAY(Main[[#This Row],[Tech Start Date]],28),IF(Main[[#This Row],[Class]]="B", WORKDAY(Main[[#This Row],[Tech Start Date]],19),IF(Main[[#This Row],[Class]]="A",WORKDAY(Main[[#This Row],[Tech Start Date]],9),""))))</f>
        <v>40968</v>
      </c>
      <c r="Q1451" s="67"/>
      <c r="R1451" s="67"/>
      <c r="S1451" s="65" t="s">
        <v>11</v>
      </c>
      <c r="T1451" s="70" t="s">
        <v>3868</v>
      </c>
      <c r="U1451" s="65" t="s">
        <v>534</v>
      </c>
      <c r="V1451" s="65" t="s">
        <v>1917</v>
      </c>
      <c r="W1451" s="65" t="s">
        <v>1922</v>
      </c>
      <c r="X1451" s="65" t="s">
        <v>50</v>
      </c>
      <c r="Y1451" s="65" t="s">
        <v>3870</v>
      </c>
      <c r="Z1451" s="65" t="s">
        <v>530</v>
      </c>
      <c r="AA1451" s="65" t="s">
        <v>3869</v>
      </c>
    </row>
    <row r="1452" spans="1:27" ht="17.45" customHeight="1">
      <c r="A1452" s="100" t="str">
        <f>IF(priority(Main[[#This Row],[Comments]])&lt;&gt;0, priority(Main[[#This Row],[Comments]]),"")</f>
        <v/>
      </c>
      <c r="B1452" s="77" t="s">
        <v>3964</v>
      </c>
      <c r="C1452" s="65" t="s">
        <v>3965</v>
      </c>
      <c r="D1452" s="66" t="s">
        <v>3966</v>
      </c>
      <c r="E1452" s="67">
        <v>40968.159571759257</v>
      </c>
      <c r="F1452" s="67">
        <v>41153</v>
      </c>
      <c r="G1452" s="64" t="str">
        <f>IF(stdProdLT(Main[[#This Row],[Comments]])=0.1,"N/A",IF(stdProdLT(Main[[#This Row],[Comments]])=0,"",stdProdLT(Main[[#This Row],[Comments]])))</f>
        <v/>
      </c>
      <c r="H1452" s="68" t="str">
        <f>IF(AND(Main[[#This Row],[In Stock Date]]&lt;&gt;"",Main[[#This Row],[Revised Due Date]]&lt;&gt;""),Main[[#This Row],[In Stock Date]]-Main[[#This Row],[Revised Due Date]],"")</f>
        <v/>
      </c>
      <c r="I1452" s="65" t="s">
        <v>4</v>
      </c>
      <c r="J1452" s="65" t="s">
        <v>4</v>
      </c>
      <c r="K1452" s="65" t="s">
        <v>4</v>
      </c>
      <c r="L1452" s="67"/>
      <c r="M1452" s="69" t="str">
        <f>IF(Main[[#This Row],[Tech Start Date]]&lt;1/1/1990,"",IF(Main[[#This Row],[Class]]="C",WORKDAY(Main[[#This Row],[Tech Start Date]],9),IF(Main[[#This Row],[Class]]="B", WORKDAY(Main[[#This Row],[Tech Start Date]],6),IF(Main[[#This Row],[Class]]="A",WORKDAY(Main[[#This Row],[Tech Start Date]],2),""))))</f>
        <v/>
      </c>
      <c r="N1452" s="69" t="str">
        <f>IF(Main[[#This Row],[Tech Start Date]]&lt;1/1/1990,"",IF(Main[[#This Row],[Class]]="C",WORKDAY(Main[[#This Row],[Tech Start Date]],19),IF(Main[[#This Row],[Class]]="B", WORKDAY(Main[[#This Row],[Tech Start Date]],12),IF(Main[[#This Row],[Class]]="A",WORKDAY(Main[[#This Row],[Tech Start Date]],4),""))))</f>
        <v/>
      </c>
      <c r="O1452" s="69" t="str">
        <f>IF(Main[[#This Row],[Tech Start Date]]&lt;1/1/1990,"",IF(Main[[#This Row],[Class]]="C",WORKDAY(Main[[#This Row],[Tech Start Date]],23),IF(Main[[#This Row],[Class]]="B", WORKDAY(Main[[#This Row],[Tech Start Date]],15),IF(Main[[#This Row],[Class]]="A",WORKDAY(Main[[#This Row],[Tech Start Date]],5),""))))</f>
        <v/>
      </c>
      <c r="P1452" s="69" t="str">
        <f>IF(Main[[#This Row],[Tech Start Date]]&lt;1/1/1990,"",IF(Main[[#This Row],[Class]]="C",WORKDAY(Main[[#This Row],[Tech Start Date]],28),IF(Main[[#This Row],[Class]]="B", WORKDAY(Main[[#This Row],[Tech Start Date]],19),IF(Main[[#This Row],[Class]]="A",WORKDAY(Main[[#This Row],[Tech Start Date]],9),""))))</f>
        <v/>
      </c>
      <c r="Q1452" s="67">
        <v>41000</v>
      </c>
      <c r="R1452" s="67"/>
      <c r="S1452" s="65" t="s">
        <v>11</v>
      </c>
      <c r="T1452" s="70" t="s">
        <v>4</v>
      </c>
      <c r="U1452" s="65" t="s">
        <v>7</v>
      </c>
      <c r="V1452" s="65" t="s">
        <v>1914</v>
      </c>
      <c r="W1452" s="65" t="s">
        <v>1925</v>
      </c>
      <c r="X1452" s="65" t="s">
        <v>2845</v>
      </c>
      <c r="Y1452" s="65" t="s">
        <v>3906</v>
      </c>
      <c r="Z1452" s="65" t="s">
        <v>4</v>
      </c>
      <c r="AA1452" s="65" t="s">
        <v>2845</v>
      </c>
    </row>
    <row r="1453" spans="1:27" ht="17.45" customHeight="1">
      <c r="A1453" s="100" t="str">
        <f>IF(priority(Main[[#This Row],[Comments]])&lt;&gt;0, priority(Main[[#This Row],[Comments]]),"")</f>
        <v/>
      </c>
      <c r="B1453" s="77" t="s">
        <v>1658</v>
      </c>
      <c r="C1453" s="65" t="s">
        <v>122</v>
      </c>
      <c r="D1453" s="66" t="s">
        <v>2787</v>
      </c>
      <c r="E1453" s="67">
        <v>40959.441145833334</v>
      </c>
      <c r="F1453" s="67">
        <v>41244</v>
      </c>
      <c r="G1453" s="64">
        <f>IF(stdProdLT(Main[[#This Row],[Comments]])=0.1,"N/A",IF(stdProdLT(Main[[#This Row],[Comments]])=0,"",stdProdLT(Main[[#This Row],[Comments]])))</f>
        <v>126</v>
      </c>
      <c r="H1453" s="68" t="str">
        <f>IF(AND(Main[[#This Row],[In Stock Date]]&lt;&gt;"",Main[[#This Row],[Revised Due Date]]&lt;&gt;""),Main[[#This Row],[In Stock Date]]-Main[[#This Row],[Revised Due Date]],"")</f>
        <v/>
      </c>
      <c r="I1453" s="65" t="s">
        <v>4</v>
      </c>
      <c r="J1453" s="65" t="s">
        <v>28</v>
      </c>
      <c r="K1453" s="65" t="s">
        <v>1927</v>
      </c>
      <c r="L1453" s="67"/>
      <c r="M1453" s="69" t="str">
        <f>IF(Main[[#This Row],[Tech Start Date]]&lt;1/1/1990,"",IF(Main[[#This Row],[Class]]="C",WORKDAY(Main[[#This Row],[Tech Start Date]],9),IF(Main[[#This Row],[Class]]="B", WORKDAY(Main[[#This Row],[Tech Start Date]],6),IF(Main[[#This Row],[Class]]="A",WORKDAY(Main[[#This Row],[Tech Start Date]],2),""))))</f>
        <v/>
      </c>
      <c r="N1453" s="69" t="str">
        <f>IF(Main[[#This Row],[Tech Start Date]]&lt;1/1/1990,"",IF(Main[[#This Row],[Class]]="C",WORKDAY(Main[[#This Row],[Tech Start Date]],19),IF(Main[[#This Row],[Class]]="B", WORKDAY(Main[[#This Row],[Tech Start Date]],12),IF(Main[[#This Row],[Class]]="A",WORKDAY(Main[[#This Row],[Tech Start Date]],4),""))))</f>
        <v/>
      </c>
      <c r="O1453" s="69" t="str">
        <f>IF(Main[[#This Row],[Tech Start Date]]&lt;1/1/1990,"",IF(Main[[#This Row],[Class]]="C",WORKDAY(Main[[#This Row],[Tech Start Date]],23),IF(Main[[#This Row],[Class]]="B", WORKDAY(Main[[#This Row],[Tech Start Date]],15),IF(Main[[#This Row],[Class]]="A",WORKDAY(Main[[#This Row],[Tech Start Date]],5),""))))</f>
        <v/>
      </c>
      <c r="P1453" s="69" t="str">
        <f>IF(Main[[#This Row],[Tech Start Date]]&lt;1/1/1990,"",IF(Main[[#This Row],[Class]]="C",WORKDAY(Main[[#This Row],[Tech Start Date]],28),IF(Main[[#This Row],[Class]]="B", WORKDAY(Main[[#This Row],[Tech Start Date]],19),IF(Main[[#This Row],[Class]]="A",WORKDAY(Main[[#This Row],[Tech Start Date]],9),""))))</f>
        <v/>
      </c>
      <c r="Q1453" s="67">
        <v>40711</v>
      </c>
      <c r="R1453" s="67"/>
      <c r="S1453" s="65" t="s">
        <v>11</v>
      </c>
      <c r="T1453" s="70" t="s">
        <v>3718</v>
      </c>
      <c r="U1453" s="65" t="s">
        <v>694</v>
      </c>
      <c r="V1453" s="65" t="s">
        <v>1914</v>
      </c>
      <c r="W1453" s="65" t="s">
        <v>1916</v>
      </c>
      <c r="X1453" s="65" t="s">
        <v>2852</v>
      </c>
      <c r="Y1453" s="65" t="s">
        <v>3134</v>
      </c>
      <c r="Z1453" s="65" t="s">
        <v>129</v>
      </c>
      <c r="AA1453" s="65" t="s">
        <v>2852</v>
      </c>
    </row>
    <row r="1454" spans="1:27" ht="17.45" customHeight="1">
      <c r="A1454" s="100" t="str">
        <f>IF(priority(Main[[#This Row],[Comments]])&lt;&gt;0, priority(Main[[#This Row],[Comments]]),"")</f>
        <v/>
      </c>
      <c r="B1454" s="77" t="s">
        <v>3555</v>
      </c>
      <c r="C1454" s="65" t="s">
        <v>4</v>
      </c>
      <c r="D1454" s="66" t="s">
        <v>3781</v>
      </c>
      <c r="E1454" s="67">
        <v>40949.616782407407</v>
      </c>
      <c r="F1454" s="67"/>
      <c r="G1454" s="64" t="str">
        <f>IF(stdProdLT(Main[[#This Row],[Comments]])=0.1,"N/A",IF(stdProdLT(Main[[#This Row],[Comments]])=0,"",stdProdLT(Main[[#This Row],[Comments]])))</f>
        <v/>
      </c>
      <c r="H1454" s="68" t="str">
        <f>IF(AND(Main[[#This Row],[In Stock Date]]&lt;&gt;"",Main[[#This Row],[Revised Due Date]]&lt;&gt;""),Main[[#This Row],[In Stock Date]]-Main[[#This Row],[Revised Due Date]],"")</f>
        <v/>
      </c>
      <c r="I1454" s="65" t="s">
        <v>4</v>
      </c>
      <c r="J1454" s="65" t="s">
        <v>4</v>
      </c>
      <c r="K1454" s="65" t="s">
        <v>4</v>
      </c>
      <c r="L1454" s="67"/>
      <c r="M1454" s="69" t="str">
        <f>IF(Main[[#This Row],[Tech Start Date]]&lt;1/1/1990,"",IF(Main[[#This Row],[Class]]="C",WORKDAY(Main[[#This Row],[Tech Start Date]],9),IF(Main[[#This Row],[Class]]="B", WORKDAY(Main[[#This Row],[Tech Start Date]],6),IF(Main[[#This Row],[Class]]="A",WORKDAY(Main[[#This Row],[Tech Start Date]],2),""))))</f>
        <v/>
      </c>
      <c r="N1454" s="69" t="str">
        <f>IF(Main[[#This Row],[Tech Start Date]]&lt;1/1/1990,"",IF(Main[[#This Row],[Class]]="C",WORKDAY(Main[[#This Row],[Tech Start Date]],19),IF(Main[[#This Row],[Class]]="B", WORKDAY(Main[[#This Row],[Tech Start Date]],12),IF(Main[[#This Row],[Class]]="A",WORKDAY(Main[[#This Row],[Tech Start Date]],4),""))))</f>
        <v/>
      </c>
      <c r="O1454" s="69" t="str">
        <f>IF(Main[[#This Row],[Tech Start Date]]&lt;1/1/1990,"",IF(Main[[#This Row],[Class]]="C",WORKDAY(Main[[#This Row],[Tech Start Date]],23),IF(Main[[#This Row],[Class]]="B", WORKDAY(Main[[#This Row],[Tech Start Date]],15),IF(Main[[#This Row],[Class]]="A",WORKDAY(Main[[#This Row],[Tech Start Date]],5),""))))</f>
        <v/>
      </c>
      <c r="P1454" s="69" t="str">
        <f>IF(Main[[#This Row],[Tech Start Date]]&lt;1/1/1990,"",IF(Main[[#This Row],[Class]]="C",WORKDAY(Main[[#This Row],[Tech Start Date]],28),IF(Main[[#This Row],[Class]]="B", WORKDAY(Main[[#This Row],[Tech Start Date]],19),IF(Main[[#This Row],[Class]]="A",WORKDAY(Main[[#This Row],[Tech Start Date]],9),""))))</f>
        <v/>
      </c>
      <c r="Q1454" s="67"/>
      <c r="R1454" s="67"/>
      <c r="S1454" s="65" t="s">
        <v>11</v>
      </c>
      <c r="T1454" s="70" t="s">
        <v>4</v>
      </c>
      <c r="U1454" s="65" t="s">
        <v>694</v>
      </c>
      <c r="V1454" s="65" t="s">
        <v>1914</v>
      </c>
      <c r="W1454" s="65" t="s">
        <v>1922</v>
      </c>
      <c r="X1454" s="65" t="s">
        <v>3472</v>
      </c>
      <c r="Y1454" s="65" t="s">
        <v>3487</v>
      </c>
      <c r="Z1454" s="65" t="s">
        <v>4</v>
      </c>
      <c r="AA1454" s="65" t="s">
        <v>3472</v>
      </c>
    </row>
    <row r="1455" spans="1:27" ht="17.45" hidden="1" customHeight="1">
      <c r="A1455" s="100">
        <f>IF(priority(Main[[#This Row],[Comments]])&lt;&gt;0, priority(Main[[#This Row],[Comments]]),"")</f>
        <v>10</v>
      </c>
      <c r="B1455" s="77" t="s">
        <v>3880</v>
      </c>
      <c r="C1455" s="65" t="s">
        <v>2354</v>
      </c>
      <c r="D1455" s="66" t="s">
        <v>3881</v>
      </c>
      <c r="E1455" s="67">
        <v>40953.07539351852</v>
      </c>
      <c r="F1455" s="67">
        <v>41105</v>
      </c>
      <c r="G1455" s="64">
        <f>IF(stdProdLT(Main[[#This Row],[Comments]])=0.1,"N/A",IF(stdProdLT(Main[[#This Row],[Comments]])=0,"",stdProdLT(Main[[#This Row],[Comments]])))</f>
        <v>126</v>
      </c>
      <c r="H1455" s="68">
        <f>IF(AND(Main[[#This Row],[In Stock Date]]&lt;&gt;"",Main[[#This Row],[Revised Due Date]]&lt;&gt;""),Main[[#This Row],[In Stock Date]]-Main[[#This Row],[Revised Due Date]],"")</f>
        <v>104</v>
      </c>
      <c r="I1455" s="65" t="s">
        <v>2624</v>
      </c>
      <c r="J1455" s="65" t="s">
        <v>28</v>
      </c>
      <c r="K1455" s="71" t="s">
        <v>1927</v>
      </c>
      <c r="L1455" s="67">
        <v>40959</v>
      </c>
      <c r="M1455" s="69">
        <f>IF(Main[[#This Row],[Tech Start Date]]&lt;1/1/1990,"",IF(Main[[#This Row],[Class]]="C",WORKDAY(Main[[#This Row],[Tech Start Date]],9),IF(Main[[#This Row],[Class]]="B", WORKDAY(Main[[#This Row],[Tech Start Date]],6),IF(Main[[#This Row],[Class]]="A",WORKDAY(Main[[#This Row],[Tech Start Date]],2),""))))</f>
        <v>40970</v>
      </c>
      <c r="N1455" s="69">
        <f>IF(Main[[#This Row],[Tech Start Date]]&lt;1/1/1990,"",IF(Main[[#This Row],[Class]]="C",WORKDAY(Main[[#This Row],[Tech Start Date]],19),IF(Main[[#This Row],[Class]]="B", WORKDAY(Main[[#This Row],[Tech Start Date]],12),IF(Main[[#This Row],[Class]]="A",WORKDAY(Main[[#This Row],[Tech Start Date]],4),""))))</f>
        <v>40984</v>
      </c>
      <c r="O1455" s="69">
        <f>IF(Main[[#This Row],[Tech Start Date]]&lt;1/1/1990,"",IF(Main[[#This Row],[Class]]="C",WORKDAY(Main[[#This Row],[Tech Start Date]],23),IF(Main[[#This Row],[Class]]="B", WORKDAY(Main[[#This Row],[Tech Start Date]],15),IF(Main[[#This Row],[Class]]="A",WORKDAY(Main[[#This Row],[Tech Start Date]],5),""))))</f>
        <v>40990</v>
      </c>
      <c r="P1455" s="69">
        <f>IF(Main[[#This Row],[Tech Start Date]]&lt;1/1/1990,"",IF(Main[[#This Row],[Class]]="C",WORKDAY(Main[[#This Row],[Tech Start Date]],28),IF(Main[[#This Row],[Class]]="B", WORKDAY(Main[[#This Row],[Tech Start Date]],19),IF(Main[[#This Row],[Class]]="A",WORKDAY(Main[[#This Row],[Tech Start Date]],9),""))))</f>
        <v>40997</v>
      </c>
      <c r="Q1455" s="67">
        <v>40965</v>
      </c>
      <c r="R1455" s="67">
        <v>41001</v>
      </c>
      <c r="S1455" s="65" t="s">
        <v>11</v>
      </c>
      <c r="T1455" s="70" t="s">
        <v>3882</v>
      </c>
      <c r="U1455" s="65" t="s">
        <v>7</v>
      </c>
      <c r="V1455" s="65" t="s">
        <v>1915</v>
      </c>
      <c r="W1455" s="65" t="s">
        <v>1922</v>
      </c>
      <c r="X1455" s="65" t="s">
        <v>2843</v>
      </c>
      <c r="Y1455" s="65" t="s">
        <v>4</v>
      </c>
      <c r="Z1455" s="65" t="s">
        <v>2053</v>
      </c>
      <c r="AA1455" s="65" t="s">
        <v>2843</v>
      </c>
    </row>
    <row r="1456" spans="1:27" ht="17.45" customHeight="1">
      <c r="A1456" s="100" t="str">
        <f>IF(priority(Main[[#This Row],[Comments]])&lt;&gt;0, priority(Main[[#This Row],[Comments]]),"")</f>
        <v/>
      </c>
      <c r="B1456" s="77" t="s">
        <v>2549</v>
      </c>
      <c r="C1456" s="65" t="s">
        <v>2550</v>
      </c>
      <c r="D1456" s="66" t="s">
        <v>3782</v>
      </c>
      <c r="E1456" s="67">
        <v>40855.339328703703</v>
      </c>
      <c r="F1456" s="67">
        <v>40890</v>
      </c>
      <c r="G1456" s="64">
        <f>IF(stdProdLT(Main[[#This Row],[Comments]])=0.1,"N/A",IF(stdProdLT(Main[[#This Row],[Comments]])=0,"",stdProdLT(Main[[#This Row],[Comments]])))</f>
        <v>84</v>
      </c>
      <c r="H1456" s="68" t="str">
        <f>IF(AND(Main[[#This Row],[In Stock Date]]&lt;&gt;"",Main[[#This Row],[Revised Due Date]]&lt;&gt;""),Main[[#This Row],[In Stock Date]]-Main[[#This Row],[Revised Due Date]],"")</f>
        <v/>
      </c>
      <c r="I1456" s="65" t="s">
        <v>126</v>
      </c>
      <c r="J1456" s="65" t="s">
        <v>28</v>
      </c>
      <c r="K1456" s="65" t="s">
        <v>4</v>
      </c>
      <c r="L1456" s="67"/>
      <c r="M1456" s="69" t="str">
        <f>IF(Main[[#This Row],[Tech Start Date]]&lt;1/1/1990,"",IF(Main[[#This Row],[Class]]="C",WORKDAY(Main[[#This Row],[Tech Start Date]],9),IF(Main[[#This Row],[Class]]="B", WORKDAY(Main[[#This Row],[Tech Start Date]],6),IF(Main[[#This Row],[Class]]="A",WORKDAY(Main[[#This Row],[Tech Start Date]],2),""))))</f>
        <v/>
      </c>
      <c r="N1456" s="69" t="str">
        <f>IF(Main[[#This Row],[Tech Start Date]]&lt;1/1/1990,"",IF(Main[[#This Row],[Class]]="C",WORKDAY(Main[[#This Row],[Tech Start Date]],19),IF(Main[[#This Row],[Class]]="B", WORKDAY(Main[[#This Row],[Tech Start Date]],12),IF(Main[[#This Row],[Class]]="A",WORKDAY(Main[[#This Row],[Tech Start Date]],4),""))))</f>
        <v/>
      </c>
      <c r="O1456" s="69" t="str">
        <f>IF(Main[[#This Row],[Tech Start Date]]&lt;1/1/1990,"",IF(Main[[#This Row],[Class]]="C",WORKDAY(Main[[#This Row],[Tech Start Date]],23),IF(Main[[#This Row],[Class]]="B", WORKDAY(Main[[#This Row],[Tech Start Date]],15),IF(Main[[#This Row],[Class]]="A",WORKDAY(Main[[#This Row],[Tech Start Date]],5),""))))</f>
        <v/>
      </c>
      <c r="P1456" s="69" t="str">
        <f>IF(Main[[#This Row],[Tech Start Date]]&lt;1/1/1990,"",IF(Main[[#This Row],[Class]]="C",WORKDAY(Main[[#This Row],[Tech Start Date]],28),IF(Main[[#This Row],[Class]]="B", WORKDAY(Main[[#This Row],[Tech Start Date]],19),IF(Main[[#This Row],[Class]]="A",WORKDAY(Main[[#This Row],[Tech Start Date]],9),""))))</f>
        <v/>
      </c>
      <c r="Q1456" s="67">
        <v>40877</v>
      </c>
      <c r="R1456" s="67"/>
      <c r="S1456" s="65" t="s">
        <v>11</v>
      </c>
      <c r="T1456" s="70" t="s">
        <v>3783</v>
      </c>
      <c r="U1456" s="65" t="s">
        <v>534</v>
      </c>
      <c r="V1456" s="65" t="s">
        <v>1914</v>
      </c>
      <c r="W1456" s="65" t="s">
        <v>1928</v>
      </c>
      <c r="X1456" s="65" t="s">
        <v>2905</v>
      </c>
      <c r="Y1456" s="65" t="s">
        <v>3131</v>
      </c>
      <c r="Z1456" s="65" t="s">
        <v>4</v>
      </c>
      <c r="AA1456" s="65" t="s">
        <v>3465</v>
      </c>
    </row>
    <row r="1457" spans="1:27" ht="17.45" customHeight="1">
      <c r="A1457" s="100" t="str">
        <f>IF(priority(Main[[#This Row],[Comments]])&lt;&gt;0, priority(Main[[#This Row],[Comments]]),"")</f>
        <v/>
      </c>
      <c r="B1457" s="77" t="s">
        <v>1885</v>
      </c>
      <c r="C1457" s="65" t="s">
        <v>939</v>
      </c>
      <c r="D1457" s="66" t="s">
        <v>2793</v>
      </c>
      <c r="E1457" s="67">
        <v>40617.624050925922</v>
      </c>
      <c r="F1457" s="67">
        <v>40967</v>
      </c>
      <c r="G1457" s="64">
        <f>IF(stdProdLT(Main[[#This Row],[Comments]])=0.1,"N/A",IF(stdProdLT(Main[[#This Row],[Comments]])=0,"",stdProdLT(Main[[#This Row],[Comments]])))</f>
        <v>112</v>
      </c>
      <c r="H1457" s="68" t="str">
        <f>IF(AND(Main[[#This Row],[In Stock Date]]&lt;&gt;"",Main[[#This Row],[Revised Due Date]]&lt;&gt;""),Main[[#This Row],[In Stock Date]]-Main[[#This Row],[Revised Due Date]],"")</f>
        <v/>
      </c>
      <c r="I1457" s="65" t="s">
        <v>561</v>
      </c>
      <c r="J1457" s="65" t="s">
        <v>28</v>
      </c>
      <c r="K1457" s="65" t="s">
        <v>1927</v>
      </c>
      <c r="L1457" s="67">
        <v>40666</v>
      </c>
      <c r="M1457" s="69">
        <f>IF(Main[[#This Row],[Tech Start Date]]&lt;1/1/1990,"",IF(Main[[#This Row],[Class]]="C",WORKDAY(Main[[#This Row],[Tech Start Date]],9),IF(Main[[#This Row],[Class]]="B", WORKDAY(Main[[#This Row],[Tech Start Date]],6),IF(Main[[#This Row],[Class]]="A",WORKDAY(Main[[#This Row],[Tech Start Date]],2),""))))</f>
        <v>40679</v>
      </c>
      <c r="N1457" s="69">
        <f>IF(Main[[#This Row],[Tech Start Date]]&lt;1/1/1990,"",IF(Main[[#This Row],[Class]]="C",WORKDAY(Main[[#This Row],[Tech Start Date]],19),IF(Main[[#This Row],[Class]]="B", WORKDAY(Main[[#This Row],[Tech Start Date]],12),IF(Main[[#This Row],[Class]]="A",WORKDAY(Main[[#This Row],[Tech Start Date]],4),""))))</f>
        <v>40693</v>
      </c>
      <c r="O1457" s="69">
        <f>IF(Main[[#This Row],[Tech Start Date]]&lt;1/1/1990,"",IF(Main[[#This Row],[Class]]="C",WORKDAY(Main[[#This Row],[Tech Start Date]],23),IF(Main[[#This Row],[Class]]="B", WORKDAY(Main[[#This Row],[Tech Start Date]],15),IF(Main[[#This Row],[Class]]="A",WORKDAY(Main[[#This Row],[Tech Start Date]],5),""))))</f>
        <v>40697</v>
      </c>
      <c r="P1457" s="69">
        <f>IF(Main[[#This Row],[Tech Start Date]]&lt;1/1/1990,"",IF(Main[[#This Row],[Class]]="C",WORKDAY(Main[[#This Row],[Tech Start Date]],28),IF(Main[[#This Row],[Class]]="B", WORKDAY(Main[[#This Row],[Tech Start Date]],19),IF(Main[[#This Row],[Class]]="A",WORKDAY(Main[[#This Row],[Tech Start Date]],9),""))))</f>
        <v>40704</v>
      </c>
      <c r="Q1457" s="67">
        <v>40767</v>
      </c>
      <c r="R1457" s="67"/>
      <c r="S1457" s="65" t="s">
        <v>11</v>
      </c>
      <c r="T1457" s="70" t="s">
        <v>3560</v>
      </c>
      <c r="U1457" s="65" t="s">
        <v>534</v>
      </c>
      <c r="V1457" s="65" t="s">
        <v>1914</v>
      </c>
      <c r="W1457" s="65" t="s">
        <v>1922</v>
      </c>
      <c r="X1457" s="65" t="s">
        <v>2921</v>
      </c>
      <c r="Y1457" s="65" t="s">
        <v>3149</v>
      </c>
      <c r="Z1457" s="65" t="s">
        <v>129</v>
      </c>
      <c r="AA1457" s="65" t="s">
        <v>2921</v>
      </c>
    </row>
    <row r="1458" spans="1:27" ht="17.45" customHeight="1">
      <c r="A1458" s="100" t="str">
        <f>IF(priority(Main[[#This Row],[Comments]])&lt;&gt;0, priority(Main[[#This Row],[Comments]]),"")</f>
        <v/>
      </c>
      <c r="B1458" s="77" t="s">
        <v>1903</v>
      </c>
      <c r="C1458" s="65" t="s">
        <v>113</v>
      </c>
      <c r="D1458" s="66" t="s">
        <v>2794</v>
      </c>
      <c r="E1458" s="67">
        <v>40709.602083333331</v>
      </c>
      <c r="F1458" s="67">
        <v>41091</v>
      </c>
      <c r="G1458" s="64">
        <f>IF(stdProdLT(Main[[#This Row],[Comments]])=0.1,"N/A",IF(stdProdLT(Main[[#This Row],[Comments]])=0,"",stdProdLT(Main[[#This Row],[Comments]])))</f>
        <v>126</v>
      </c>
      <c r="H1458" s="68" t="str">
        <f>IF(AND(Main[[#This Row],[In Stock Date]]&lt;&gt;"",Main[[#This Row],[Revised Due Date]]&lt;&gt;""),Main[[#This Row],[In Stock Date]]-Main[[#This Row],[Revised Due Date]],"")</f>
        <v/>
      </c>
      <c r="I1458" s="65" t="s">
        <v>561</v>
      </c>
      <c r="J1458" s="65" t="s">
        <v>28</v>
      </c>
      <c r="K1458" s="65" t="s">
        <v>1927</v>
      </c>
      <c r="L1458" s="67">
        <v>40709</v>
      </c>
      <c r="M1458" s="69">
        <f>IF(Main[[#This Row],[Tech Start Date]]&lt;1/1/1990,"",IF(Main[[#This Row],[Class]]="C",WORKDAY(Main[[#This Row],[Tech Start Date]],9),IF(Main[[#This Row],[Class]]="B", WORKDAY(Main[[#This Row],[Tech Start Date]],6),IF(Main[[#This Row],[Class]]="A",WORKDAY(Main[[#This Row],[Tech Start Date]],2),""))))</f>
        <v>40722</v>
      </c>
      <c r="N1458" s="69">
        <f>IF(Main[[#This Row],[Tech Start Date]]&lt;1/1/1990,"",IF(Main[[#This Row],[Class]]="C",WORKDAY(Main[[#This Row],[Tech Start Date]],19),IF(Main[[#This Row],[Class]]="B", WORKDAY(Main[[#This Row],[Tech Start Date]],12),IF(Main[[#This Row],[Class]]="A",WORKDAY(Main[[#This Row],[Tech Start Date]],4),""))))</f>
        <v>40736</v>
      </c>
      <c r="O1458" s="69">
        <f>IF(Main[[#This Row],[Tech Start Date]]&lt;1/1/1990,"",IF(Main[[#This Row],[Class]]="C",WORKDAY(Main[[#This Row],[Tech Start Date]],23),IF(Main[[#This Row],[Class]]="B", WORKDAY(Main[[#This Row],[Tech Start Date]],15),IF(Main[[#This Row],[Class]]="A",WORKDAY(Main[[#This Row],[Tech Start Date]],5),""))))</f>
        <v>40742</v>
      </c>
      <c r="P1458" s="69">
        <f>IF(Main[[#This Row],[Tech Start Date]]&lt;1/1/1990,"",IF(Main[[#This Row],[Class]]="C",WORKDAY(Main[[#This Row],[Tech Start Date]],28),IF(Main[[#This Row],[Class]]="B", WORKDAY(Main[[#This Row],[Tech Start Date]],19),IF(Main[[#This Row],[Class]]="A",WORKDAY(Main[[#This Row],[Tech Start Date]],9),""))))</f>
        <v>40749</v>
      </c>
      <c r="Q1458" s="67"/>
      <c r="R1458" s="67"/>
      <c r="S1458" s="65" t="s">
        <v>11</v>
      </c>
      <c r="T1458" s="70" t="s">
        <v>3561</v>
      </c>
      <c r="U1458" s="65" t="s">
        <v>534</v>
      </c>
      <c r="V1458" s="65" t="s">
        <v>1914</v>
      </c>
      <c r="W1458" s="65" t="s">
        <v>1925</v>
      </c>
      <c r="X1458" s="65" t="s">
        <v>2833</v>
      </c>
      <c r="Y1458" s="65" t="s">
        <v>2939</v>
      </c>
      <c r="Z1458" s="65" t="s">
        <v>129</v>
      </c>
      <c r="AA1458" s="65" t="s">
        <v>2833</v>
      </c>
    </row>
    <row r="1459" spans="1:27" ht="17.45" hidden="1" customHeight="1">
      <c r="A1459" s="100">
        <f>IF(priority(Main[[#This Row],[Comments]])&lt;&gt;0, priority(Main[[#This Row],[Comments]]),"")</f>
        <v>20</v>
      </c>
      <c r="B1459" s="77" t="s">
        <v>3903</v>
      </c>
      <c r="C1459" s="65" t="s">
        <v>31</v>
      </c>
      <c r="D1459" s="66" t="s">
        <v>3904</v>
      </c>
      <c r="E1459" s="67">
        <v>40960.080937500003</v>
      </c>
      <c r="F1459" s="67">
        <v>41091</v>
      </c>
      <c r="G1459" s="64">
        <f>IF(stdProdLT(Main[[#This Row],[Comments]])=0.1,"N/A",IF(stdProdLT(Main[[#This Row],[Comments]])=0,"",stdProdLT(Main[[#This Row],[Comments]])))</f>
        <v>140</v>
      </c>
      <c r="H1459" s="68">
        <f>IF(AND(Main[[#This Row],[In Stock Date]]&lt;&gt;"",Main[[#This Row],[Revised Due Date]]&lt;&gt;""),Main[[#This Row],[In Stock Date]]-Main[[#This Row],[Revised Due Date]],"")</f>
        <v>96</v>
      </c>
      <c r="I1459" s="65" t="s">
        <v>239</v>
      </c>
      <c r="J1459" s="65" t="s">
        <v>21</v>
      </c>
      <c r="K1459" s="71" t="s">
        <v>1921</v>
      </c>
      <c r="L1459" s="67">
        <v>40960</v>
      </c>
      <c r="M1459" s="69">
        <f>IF(Main[[#This Row],[Tech Start Date]]&lt;1/1/1990,"",IF(Main[[#This Row],[Class]]="C",WORKDAY(Main[[#This Row],[Tech Start Date]],9),IF(Main[[#This Row],[Class]]="B", WORKDAY(Main[[#This Row],[Tech Start Date]],6),IF(Main[[#This Row],[Class]]="A",WORKDAY(Main[[#This Row],[Tech Start Date]],2),""))))</f>
        <v>40968</v>
      </c>
      <c r="N1459" s="69">
        <f>IF(Main[[#This Row],[Tech Start Date]]&lt;1/1/1990,"",IF(Main[[#This Row],[Class]]="C",WORKDAY(Main[[#This Row],[Tech Start Date]],19),IF(Main[[#This Row],[Class]]="B", WORKDAY(Main[[#This Row],[Tech Start Date]],12),IF(Main[[#This Row],[Class]]="A",WORKDAY(Main[[#This Row],[Tech Start Date]],4),""))))</f>
        <v>40976</v>
      </c>
      <c r="O1459" s="69">
        <f>IF(Main[[#This Row],[Tech Start Date]]&lt;1/1/1990,"",IF(Main[[#This Row],[Class]]="C",WORKDAY(Main[[#This Row],[Tech Start Date]],23),IF(Main[[#This Row],[Class]]="B", WORKDAY(Main[[#This Row],[Tech Start Date]],15),IF(Main[[#This Row],[Class]]="A",WORKDAY(Main[[#This Row],[Tech Start Date]],5),""))))</f>
        <v>40981</v>
      </c>
      <c r="P1459" s="69">
        <f>IF(Main[[#This Row],[Tech Start Date]]&lt;1/1/1990,"",IF(Main[[#This Row],[Class]]="C",WORKDAY(Main[[#This Row],[Tech Start Date]],28),IF(Main[[#This Row],[Class]]="B", WORKDAY(Main[[#This Row],[Tech Start Date]],19),IF(Main[[#This Row],[Class]]="A",WORKDAY(Main[[#This Row],[Tech Start Date]],9),""))))</f>
        <v>40987</v>
      </c>
      <c r="Q1459" s="67">
        <v>40995</v>
      </c>
      <c r="R1459" s="67">
        <v>40995</v>
      </c>
      <c r="S1459" s="65" t="s">
        <v>11</v>
      </c>
      <c r="T1459" s="70" t="s">
        <v>3905</v>
      </c>
      <c r="U1459" s="65" t="s">
        <v>29</v>
      </c>
      <c r="V1459" s="65" t="s">
        <v>1924</v>
      </c>
      <c r="W1459" s="65" t="s">
        <v>1919</v>
      </c>
      <c r="X1459" s="65" t="s">
        <v>2845</v>
      </c>
      <c r="Y1459" s="65" t="s">
        <v>3906</v>
      </c>
      <c r="Z1459" s="65" t="s">
        <v>69</v>
      </c>
      <c r="AA1459" s="65" t="s">
        <v>2845</v>
      </c>
    </row>
    <row r="1460" spans="1:27" ht="17.45" hidden="1" customHeight="1">
      <c r="A1460" s="100">
        <f>IF(priority(Main[[#This Row],[Comments]])&lt;&gt;0, priority(Main[[#This Row],[Comments]]),"")</f>
        <v>23</v>
      </c>
      <c r="B1460" s="77" t="s">
        <v>3894</v>
      </c>
      <c r="C1460" s="65" t="s">
        <v>33</v>
      </c>
      <c r="D1460" s="66" t="s">
        <v>3895</v>
      </c>
      <c r="E1460" s="67">
        <v>40953.124837962961</v>
      </c>
      <c r="F1460" s="67">
        <v>41000</v>
      </c>
      <c r="G1460" s="64" t="str">
        <f>IF(stdProdLT(Main[[#This Row],[Comments]])=0.1,"N/A",IF(stdProdLT(Main[[#This Row],[Comments]])=0,"",stdProdLT(Main[[#This Row],[Comments]])))</f>
        <v>N/A</v>
      </c>
      <c r="H1460" s="68">
        <f>IF(AND(Main[[#This Row],[In Stock Date]]&lt;&gt;"",Main[[#This Row],[Revised Due Date]]&lt;&gt;""),Main[[#This Row],[In Stock Date]]-Main[[#This Row],[Revised Due Date]],"")</f>
        <v>30</v>
      </c>
      <c r="I1460" s="65" t="s">
        <v>306</v>
      </c>
      <c r="J1460" s="65" t="s">
        <v>75</v>
      </c>
      <c r="K1460" s="65" t="s">
        <v>1923</v>
      </c>
      <c r="L1460" s="67">
        <v>40960</v>
      </c>
      <c r="M1460" s="69">
        <f>IF(Main[[#This Row],[Tech Start Date]]&lt;1/1/1990,"",IF(Main[[#This Row],[Class]]="C",WORKDAY(Main[[#This Row],[Tech Start Date]],9),IF(Main[[#This Row],[Class]]="B", WORKDAY(Main[[#This Row],[Tech Start Date]],6),IF(Main[[#This Row],[Class]]="A",WORKDAY(Main[[#This Row],[Tech Start Date]],2),""))))</f>
        <v>40962</v>
      </c>
      <c r="N1460" s="69">
        <f>IF(Main[[#This Row],[Tech Start Date]]&lt;1/1/1990,"",IF(Main[[#This Row],[Class]]="C",WORKDAY(Main[[#This Row],[Tech Start Date]],19),IF(Main[[#This Row],[Class]]="B", WORKDAY(Main[[#This Row],[Tech Start Date]],12),IF(Main[[#This Row],[Class]]="A",WORKDAY(Main[[#This Row],[Tech Start Date]],4),""))))</f>
        <v>40966</v>
      </c>
      <c r="O1460" s="69">
        <f>IF(Main[[#This Row],[Tech Start Date]]&lt;1/1/1990,"",IF(Main[[#This Row],[Class]]="C",WORKDAY(Main[[#This Row],[Tech Start Date]],23),IF(Main[[#This Row],[Class]]="B", WORKDAY(Main[[#This Row],[Tech Start Date]],15),IF(Main[[#This Row],[Class]]="A",WORKDAY(Main[[#This Row],[Tech Start Date]],5),""))))</f>
        <v>40967</v>
      </c>
      <c r="P1460" s="69">
        <f>IF(Main[[#This Row],[Tech Start Date]]&lt;1/1/1990,"",IF(Main[[#This Row],[Class]]="C",WORKDAY(Main[[#This Row],[Tech Start Date]],28),IF(Main[[#This Row],[Class]]="B", WORKDAY(Main[[#This Row],[Tech Start Date]],19),IF(Main[[#This Row],[Class]]="A",WORKDAY(Main[[#This Row],[Tech Start Date]],9),""))))</f>
        <v>40973</v>
      </c>
      <c r="Q1460" s="67">
        <v>40967</v>
      </c>
      <c r="R1460" s="67">
        <v>40970</v>
      </c>
      <c r="S1460" s="65" t="s">
        <v>11</v>
      </c>
      <c r="T1460" s="70" t="s">
        <v>3896</v>
      </c>
      <c r="U1460" s="65" t="s">
        <v>29</v>
      </c>
      <c r="V1460" s="65" t="s">
        <v>1924</v>
      </c>
      <c r="W1460" s="65" t="s">
        <v>1919</v>
      </c>
      <c r="X1460" s="65" t="s">
        <v>2875</v>
      </c>
      <c r="Y1460" s="65" t="s">
        <v>3021</v>
      </c>
      <c r="Z1460" s="65" t="s">
        <v>530</v>
      </c>
      <c r="AA1460" s="65" t="s">
        <v>2875</v>
      </c>
    </row>
    <row r="1461" spans="1:27" ht="17.45" hidden="1" customHeight="1">
      <c r="A1461" s="100">
        <f>IF(priority(Main[[#This Row],[Comments]])&lt;&gt;0, priority(Main[[#This Row],[Comments]]),"")</f>
        <v>36</v>
      </c>
      <c r="B1461" s="77" t="s">
        <v>3897</v>
      </c>
      <c r="C1461" s="65" t="s">
        <v>3898</v>
      </c>
      <c r="D1461" s="66" t="s">
        <v>3899</v>
      </c>
      <c r="E1461" s="67">
        <v>40953.264710648145</v>
      </c>
      <c r="F1461" s="67">
        <v>41289</v>
      </c>
      <c r="G1461" s="64">
        <f>IF(stdProdLT(Main[[#This Row],[Comments]])=0.1,"N/A",IF(stdProdLT(Main[[#This Row],[Comments]])=0,"",stdProdLT(Main[[#This Row],[Comments]])))</f>
        <v>140</v>
      </c>
      <c r="H1461" s="68">
        <f>IF(AND(Main[[#This Row],[In Stock Date]]&lt;&gt;"",Main[[#This Row],[Revised Due Date]]&lt;&gt;""),Main[[#This Row],[In Stock Date]]-Main[[#This Row],[Revised Due Date]],"")</f>
        <v>294</v>
      </c>
      <c r="I1461" s="65" t="s">
        <v>3985</v>
      </c>
      <c r="J1461" s="65" t="s">
        <v>28</v>
      </c>
      <c r="K1461" s="65" t="s">
        <v>1921</v>
      </c>
      <c r="L1461" s="67">
        <v>40960</v>
      </c>
      <c r="M1461" s="69">
        <f>IF(Main[[#This Row],[Tech Start Date]]&lt;1/1/1990,"",IF(Main[[#This Row],[Class]]="C",WORKDAY(Main[[#This Row],[Tech Start Date]],9),IF(Main[[#This Row],[Class]]="B", WORKDAY(Main[[#This Row],[Tech Start Date]],6),IF(Main[[#This Row],[Class]]="A",WORKDAY(Main[[#This Row],[Tech Start Date]],2),""))))</f>
        <v>40968</v>
      </c>
      <c r="N1461" s="69">
        <f>IF(Main[[#This Row],[Tech Start Date]]&lt;1/1/1990,"",IF(Main[[#This Row],[Class]]="C",WORKDAY(Main[[#This Row],[Tech Start Date]],19),IF(Main[[#This Row],[Class]]="B", WORKDAY(Main[[#This Row],[Tech Start Date]],12),IF(Main[[#This Row],[Class]]="A",WORKDAY(Main[[#This Row],[Tech Start Date]],4),""))))</f>
        <v>40976</v>
      </c>
      <c r="O1461" s="69">
        <f>IF(Main[[#This Row],[Tech Start Date]]&lt;1/1/1990,"",IF(Main[[#This Row],[Class]]="C",WORKDAY(Main[[#This Row],[Tech Start Date]],23),IF(Main[[#This Row],[Class]]="B", WORKDAY(Main[[#This Row],[Tech Start Date]],15),IF(Main[[#This Row],[Class]]="A",WORKDAY(Main[[#This Row],[Tech Start Date]],5),""))))</f>
        <v>40981</v>
      </c>
      <c r="P1461" s="69">
        <f>IF(Main[[#This Row],[Tech Start Date]]&lt;1/1/1990,"",IF(Main[[#This Row],[Class]]="C",WORKDAY(Main[[#This Row],[Tech Start Date]],28),IF(Main[[#This Row],[Class]]="B", WORKDAY(Main[[#This Row],[Tech Start Date]],19),IF(Main[[#This Row],[Class]]="A",WORKDAY(Main[[#This Row],[Tech Start Date]],9),""))))</f>
        <v>40987</v>
      </c>
      <c r="Q1461" s="67">
        <v>40995</v>
      </c>
      <c r="R1461" s="67">
        <v>40995</v>
      </c>
      <c r="S1461" s="65" t="s">
        <v>11</v>
      </c>
      <c r="T1461" s="70" t="s">
        <v>3900</v>
      </c>
      <c r="U1461" s="65" t="s">
        <v>29</v>
      </c>
      <c r="V1461" s="65" t="s">
        <v>1924</v>
      </c>
      <c r="W1461" s="65" t="s">
        <v>1920</v>
      </c>
      <c r="X1461" s="65" t="s">
        <v>2846</v>
      </c>
      <c r="Y1461" s="65" t="s">
        <v>4</v>
      </c>
      <c r="Z1461" s="65" t="s">
        <v>530</v>
      </c>
      <c r="AA1461" s="65" t="s">
        <v>2846</v>
      </c>
    </row>
    <row r="1462" spans="1:27" ht="17.45" hidden="1" customHeight="1">
      <c r="A1462" s="100">
        <f>IF(priority(Main[[#This Row],[Comments]])&lt;&gt;0, priority(Main[[#This Row],[Comments]]),"")</f>
        <v>16</v>
      </c>
      <c r="B1462" s="77" t="s">
        <v>3888</v>
      </c>
      <c r="C1462" s="65" t="s">
        <v>3889</v>
      </c>
      <c r="D1462" s="66" t="s">
        <v>3890</v>
      </c>
      <c r="E1462" s="67"/>
      <c r="F1462" s="67">
        <v>41105</v>
      </c>
      <c r="G1462" s="64">
        <f>IF(stdProdLT(Main[[#This Row],[Comments]])=0.1,"N/A",IF(stdProdLT(Main[[#This Row],[Comments]])=0,"",stdProdLT(Main[[#This Row],[Comments]])))</f>
        <v>140</v>
      </c>
      <c r="H1462" s="68">
        <f>IF(AND(Main[[#This Row],[In Stock Date]]&lt;&gt;"",Main[[#This Row],[Revised Due Date]]&lt;&gt;""),Main[[#This Row],[In Stock Date]]-Main[[#This Row],[Revised Due Date]],"")</f>
        <v>124</v>
      </c>
      <c r="I1462" s="65" t="s">
        <v>130</v>
      </c>
      <c r="J1462" s="65" t="s">
        <v>70</v>
      </c>
      <c r="K1462" s="65" t="s">
        <v>1923</v>
      </c>
      <c r="L1462" s="67">
        <v>40960</v>
      </c>
      <c r="M1462" s="69">
        <f>IF(Main[[#This Row],[Tech Start Date]]&lt;1/1/1990,"",IF(Main[[#This Row],[Class]]="C",WORKDAY(Main[[#This Row],[Tech Start Date]],9),IF(Main[[#This Row],[Class]]="B", WORKDAY(Main[[#This Row],[Tech Start Date]],6),IF(Main[[#This Row],[Class]]="A",WORKDAY(Main[[#This Row],[Tech Start Date]],2),""))))</f>
        <v>40962</v>
      </c>
      <c r="N1462" s="69">
        <f>IF(Main[[#This Row],[Tech Start Date]]&lt;1/1/1990,"",IF(Main[[#This Row],[Class]]="C",WORKDAY(Main[[#This Row],[Tech Start Date]],19),IF(Main[[#This Row],[Class]]="B", WORKDAY(Main[[#This Row],[Tech Start Date]],12),IF(Main[[#This Row],[Class]]="A",WORKDAY(Main[[#This Row],[Tech Start Date]],4),""))))</f>
        <v>40966</v>
      </c>
      <c r="O1462" s="69">
        <f>IF(Main[[#This Row],[Tech Start Date]]&lt;1/1/1990,"",IF(Main[[#This Row],[Class]]="C",WORKDAY(Main[[#This Row],[Tech Start Date]],23),IF(Main[[#This Row],[Class]]="B", WORKDAY(Main[[#This Row],[Tech Start Date]],15),IF(Main[[#This Row],[Class]]="A",WORKDAY(Main[[#This Row],[Tech Start Date]],5),""))))</f>
        <v>40967</v>
      </c>
      <c r="P1462" s="69">
        <f>IF(Main[[#This Row],[Tech Start Date]]&lt;1/1/1990,"",IF(Main[[#This Row],[Class]]="C",WORKDAY(Main[[#This Row],[Tech Start Date]],28),IF(Main[[#This Row],[Class]]="B", WORKDAY(Main[[#This Row],[Tech Start Date]],19),IF(Main[[#This Row],[Class]]="A",WORKDAY(Main[[#This Row],[Tech Start Date]],9),""))))</f>
        <v>40973</v>
      </c>
      <c r="Q1462" s="67">
        <v>41000</v>
      </c>
      <c r="R1462" s="67">
        <v>40981</v>
      </c>
      <c r="S1462" s="65" t="s">
        <v>11</v>
      </c>
      <c r="T1462" s="70" t="s">
        <v>3891</v>
      </c>
      <c r="U1462" s="65" t="s">
        <v>14</v>
      </c>
      <c r="V1462" s="65" t="s">
        <v>1924</v>
      </c>
      <c r="W1462" s="65" t="s">
        <v>1920</v>
      </c>
      <c r="X1462" s="65" t="s">
        <v>2846</v>
      </c>
      <c r="Y1462" s="65" t="s">
        <v>3242</v>
      </c>
      <c r="Z1462" s="65" t="s">
        <v>530</v>
      </c>
      <c r="AA1462" s="65" t="s">
        <v>2846</v>
      </c>
    </row>
    <row r="1463" spans="1:27" ht="17.45" hidden="1" customHeight="1">
      <c r="A1463" s="100">
        <f>IF(priority(Main[[#This Row],[Comments]])&lt;&gt;0, priority(Main[[#This Row],[Comments]]),"")</f>
        <v>12.8</v>
      </c>
      <c r="B1463" s="77" t="s">
        <v>3518</v>
      </c>
      <c r="C1463" s="65" t="s">
        <v>3519</v>
      </c>
      <c r="D1463" s="66" t="s">
        <v>3907</v>
      </c>
      <c r="E1463" s="67">
        <v>40948.638680555552</v>
      </c>
      <c r="F1463" s="67">
        <v>41029</v>
      </c>
      <c r="G1463" s="64" t="str">
        <f>IF(stdProdLT(Main[[#This Row],[Comments]])=0.1,"N/A",IF(stdProdLT(Main[[#This Row],[Comments]])=0,"",stdProdLT(Main[[#This Row],[Comments]])))</f>
        <v>N/A</v>
      </c>
      <c r="H1463" s="68">
        <f>IF(AND(Main[[#This Row],[In Stock Date]]&lt;&gt;"",Main[[#This Row],[Revised Due Date]]&lt;&gt;""),Main[[#This Row],[In Stock Date]]-Main[[#This Row],[Revised Due Date]],"")</f>
        <v>55</v>
      </c>
      <c r="I1463" s="65" t="s">
        <v>2044</v>
      </c>
      <c r="J1463" s="65" t="s">
        <v>28</v>
      </c>
      <c r="K1463" s="65" t="s">
        <v>1923</v>
      </c>
      <c r="L1463" s="67">
        <v>40960</v>
      </c>
      <c r="M1463" s="69">
        <f>IF(Main[[#This Row],[Tech Start Date]]&lt;1/1/1990,"",IF(Main[[#This Row],[Class]]="C",WORKDAY(Main[[#This Row],[Tech Start Date]],9),IF(Main[[#This Row],[Class]]="B", WORKDAY(Main[[#This Row],[Tech Start Date]],6),IF(Main[[#This Row],[Class]]="A",WORKDAY(Main[[#This Row],[Tech Start Date]],2),""))))</f>
        <v>40962</v>
      </c>
      <c r="N1463" s="69">
        <f>IF(Main[[#This Row],[Tech Start Date]]&lt;1/1/1990,"",IF(Main[[#This Row],[Class]]="C",WORKDAY(Main[[#This Row],[Tech Start Date]],19),IF(Main[[#This Row],[Class]]="B", WORKDAY(Main[[#This Row],[Tech Start Date]],12),IF(Main[[#This Row],[Class]]="A",WORKDAY(Main[[#This Row],[Tech Start Date]],4),""))))</f>
        <v>40966</v>
      </c>
      <c r="O1463" s="69">
        <f>IF(Main[[#This Row],[Tech Start Date]]&lt;1/1/1990,"",IF(Main[[#This Row],[Class]]="C",WORKDAY(Main[[#This Row],[Tech Start Date]],23),IF(Main[[#This Row],[Class]]="B", WORKDAY(Main[[#This Row],[Tech Start Date]],15),IF(Main[[#This Row],[Class]]="A",WORKDAY(Main[[#This Row],[Tech Start Date]],5),""))))</f>
        <v>40967</v>
      </c>
      <c r="P1463" s="69">
        <f>IF(Main[[#This Row],[Tech Start Date]]&lt;1/1/1990,"",IF(Main[[#This Row],[Class]]="C",WORKDAY(Main[[#This Row],[Tech Start Date]],28),IF(Main[[#This Row],[Class]]="B", WORKDAY(Main[[#This Row],[Tech Start Date]],19),IF(Main[[#This Row],[Class]]="A",WORKDAY(Main[[#This Row],[Tech Start Date]],9),""))))</f>
        <v>40973</v>
      </c>
      <c r="Q1463" s="67">
        <v>40956</v>
      </c>
      <c r="R1463" s="67">
        <v>40974</v>
      </c>
      <c r="S1463" s="65" t="s">
        <v>11</v>
      </c>
      <c r="T1463" s="70" t="s">
        <v>3972</v>
      </c>
      <c r="U1463" s="65" t="s">
        <v>29</v>
      </c>
      <c r="V1463" s="65" t="s">
        <v>1924</v>
      </c>
      <c r="W1463" s="65" t="s">
        <v>1922</v>
      </c>
      <c r="X1463" s="65" t="s">
        <v>2910</v>
      </c>
      <c r="Y1463" s="65" t="s">
        <v>3520</v>
      </c>
      <c r="Z1463" s="65" t="s">
        <v>530</v>
      </c>
      <c r="AA1463" s="65" t="s">
        <v>2910</v>
      </c>
    </row>
    <row r="1464" spans="1:27" ht="17.45" hidden="1" customHeight="1">
      <c r="A1464" s="100">
        <f>IF(priority(Main[[#This Row],[Comments]])&lt;&gt;0, priority(Main[[#This Row],[Comments]]),"")</f>
        <v>30</v>
      </c>
      <c r="B1464" s="77" t="s">
        <v>3539</v>
      </c>
      <c r="C1464" s="65" t="s">
        <v>3901</v>
      </c>
      <c r="D1464" s="66" t="s">
        <v>3540</v>
      </c>
      <c r="E1464" s="67"/>
      <c r="F1464" s="67">
        <v>41153</v>
      </c>
      <c r="G1464" s="64">
        <f>IF(stdProdLT(Main[[#This Row],[Comments]])=0.1,"N/A",IF(stdProdLT(Main[[#This Row],[Comments]])=0,"",stdProdLT(Main[[#This Row],[Comments]])))</f>
        <v>140</v>
      </c>
      <c r="H1464" s="68">
        <f>IF(AND(Main[[#This Row],[In Stock Date]]&lt;&gt;"",Main[[#This Row],[Revised Due Date]]&lt;&gt;""),Main[[#This Row],[In Stock Date]]-Main[[#This Row],[Revised Due Date]],"")</f>
        <v>158</v>
      </c>
      <c r="I1464" s="65" t="s">
        <v>3985</v>
      </c>
      <c r="J1464" s="65" t="s">
        <v>28</v>
      </c>
      <c r="K1464" s="65" t="s">
        <v>1921</v>
      </c>
      <c r="L1464" s="67">
        <v>40960</v>
      </c>
      <c r="M1464" s="69">
        <f>IF(Main[[#This Row],[Tech Start Date]]&lt;1/1/1990,"",IF(Main[[#This Row],[Class]]="C",WORKDAY(Main[[#This Row],[Tech Start Date]],9),IF(Main[[#This Row],[Class]]="B", WORKDAY(Main[[#This Row],[Tech Start Date]],6),IF(Main[[#This Row],[Class]]="A",WORKDAY(Main[[#This Row],[Tech Start Date]],2),""))))</f>
        <v>40968</v>
      </c>
      <c r="N1464" s="69">
        <f>IF(Main[[#This Row],[Tech Start Date]]&lt;1/1/1990,"",IF(Main[[#This Row],[Class]]="C",WORKDAY(Main[[#This Row],[Tech Start Date]],19),IF(Main[[#This Row],[Class]]="B", WORKDAY(Main[[#This Row],[Tech Start Date]],12),IF(Main[[#This Row],[Class]]="A",WORKDAY(Main[[#This Row],[Tech Start Date]],4),""))))</f>
        <v>40976</v>
      </c>
      <c r="O1464" s="69">
        <f>IF(Main[[#This Row],[Tech Start Date]]&lt;1/1/1990,"",IF(Main[[#This Row],[Class]]="C",WORKDAY(Main[[#This Row],[Tech Start Date]],23),IF(Main[[#This Row],[Class]]="B", WORKDAY(Main[[#This Row],[Tech Start Date]],15),IF(Main[[#This Row],[Class]]="A",WORKDAY(Main[[#This Row],[Tech Start Date]],5),""))))</f>
        <v>40981</v>
      </c>
      <c r="P1464" s="69">
        <f>IF(Main[[#This Row],[Tech Start Date]]&lt;1/1/1990,"",IF(Main[[#This Row],[Class]]="C",WORKDAY(Main[[#This Row],[Tech Start Date]],28),IF(Main[[#This Row],[Class]]="B", WORKDAY(Main[[#This Row],[Tech Start Date]],19),IF(Main[[#This Row],[Class]]="A",WORKDAY(Main[[#This Row],[Tech Start Date]],9),""))))</f>
        <v>40987</v>
      </c>
      <c r="Q1464" s="67">
        <v>40995</v>
      </c>
      <c r="R1464" s="67">
        <v>40995</v>
      </c>
      <c r="S1464" s="65" t="s">
        <v>11</v>
      </c>
      <c r="T1464" s="70" t="s">
        <v>3902</v>
      </c>
      <c r="U1464" s="65" t="s">
        <v>14</v>
      </c>
      <c r="V1464" s="65" t="s">
        <v>1924</v>
      </c>
      <c r="W1464" s="65" t="s">
        <v>1925</v>
      </c>
      <c r="X1464" s="65" t="s">
        <v>2846</v>
      </c>
      <c r="Y1464" s="65" t="s">
        <v>4</v>
      </c>
      <c r="Z1464" s="65" t="s">
        <v>530</v>
      </c>
      <c r="AA1464" s="65" t="s">
        <v>2846</v>
      </c>
    </row>
    <row r="1465" spans="1:27" ht="17.45" hidden="1" customHeight="1">
      <c r="A1465" s="100" t="str">
        <f>IF(priority(Main[[#This Row],[Comments]])&lt;&gt;0, priority(Main[[#This Row],[Comments]]),"")</f>
        <v/>
      </c>
      <c r="B1465" s="77" t="s">
        <v>3930</v>
      </c>
      <c r="C1465" s="65" t="s">
        <v>3931</v>
      </c>
      <c r="D1465" s="66" t="s">
        <v>3932</v>
      </c>
      <c r="E1465" s="67">
        <v>40961.049814814818</v>
      </c>
      <c r="F1465" s="67">
        <v>41153</v>
      </c>
      <c r="G1465" s="64">
        <f>IF(stdProdLT(Main[[#This Row],[Comments]])=0.1,"N/A",IF(stdProdLT(Main[[#This Row],[Comments]])=0,"",stdProdLT(Main[[#This Row],[Comments]])))</f>
        <v>126</v>
      </c>
      <c r="H1465" s="68">
        <f>IF(AND(Main[[#This Row],[In Stock Date]]&lt;&gt;"",Main[[#This Row],[Revised Due Date]]&lt;&gt;""),Main[[#This Row],[In Stock Date]]-Main[[#This Row],[Revised Due Date]],"")</f>
        <v>143</v>
      </c>
      <c r="I1465" s="65" t="s">
        <v>765</v>
      </c>
      <c r="J1465" s="65" t="s">
        <v>28</v>
      </c>
      <c r="K1465" s="65" t="s">
        <v>1927</v>
      </c>
      <c r="L1465" s="67">
        <v>40967</v>
      </c>
      <c r="M1465" s="69">
        <f>IF(Main[[#This Row],[Tech Start Date]]&lt;1/1/1990,"",IF(Main[[#This Row],[Class]]="C",WORKDAY(Main[[#This Row],[Tech Start Date]],9),IF(Main[[#This Row],[Class]]="B", WORKDAY(Main[[#This Row],[Tech Start Date]],6),IF(Main[[#This Row],[Class]]="A",WORKDAY(Main[[#This Row],[Tech Start Date]],2),""))))</f>
        <v>40980</v>
      </c>
      <c r="N1465" s="69">
        <f>IF(Main[[#This Row],[Tech Start Date]]&lt;1/1/1990,"",IF(Main[[#This Row],[Class]]="C",WORKDAY(Main[[#This Row],[Tech Start Date]],19),IF(Main[[#This Row],[Class]]="B", WORKDAY(Main[[#This Row],[Tech Start Date]],12),IF(Main[[#This Row],[Class]]="A",WORKDAY(Main[[#This Row],[Tech Start Date]],4),""))))</f>
        <v>40994</v>
      </c>
      <c r="O1465" s="69">
        <f>IF(Main[[#This Row],[Tech Start Date]]&lt;1/1/1990,"",IF(Main[[#This Row],[Class]]="C",WORKDAY(Main[[#This Row],[Tech Start Date]],23),IF(Main[[#This Row],[Class]]="B", WORKDAY(Main[[#This Row],[Tech Start Date]],15),IF(Main[[#This Row],[Class]]="A",WORKDAY(Main[[#This Row],[Tech Start Date]],5),""))))</f>
        <v>40998</v>
      </c>
      <c r="P1465" s="69">
        <f>IF(Main[[#This Row],[Tech Start Date]]&lt;1/1/1990,"",IF(Main[[#This Row],[Class]]="C",WORKDAY(Main[[#This Row],[Tech Start Date]],28),IF(Main[[#This Row],[Class]]="B", WORKDAY(Main[[#This Row],[Tech Start Date]],19),IF(Main[[#This Row],[Class]]="A",WORKDAY(Main[[#This Row],[Tech Start Date]],9),""))))</f>
        <v>41005</v>
      </c>
      <c r="Q1465" s="67">
        <v>40909</v>
      </c>
      <c r="R1465" s="67">
        <v>41010</v>
      </c>
      <c r="S1465" s="65" t="s">
        <v>11</v>
      </c>
      <c r="T1465" s="70" t="s">
        <v>3986</v>
      </c>
      <c r="U1465" s="65" t="s">
        <v>29</v>
      </c>
      <c r="V1465" s="65" t="s">
        <v>1917</v>
      </c>
      <c r="W1465" s="65" t="s">
        <v>1919</v>
      </c>
      <c r="X1465" s="65" t="s">
        <v>2843</v>
      </c>
      <c r="Y1465" s="65" t="s">
        <v>4</v>
      </c>
      <c r="Z1465" s="65" t="s">
        <v>530</v>
      </c>
      <c r="AA1465" s="65" t="s">
        <v>2843</v>
      </c>
    </row>
    <row r="1466" spans="1:27" ht="17.45" hidden="1" customHeight="1">
      <c r="A1466" s="100">
        <f>IF(priority(Main[[#This Row],[Comments]])&lt;&gt;0, priority(Main[[#This Row],[Comments]]),"")</f>
        <v>12.5</v>
      </c>
      <c r="B1466" s="77" t="s">
        <v>3928</v>
      </c>
      <c r="C1466" s="65" t="s">
        <v>72</v>
      </c>
      <c r="D1466" s="66" t="s">
        <v>3929</v>
      </c>
      <c r="E1466" s="67">
        <v>40961.058425925927</v>
      </c>
      <c r="F1466" s="67">
        <v>40996</v>
      </c>
      <c r="G1466" s="64" t="str">
        <f>IF(stdProdLT(Main[[#This Row],[Comments]])=0.1,"N/A",IF(stdProdLT(Main[[#This Row],[Comments]])=0,"",stdProdLT(Main[[#This Row],[Comments]])))</f>
        <v>N/A</v>
      </c>
      <c r="H1466" s="68">
        <f>IF(AND(Main[[#This Row],[In Stock Date]]&lt;&gt;"",Main[[#This Row],[Revised Due Date]]&lt;&gt;""),Main[[#This Row],[In Stock Date]]-Main[[#This Row],[Revised Due Date]],"")</f>
        <v>14</v>
      </c>
      <c r="I1466" s="65" t="s">
        <v>530</v>
      </c>
      <c r="J1466" s="65" t="s">
        <v>21</v>
      </c>
      <c r="K1466" s="65" t="s">
        <v>1923</v>
      </c>
      <c r="L1466" s="67">
        <v>40967</v>
      </c>
      <c r="M1466" s="69">
        <f>IF(Main[[#This Row],[Tech Start Date]]&lt;1/1/1990,"",IF(Main[[#This Row],[Class]]="C",WORKDAY(Main[[#This Row],[Tech Start Date]],9),IF(Main[[#This Row],[Class]]="B", WORKDAY(Main[[#This Row],[Tech Start Date]],6),IF(Main[[#This Row],[Class]]="A",WORKDAY(Main[[#This Row],[Tech Start Date]],2),""))))</f>
        <v>40969</v>
      </c>
      <c r="N1466" s="69">
        <f>IF(Main[[#This Row],[Tech Start Date]]&lt;1/1/1990,"",IF(Main[[#This Row],[Class]]="C",WORKDAY(Main[[#This Row],[Tech Start Date]],19),IF(Main[[#This Row],[Class]]="B", WORKDAY(Main[[#This Row],[Tech Start Date]],12),IF(Main[[#This Row],[Class]]="A",WORKDAY(Main[[#This Row],[Tech Start Date]],4),""))))</f>
        <v>40973</v>
      </c>
      <c r="O1466" s="69">
        <f>IF(Main[[#This Row],[Tech Start Date]]&lt;1/1/1990,"",IF(Main[[#This Row],[Class]]="C",WORKDAY(Main[[#This Row],[Tech Start Date]],23),IF(Main[[#This Row],[Class]]="B", WORKDAY(Main[[#This Row],[Tech Start Date]],15),IF(Main[[#This Row],[Class]]="A",WORKDAY(Main[[#This Row],[Tech Start Date]],5),""))))</f>
        <v>40974</v>
      </c>
      <c r="P1466" s="69">
        <f>IF(Main[[#This Row],[Tech Start Date]]&lt;1/1/1990,"",IF(Main[[#This Row],[Class]]="C",WORKDAY(Main[[#This Row],[Tech Start Date]],28),IF(Main[[#This Row],[Class]]="B", WORKDAY(Main[[#This Row],[Tech Start Date]],19),IF(Main[[#This Row],[Class]]="A",WORKDAY(Main[[#This Row],[Tech Start Date]],9),""))))</f>
        <v>40980</v>
      </c>
      <c r="Q1466" s="67">
        <v>40814</v>
      </c>
      <c r="R1466" s="67">
        <v>40982</v>
      </c>
      <c r="S1466" s="65" t="s">
        <v>11</v>
      </c>
      <c r="T1466" s="70" t="s">
        <v>3973</v>
      </c>
      <c r="U1466" s="65" t="s">
        <v>29</v>
      </c>
      <c r="V1466" s="65" t="s">
        <v>1917</v>
      </c>
      <c r="W1466" s="65" t="s">
        <v>1922</v>
      </c>
      <c r="X1466" s="65" t="s">
        <v>2864</v>
      </c>
      <c r="Y1466" s="65" t="s">
        <v>4</v>
      </c>
      <c r="Z1466" s="65" t="s">
        <v>530</v>
      </c>
      <c r="AA1466" s="65" t="s">
        <v>2864</v>
      </c>
    </row>
    <row r="1467" spans="1:27" ht="17.45" customHeight="1">
      <c r="A1467" s="100" t="str">
        <f>IF(priority(Main[[#This Row],[Comments]])&lt;&gt;0, priority(Main[[#This Row],[Comments]]),"")</f>
        <v/>
      </c>
      <c r="B1467" s="77" t="s">
        <v>2076</v>
      </c>
      <c r="C1467" s="65" t="s">
        <v>33</v>
      </c>
      <c r="D1467" s="66" t="s">
        <v>3796</v>
      </c>
      <c r="E1467" s="67">
        <v>40776.124837962961</v>
      </c>
      <c r="F1467" s="67">
        <v>41007</v>
      </c>
      <c r="G1467" s="64">
        <f>IF(stdProdLT(Main[[#This Row],[Comments]])=0.1,"N/A",IF(stdProdLT(Main[[#This Row],[Comments]])=0,"",stdProdLT(Main[[#This Row],[Comments]])))</f>
        <v>112</v>
      </c>
      <c r="H1467" s="68" t="str">
        <f>IF(AND(Main[[#This Row],[In Stock Date]]&lt;&gt;"",Main[[#This Row],[Revised Due Date]]&lt;&gt;""),Main[[#This Row],[In Stock Date]]-Main[[#This Row],[Revised Due Date]],"")</f>
        <v/>
      </c>
      <c r="I1467" s="65" t="s">
        <v>912</v>
      </c>
      <c r="J1467" s="65" t="s">
        <v>52</v>
      </c>
      <c r="K1467" s="65" t="s">
        <v>1927</v>
      </c>
      <c r="L1467" s="67">
        <v>40805</v>
      </c>
      <c r="M1467" s="69">
        <f>IF(Main[[#This Row],[Tech Start Date]]&lt;1/1/1990,"",IF(Main[[#This Row],[Class]]="C",WORKDAY(Main[[#This Row],[Tech Start Date]],9),IF(Main[[#This Row],[Class]]="B", WORKDAY(Main[[#This Row],[Tech Start Date]],6),IF(Main[[#This Row],[Class]]="A",WORKDAY(Main[[#This Row],[Tech Start Date]],2),""))))</f>
        <v>40816</v>
      </c>
      <c r="N1467" s="69">
        <f>IF(Main[[#This Row],[Tech Start Date]]&lt;1/1/1990,"",IF(Main[[#This Row],[Class]]="C",WORKDAY(Main[[#This Row],[Tech Start Date]],19),IF(Main[[#This Row],[Class]]="B", WORKDAY(Main[[#This Row],[Tech Start Date]],12),IF(Main[[#This Row],[Class]]="A",WORKDAY(Main[[#This Row],[Tech Start Date]],4),""))))</f>
        <v>40830</v>
      </c>
      <c r="O1467" s="69">
        <f>IF(Main[[#This Row],[Tech Start Date]]&lt;1/1/1990,"",IF(Main[[#This Row],[Class]]="C",WORKDAY(Main[[#This Row],[Tech Start Date]],23),IF(Main[[#This Row],[Class]]="B", WORKDAY(Main[[#This Row],[Tech Start Date]],15),IF(Main[[#This Row],[Class]]="A",WORKDAY(Main[[#This Row],[Tech Start Date]],5),""))))</f>
        <v>40836</v>
      </c>
      <c r="P1467" s="69">
        <f>IF(Main[[#This Row],[Tech Start Date]]&lt;1/1/1990,"",IF(Main[[#This Row],[Class]]="C",WORKDAY(Main[[#This Row],[Tech Start Date]],28),IF(Main[[#This Row],[Class]]="B", WORKDAY(Main[[#This Row],[Tech Start Date]],19),IF(Main[[#This Row],[Class]]="A",WORKDAY(Main[[#This Row],[Tech Start Date]],9),""))))</f>
        <v>40843</v>
      </c>
      <c r="Q1467" s="67">
        <v>40811</v>
      </c>
      <c r="R1467" s="67"/>
      <c r="S1467" s="65" t="s">
        <v>11</v>
      </c>
      <c r="T1467" s="70" t="s">
        <v>3797</v>
      </c>
      <c r="U1467" s="65" t="s">
        <v>534</v>
      </c>
      <c r="V1467" s="65" t="s">
        <v>1914</v>
      </c>
      <c r="W1467" s="65" t="s">
        <v>1919</v>
      </c>
      <c r="X1467" s="65" t="s">
        <v>2826</v>
      </c>
      <c r="Y1467" s="65" t="s">
        <v>2946</v>
      </c>
      <c r="Z1467" s="65" t="s">
        <v>129</v>
      </c>
      <c r="AA1467" s="65" t="s">
        <v>2826</v>
      </c>
    </row>
    <row r="1468" spans="1:27" ht="17.45" hidden="1" customHeight="1">
      <c r="A1468" s="100" t="str">
        <f>IF(priority(Main[[#This Row],[Comments]])&lt;&gt;0, priority(Main[[#This Row],[Comments]]),"")</f>
        <v/>
      </c>
      <c r="B1468" s="77" t="s">
        <v>3919</v>
      </c>
      <c r="C1468" s="65" t="s">
        <v>53</v>
      </c>
      <c r="D1468" s="66" t="s">
        <v>3920</v>
      </c>
      <c r="E1468" s="67">
        <v>40967.607476851852</v>
      </c>
      <c r="F1468" s="67"/>
      <c r="G1468" s="64" t="str">
        <f>IF(stdProdLT(Main[[#This Row],[Comments]])=0.1,"N/A",IF(stdProdLT(Main[[#This Row],[Comments]])=0,"",stdProdLT(Main[[#This Row],[Comments]])))</f>
        <v>N/A</v>
      </c>
      <c r="H1468" s="68" t="str">
        <f>IF(AND(Main[[#This Row],[In Stock Date]]&lt;&gt;"",Main[[#This Row],[Revised Due Date]]&lt;&gt;""),Main[[#This Row],[In Stock Date]]-Main[[#This Row],[Revised Due Date]],"")</f>
        <v/>
      </c>
      <c r="I1468" s="65" t="s">
        <v>941</v>
      </c>
      <c r="J1468" s="65" t="s">
        <v>28</v>
      </c>
      <c r="K1468" s="65" t="s">
        <v>1923</v>
      </c>
      <c r="L1468" s="67">
        <v>40967</v>
      </c>
      <c r="M1468" s="69">
        <f>IF(Main[[#This Row],[Tech Start Date]]&lt;1/1/1990,"",IF(Main[[#This Row],[Class]]="C",WORKDAY(Main[[#This Row],[Tech Start Date]],9),IF(Main[[#This Row],[Class]]="B", WORKDAY(Main[[#This Row],[Tech Start Date]],6),IF(Main[[#This Row],[Class]]="A",WORKDAY(Main[[#This Row],[Tech Start Date]],2),""))))</f>
        <v>40969</v>
      </c>
      <c r="N1468" s="69">
        <f>IF(Main[[#This Row],[Tech Start Date]]&lt;1/1/1990,"",IF(Main[[#This Row],[Class]]="C",WORKDAY(Main[[#This Row],[Tech Start Date]],19),IF(Main[[#This Row],[Class]]="B", WORKDAY(Main[[#This Row],[Tech Start Date]],12),IF(Main[[#This Row],[Class]]="A",WORKDAY(Main[[#This Row],[Tech Start Date]],4),""))))</f>
        <v>40973</v>
      </c>
      <c r="O1468" s="69">
        <f>IF(Main[[#This Row],[Tech Start Date]]&lt;1/1/1990,"",IF(Main[[#This Row],[Class]]="C",WORKDAY(Main[[#This Row],[Tech Start Date]],23),IF(Main[[#This Row],[Class]]="B", WORKDAY(Main[[#This Row],[Tech Start Date]],15),IF(Main[[#This Row],[Class]]="A",WORKDAY(Main[[#This Row],[Tech Start Date]],5),""))))</f>
        <v>40974</v>
      </c>
      <c r="P1468" s="69">
        <f>IF(Main[[#This Row],[Tech Start Date]]&lt;1/1/1990,"",IF(Main[[#This Row],[Class]]="C",WORKDAY(Main[[#This Row],[Tech Start Date]],28),IF(Main[[#This Row],[Class]]="B", WORKDAY(Main[[#This Row],[Tech Start Date]],19),IF(Main[[#This Row],[Class]]="A",WORKDAY(Main[[#This Row],[Tech Start Date]],9),""))))</f>
        <v>40980</v>
      </c>
      <c r="Q1468" s="67">
        <v>40974</v>
      </c>
      <c r="R1468" s="67">
        <v>40982</v>
      </c>
      <c r="S1468" s="65" t="s">
        <v>11</v>
      </c>
      <c r="T1468" s="70" t="s">
        <v>3234</v>
      </c>
      <c r="U1468" s="65" t="s">
        <v>29</v>
      </c>
      <c r="V1468" s="65" t="s">
        <v>1915</v>
      </c>
      <c r="W1468" s="65" t="s">
        <v>1916</v>
      </c>
      <c r="X1468" s="65" t="s">
        <v>2816</v>
      </c>
      <c r="Y1468" s="65" t="s">
        <v>4</v>
      </c>
      <c r="Z1468" s="65" t="s">
        <v>2053</v>
      </c>
      <c r="AA1468" s="65" t="s">
        <v>2816</v>
      </c>
    </row>
    <row r="1469" spans="1:27" ht="17.45" customHeight="1">
      <c r="A1469" s="100" t="str">
        <f>IF(priority(Main[[#This Row],[Comments]])&lt;&gt;0, priority(Main[[#This Row],[Comments]]),"")</f>
        <v/>
      </c>
      <c r="B1469" s="77" t="s">
        <v>2290</v>
      </c>
      <c r="C1469" s="65" t="s">
        <v>2291</v>
      </c>
      <c r="D1469" s="66" t="s">
        <v>3798</v>
      </c>
      <c r="E1469" s="67">
        <v>40814.583657407406</v>
      </c>
      <c r="F1469" s="67">
        <v>41150</v>
      </c>
      <c r="G1469" s="64">
        <f>IF(stdProdLT(Main[[#This Row],[Comments]])=0.1,"N/A",IF(stdProdLT(Main[[#This Row],[Comments]])=0,"",stdProdLT(Main[[#This Row],[Comments]])))</f>
        <v>112</v>
      </c>
      <c r="H1469" s="68" t="str">
        <f>IF(AND(Main[[#This Row],[In Stock Date]]&lt;&gt;"",Main[[#This Row],[Revised Due Date]]&lt;&gt;""),Main[[#This Row],[In Stock Date]]-Main[[#This Row],[Revised Due Date]],"")</f>
        <v/>
      </c>
      <c r="I1469" s="65" t="s">
        <v>561</v>
      </c>
      <c r="J1469" s="65" t="s">
        <v>28</v>
      </c>
      <c r="K1469" s="65" t="s">
        <v>1927</v>
      </c>
      <c r="L1469" s="67">
        <v>40828</v>
      </c>
      <c r="M1469" s="69">
        <f>IF(Main[[#This Row],[Tech Start Date]]&lt;1/1/1990,"",IF(Main[[#This Row],[Class]]="C",WORKDAY(Main[[#This Row],[Tech Start Date]],9),IF(Main[[#This Row],[Class]]="B", WORKDAY(Main[[#This Row],[Tech Start Date]],6),IF(Main[[#This Row],[Class]]="A",WORKDAY(Main[[#This Row],[Tech Start Date]],2),""))))</f>
        <v>40841</v>
      </c>
      <c r="N1469" s="69">
        <f>IF(Main[[#This Row],[Tech Start Date]]&lt;1/1/1990,"",IF(Main[[#This Row],[Class]]="C",WORKDAY(Main[[#This Row],[Tech Start Date]],19),IF(Main[[#This Row],[Class]]="B", WORKDAY(Main[[#This Row],[Tech Start Date]],12),IF(Main[[#This Row],[Class]]="A",WORKDAY(Main[[#This Row],[Tech Start Date]],4),""))))</f>
        <v>40855</v>
      </c>
      <c r="O1469" s="69">
        <f>IF(Main[[#This Row],[Tech Start Date]]&lt;1/1/1990,"",IF(Main[[#This Row],[Class]]="C",WORKDAY(Main[[#This Row],[Tech Start Date]],23),IF(Main[[#This Row],[Class]]="B", WORKDAY(Main[[#This Row],[Tech Start Date]],15),IF(Main[[#This Row],[Class]]="A",WORKDAY(Main[[#This Row],[Tech Start Date]],5),""))))</f>
        <v>40861</v>
      </c>
      <c r="P1469" s="69">
        <f>IF(Main[[#This Row],[Tech Start Date]]&lt;1/1/1990,"",IF(Main[[#This Row],[Class]]="C",WORKDAY(Main[[#This Row],[Tech Start Date]],28),IF(Main[[#This Row],[Class]]="B", WORKDAY(Main[[#This Row],[Tech Start Date]],19),IF(Main[[#This Row],[Class]]="A",WORKDAY(Main[[#This Row],[Tech Start Date]],9),""))))</f>
        <v>40868</v>
      </c>
      <c r="Q1469" s="67">
        <v>40876</v>
      </c>
      <c r="R1469" s="67"/>
      <c r="S1469" s="65" t="s">
        <v>11</v>
      </c>
      <c r="T1469" s="70" t="s">
        <v>3799</v>
      </c>
      <c r="U1469" s="65" t="s">
        <v>534</v>
      </c>
      <c r="V1469" s="65" t="s">
        <v>1914</v>
      </c>
      <c r="W1469" s="65" t="s">
        <v>1920</v>
      </c>
      <c r="X1469" s="65" t="s">
        <v>2923</v>
      </c>
      <c r="Y1469" s="65" t="s">
        <v>4</v>
      </c>
      <c r="Z1469" s="65" t="s">
        <v>129</v>
      </c>
      <c r="AA1469" s="65" t="s">
        <v>3478</v>
      </c>
    </row>
    <row r="1470" spans="1:27" ht="17.45" hidden="1" customHeight="1">
      <c r="A1470" s="100" t="str">
        <f>IF(priority(Main[[#This Row],[Comments]])&lt;&gt;0, priority(Main[[#This Row],[Comments]]),"")</f>
        <v/>
      </c>
      <c r="B1470" s="77" t="s">
        <v>3914</v>
      </c>
      <c r="C1470" s="65" t="s">
        <v>2749</v>
      </c>
      <c r="D1470" s="66" t="s">
        <v>3915</v>
      </c>
      <c r="E1470" s="67">
        <v>40967.578032407408</v>
      </c>
      <c r="F1470" s="67">
        <v>40977</v>
      </c>
      <c r="G1470" s="64" t="str">
        <f>IF(stdProdLT(Main[[#This Row],[Comments]])=0.1,"N/A",IF(stdProdLT(Main[[#This Row],[Comments]])=0,"",stdProdLT(Main[[#This Row],[Comments]])))</f>
        <v>N/A</v>
      </c>
      <c r="H1470" s="68">
        <f>IF(AND(Main[[#This Row],[In Stock Date]]&lt;&gt;"",Main[[#This Row],[Revised Due Date]]&lt;&gt;""),Main[[#This Row],[In Stock Date]]-Main[[#This Row],[Revised Due Date]],"")</f>
        <v>3</v>
      </c>
      <c r="I1470" s="65" t="s">
        <v>3985</v>
      </c>
      <c r="J1470" s="65" t="s">
        <v>4</v>
      </c>
      <c r="K1470" s="71" t="s">
        <v>1923</v>
      </c>
      <c r="L1470" s="67">
        <v>40967</v>
      </c>
      <c r="M1470" s="69">
        <f>IF(Main[[#This Row],[Tech Start Date]]&lt;1/1/1990,"",IF(Main[[#This Row],[Class]]="C",WORKDAY(Main[[#This Row],[Tech Start Date]],9),IF(Main[[#This Row],[Class]]="B", WORKDAY(Main[[#This Row],[Tech Start Date]],6),IF(Main[[#This Row],[Class]]="A",WORKDAY(Main[[#This Row],[Tech Start Date]],2),""))))</f>
        <v>40969</v>
      </c>
      <c r="N1470" s="69">
        <f>IF(Main[[#This Row],[Tech Start Date]]&lt;1/1/1990,"",IF(Main[[#This Row],[Class]]="C",WORKDAY(Main[[#This Row],[Tech Start Date]],19),IF(Main[[#This Row],[Class]]="B", WORKDAY(Main[[#This Row],[Tech Start Date]],12),IF(Main[[#This Row],[Class]]="A",WORKDAY(Main[[#This Row],[Tech Start Date]],4),""))))</f>
        <v>40973</v>
      </c>
      <c r="O1470" s="69">
        <f>IF(Main[[#This Row],[Tech Start Date]]&lt;1/1/1990,"",IF(Main[[#This Row],[Class]]="C",WORKDAY(Main[[#This Row],[Tech Start Date]],23),IF(Main[[#This Row],[Class]]="B", WORKDAY(Main[[#This Row],[Tech Start Date]],15),IF(Main[[#This Row],[Class]]="A",WORKDAY(Main[[#This Row],[Tech Start Date]],5),""))))</f>
        <v>40974</v>
      </c>
      <c r="P1470" s="69">
        <f>IF(Main[[#This Row],[Tech Start Date]]&lt;1/1/1990,"",IF(Main[[#This Row],[Class]]="C",WORKDAY(Main[[#This Row],[Tech Start Date]],28),IF(Main[[#This Row],[Class]]="B", WORKDAY(Main[[#This Row],[Tech Start Date]],19),IF(Main[[#This Row],[Class]]="A",WORKDAY(Main[[#This Row],[Tech Start Date]],9),""))))</f>
        <v>40980</v>
      </c>
      <c r="Q1470" s="67"/>
      <c r="R1470" s="67">
        <v>40974</v>
      </c>
      <c r="S1470" s="65" t="s">
        <v>11</v>
      </c>
      <c r="T1470" s="70" t="s">
        <v>3234</v>
      </c>
      <c r="U1470" s="65" t="s">
        <v>29</v>
      </c>
      <c r="V1470" s="65" t="s">
        <v>1924</v>
      </c>
      <c r="W1470" s="65" t="s">
        <v>1922</v>
      </c>
      <c r="X1470" s="65" t="s">
        <v>50</v>
      </c>
      <c r="Y1470" s="65" t="s">
        <v>3612</v>
      </c>
      <c r="Z1470" s="65" t="s">
        <v>530</v>
      </c>
      <c r="AA1470" s="65" t="s">
        <v>3450</v>
      </c>
    </row>
    <row r="1471" spans="1:27" ht="17.45" hidden="1" customHeight="1">
      <c r="A1471" s="100" t="str">
        <f>IF(priority(Main[[#This Row],[Comments]])&lt;&gt;0, priority(Main[[#This Row],[Comments]]),"")</f>
        <v/>
      </c>
      <c r="B1471" s="77" t="s">
        <v>3925</v>
      </c>
      <c r="C1471" s="65" t="s">
        <v>3922</v>
      </c>
      <c r="D1471" s="66" t="s">
        <v>3926</v>
      </c>
      <c r="E1471" s="67">
        <v>40961.047662037039</v>
      </c>
      <c r="F1471" s="67">
        <v>41091</v>
      </c>
      <c r="G1471" s="64" t="str">
        <f>IF(stdProdLT(Main[[#This Row],[Comments]])=0.1,"N/A",IF(stdProdLT(Main[[#This Row],[Comments]])=0,"",stdProdLT(Main[[#This Row],[Comments]])))</f>
        <v/>
      </c>
      <c r="H1471" s="68">
        <f>IF(AND(Main[[#This Row],[In Stock Date]]&lt;&gt;"",Main[[#This Row],[Revised Due Date]]&lt;&gt;""),Main[[#This Row],[In Stock Date]]-Main[[#This Row],[Revised Due Date]],"")</f>
        <v>103</v>
      </c>
      <c r="I1471" s="65" t="s">
        <v>44</v>
      </c>
      <c r="J1471" s="65" t="s">
        <v>28</v>
      </c>
      <c r="K1471" s="65" t="s">
        <v>1923</v>
      </c>
      <c r="L1471" s="67">
        <v>40967</v>
      </c>
      <c r="M1471" s="69">
        <f>IF(Main[[#This Row],[Tech Start Date]]&lt;1/1/1990,"",IF(Main[[#This Row],[Class]]="C",WORKDAY(Main[[#This Row],[Tech Start Date]],9),IF(Main[[#This Row],[Class]]="B", WORKDAY(Main[[#This Row],[Tech Start Date]],6),IF(Main[[#This Row],[Class]]="A",WORKDAY(Main[[#This Row],[Tech Start Date]],2),""))))</f>
        <v>40969</v>
      </c>
      <c r="N1471" s="69">
        <f>IF(Main[[#This Row],[Tech Start Date]]&lt;1/1/1990,"",IF(Main[[#This Row],[Class]]="C",WORKDAY(Main[[#This Row],[Tech Start Date]],19),IF(Main[[#This Row],[Class]]="B", WORKDAY(Main[[#This Row],[Tech Start Date]],12),IF(Main[[#This Row],[Class]]="A",WORKDAY(Main[[#This Row],[Tech Start Date]],4),""))))</f>
        <v>40973</v>
      </c>
      <c r="O1471" s="69">
        <f>IF(Main[[#This Row],[Tech Start Date]]&lt;1/1/1990,"",IF(Main[[#This Row],[Class]]="C",WORKDAY(Main[[#This Row],[Tech Start Date]],23),IF(Main[[#This Row],[Class]]="B", WORKDAY(Main[[#This Row],[Tech Start Date]],15),IF(Main[[#This Row],[Class]]="A",WORKDAY(Main[[#This Row],[Tech Start Date]],5),""))))</f>
        <v>40974</v>
      </c>
      <c r="P1471" s="69">
        <f>IF(Main[[#This Row],[Tech Start Date]]&lt;1/1/1990,"",IF(Main[[#This Row],[Class]]="C",WORKDAY(Main[[#This Row],[Tech Start Date]],28),IF(Main[[#This Row],[Class]]="B", WORKDAY(Main[[#This Row],[Tech Start Date]],19),IF(Main[[#This Row],[Class]]="A",WORKDAY(Main[[#This Row],[Tech Start Date]],9),""))))</f>
        <v>40980</v>
      </c>
      <c r="Q1471" s="67">
        <v>40969</v>
      </c>
      <c r="R1471" s="67">
        <v>40988</v>
      </c>
      <c r="S1471" s="65" t="s">
        <v>11</v>
      </c>
      <c r="T1471" s="70" t="s">
        <v>3927</v>
      </c>
      <c r="U1471" s="65" t="s">
        <v>29</v>
      </c>
      <c r="V1471" s="65" t="s">
        <v>1924</v>
      </c>
      <c r="W1471" s="65" t="s">
        <v>1920</v>
      </c>
      <c r="X1471" s="65" t="s">
        <v>2845</v>
      </c>
      <c r="Y1471" s="65" t="s">
        <v>3906</v>
      </c>
      <c r="Z1471" s="65" t="s">
        <v>530</v>
      </c>
      <c r="AA1471" s="65" t="s">
        <v>2845</v>
      </c>
    </row>
    <row r="1472" spans="1:27" ht="17.45" hidden="1" customHeight="1">
      <c r="A1472" s="100" t="str">
        <f>IF(priority(Main[[#This Row],[Comments]])&lt;&gt;0, priority(Main[[#This Row],[Comments]]),"")</f>
        <v/>
      </c>
      <c r="B1472" s="77" t="s">
        <v>3351</v>
      </c>
      <c r="C1472" s="65" t="s">
        <v>148</v>
      </c>
      <c r="D1472" s="66" t="s">
        <v>3933</v>
      </c>
      <c r="E1472" s="67">
        <v>40967.72111111111</v>
      </c>
      <c r="F1472" s="67">
        <v>41045</v>
      </c>
      <c r="G1472" s="64" t="str">
        <f>IF(stdProdLT(Main[[#This Row],[Comments]])=0.1,"N/A",IF(stdProdLT(Main[[#This Row],[Comments]])=0,"",stdProdLT(Main[[#This Row],[Comments]])))</f>
        <v>N/A</v>
      </c>
      <c r="H1472" s="68">
        <f>IF(AND(Main[[#This Row],[In Stock Date]]&lt;&gt;"",Main[[#This Row],[Revised Due Date]]&lt;&gt;""),Main[[#This Row],[In Stock Date]]-Main[[#This Row],[Revised Due Date]],"")</f>
        <v>71</v>
      </c>
      <c r="I1472" s="65" t="s">
        <v>3985</v>
      </c>
      <c r="J1472" s="65" t="s">
        <v>28</v>
      </c>
      <c r="K1472" s="65" t="s">
        <v>1923</v>
      </c>
      <c r="L1472" s="67">
        <v>40967</v>
      </c>
      <c r="M1472" s="69">
        <f>IF(Main[[#This Row],[Tech Start Date]]&lt;1/1/1990,"",IF(Main[[#This Row],[Class]]="C",WORKDAY(Main[[#This Row],[Tech Start Date]],9),IF(Main[[#This Row],[Class]]="B", WORKDAY(Main[[#This Row],[Tech Start Date]],6),IF(Main[[#This Row],[Class]]="A",WORKDAY(Main[[#This Row],[Tech Start Date]],2),""))))</f>
        <v>40969</v>
      </c>
      <c r="N1472" s="69">
        <f>IF(Main[[#This Row],[Tech Start Date]]&lt;1/1/1990,"",IF(Main[[#This Row],[Class]]="C",WORKDAY(Main[[#This Row],[Tech Start Date]],19),IF(Main[[#This Row],[Class]]="B", WORKDAY(Main[[#This Row],[Tech Start Date]],12),IF(Main[[#This Row],[Class]]="A",WORKDAY(Main[[#This Row],[Tech Start Date]],4),""))))</f>
        <v>40973</v>
      </c>
      <c r="O1472" s="69">
        <f>IF(Main[[#This Row],[Tech Start Date]]&lt;1/1/1990,"",IF(Main[[#This Row],[Class]]="C",WORKDAY(Main[[#This Row],[Tech Start Date]],23),IF(Main[[#This Row],[Class]]="B", WORKDAY(Main[[#This Row],[Tech Start Date]],15),IF(Main[[#This Row],[Class]]="A",WORKDAY(Main[[#This Row],[Tech Start Date]],5),""))))</f>
        <v>40974</v>
      </c>
      <c r="P1472" s="69">
        <f>IF(Main[[#This Row],[Tech Start Date]]&lt;1/1/1990,"",IF(Main[[#This Row],[Class]]="C",WORKDAY(Main[[#This Row],[Tech Start Date]],28),IF(Main[[#This Row],[Class]]="B", WORKDAY(Main[[#This Row],[Tech Start Date]],19),IF(Main[[#This Row],[Class]]="A",WORKDAY(Main[[#This Row],[Tech Start Date]],9),""))))</f>
        <v>40980</v>
      </c>
      <c r="Q1472" s="67">
        <v>40939</v>
      </c>
      <c r="R1472" s="67">
        <v>40974</v>
      </c>
      <c r="S1472" s="65" t="s">
        <v>11</v>
      </c>
      <c r="T1472" s="70" t="s">
        <v>3934</v>
      </c>
      <c r="U1472" s="65" t="s">
        <v>29</v>
      </c>
      <c r="V1472" s="65" t="s">
        <v>1924</v>
      </c>
      <c r="W1472" s="65" t="s">
        <v>1922</v>
      </c>
      <c r="X1472" s="65" t="s">
        <v>3352</v>
      </c>
      <c r="Y1472" s="65" t="s">
        <v>3353</v>
      </c>
      <c r="Z1472" s="65" t="s">
        <v>530</v>
      </c>
      <c r="AA1472" s="65" t="s">
        <v>3352</v>
      </c>
    </row>
    <row r="1473" spans="1:27" ht="17.45" hidden="1" customHeight="1">
      <c r="A1473" s="100" t="str">
        <f>IF(priority(Main[[#This Row],[Comments]])&lt;&gt;0, priority(Main[[#This Row],[Comments]]),"")</f>
        <v/>
      </c>
      <c r="B1473" s="77" t="s">
        <v>3503</v>
      </c>
      <c r="C1473" s="65" t="s">
        <v>79</v>
      </c>
      <c r="D1473" s="66" t="s">
        <v>3504</v>
      </c>
      <c r="E1473" s="67">
        <v>40967.732847222222</v>
      </c>
      <c r="F1473" s="67">
        <v>40967</v>
      </c>
      <c r="G1473" s="64" t="str">
        <f>IF(stdProdLT(Main[[#This Row],[Comments]])=0.1,"N/A",IF(stdProdLT(Main[[#This Row],[Comments]])=0,"",stdProdLT(Main[[#This Row],[Comments]])))</f>
        <v>N/A</v>
      </c>
      <c r="H1473" s="68">
        <f>IF(AND(Main[[#This Row],[In Stock Date]]&lt;&gt;"",Main[[#This Row],[Revised Due Date]]&lt;&gt;""),Main[[#This Row],[In Stock Date]]-Main[[#This Row],[Revised Due Date]],"")</f>
        <v>-7</v>
      </c>
      <c r="I1473" s="65" t="s">
        <v>3985</v>
      </c>
      <c r="J1473" s="65" t="s">
        <v>28</v>
      </c>
      <c r="K1473" s="71" t="s">
        <v>1923</v>
      </c>
      <c r="L1473" s="67">
        <v>40967</v>
      </c>
      <c r="M1473" s="69">
        <f>IF(Main[[#This Row],[Tech Start Date]]&lt;1/1/1990,"",IF(Main[[#This Row],[Class]]="C",WORKDAY(Main[[#This Row],[Tech Start Date]],9),IF(Main[[#This Row],[Class]]="B", WORKDAY(Main[[#This Row],[Tech Start Date]],6),IF(Main[[#This Row],[Class]]="A",WORKDAY(Main[[#This Row],[Tech Start Date]],2),""))))</f>
        <v>40969</v>
      </c>
      <c r="N1473" s="69">
        <f>IF(Main[[#This Row],[Tech Start Date]]&lt;1/1/1990,"",IF(Main[[#This Row],[Class]]="C",WORKDAY(Main[[#This Row],[Tech Start Date]],19),IF(Main[[#This Row],[Class]]="B", WORKDAY(Main[[#This Row],[Tech Start Date]],12),IF(Main[[#This Row],[Class]]="A",WORKDAY(Main[[#This Row],[Tech Start Date]],4),""))))</f>
        <v>40973</v>
      </c>
      <c r="O1473" s="69">
        <f>IF(Main[[#This Row],[Tech Start Date]]&lt;1/1/1990,"",IF(Main[[#This Row],[Class]]="C",WORKDAY(Main[[#This Row],[Tech Start Date]],23),IF(Main[[#This Row],[Class]]="B", WORKDAY(Main[[#This Row],[Tech Start Date]],15),IF(Main[[#This Row],[Class]]="A",WORKDAY(Main[[#This Row],[Tech Start Date]],5),""))))</f>
        <v>40974</v>
      </c>
      <c r="P1473" s="69">
        <f>IF(Main[[#This Row],[Tech Start Date]]&lt;1/1/1990,"",IF(Main[[#This Row],[Class]]="C",WORKDAY(Main[[#This Row],[Tech Start Date]],28),IF(Main[[#This Row],[Class]]="B", WORKDAY(Main[[#This Row],[Tech Start Date]],19),IF(Main[[#This Row],[Class]]="A",WORKDAY(Main[[#This Row],[Tech Start Date]],9),""))))</f>
        <v>40980</v>
      </c>
      <c r="Q1473" s="67">
        <v>40949</v>
      </c>
      <c r="R1473" s="67">
        <v>40974</v>
      </c>
      <c r="S1473" s="65" t="s">
        <v>11</v>
      </c>
      <c r="T1473" s="70" t="s">
        <v>3908</v>
      </c>
      <c r="U1473" s="65" t="s">
        <v>29</v>
      </c>
      <c r="V1473" s="65" t="s">
        <v>1924</v>
      </c>
      <c r="W1473" s="65" t="s">
        <v>1919</v>
      </c>
      <c r="X1473" s="65" t="s">
        <v>3505</v>
      </c>
      <c r="Y1473" s="65" t="s">
        <v>3506</v>
      </c>
      <c r="Z1473" s="65" t="s">
        <v>530</v>
      </c>
      <c r="AA1473" s="65" t="s">
        <v>3505</v>
      </c>
    </row>
    <row r="1474" spans="1:27" ht="17.45" hidden="1" customHeight="1">
      <c r="A1474" s="100">
        <f>IF(priority(Main[[#This Row],[Comments]])&lt;&gt;0, priority(Main[[#This Row],[Comments]]),"")</f>
        <v>12.6</v>
      </c>
      <c r="B1474" s="77" t="s">
        <v>3219</v>
      </c>
      <c r="C1474" s="65" t="s">
        <v>137</v>
      </c>
      <c r="D1474" s="66" t="s">
        <v>3998</v>
      </c>
      <c r="E1474" s="67">
        <v>40967.513715277775</v>
      </c>
      <c r="F1474" s="67">
        <v>41008</v>
      </c>
      <c r="G1474" s="64">
        <f>IF(stdProdLT(Main[[#This Row],[Comments]])=0.1,"N/A",IF(stdProdLT(Main[[#This Row],[Comments]])=0,"",stdProdLT(Main[[#This Row],[Comments]])))</f>
        <v>84</v>
      </c>
      <c r="H1474" s="68">
        <f>IF(AND(Main[[#This Row],[In Stock Date]]&lt;&gt;"",Main[[#This Row],[Revised Due Date]]&lt;&gt;""),Main[[#This Row],[In Stock Date]]-Main[[#This Row],[Revised Due Date]],"")</f>
        <v>34</v>
      </c>
      <c r="I1474" s="65" t="s">
        <v>69</v>
      </c>
      <c r="J1474" s="65" t="s">
        <v>70</v>
      </c>
      <c r="K1474" s="65" t="s">
        <v>1923</v>
      </c>
      <c r="L1474" s="67">
        <v>40967</v>
      </c>
      <c r="M1474" s="69">
        <f>IF(Main[[#This Row],[Tech Start Date]]&lt;1/1/1990,"",IF(Main[[#This Row],[Class]]="C",WORKDAY(Main[[#This Row],[Tech Start Date]],9),IF(Main[[#This Row],[Class]]="B", WORKDAY(Main[[#This Row],[Tech Start Date]],6),IF(Main[[#This Row],[Class]]="A",WORKDAY(Main[[#This Row],[Tech Start Date]],2),""))))</f>
        <v>40969</v>
      </c>
      <c r="N1474" s="69">
        <f>IF(Main[[#This Row],[Tech Start Date]]&lt;1/1/1990,"",IF(Main[[#This Row],[Class]]="C",WORKDAY(Main[[#This Row],[Tech Start Date]],19),IF(Main[[#This Row],[Class]]="B", WORKDAY(Main[[#This Row],[Tech Start Date]],12),IF(Main[[#This Row],[Class]]="A",WORKDAY(Main[[#This Row],[Tech Start Date]],4),""))))</f>
        <v>40973</v>
      </c>
      <c r="O1474" s="69">
        <f>IF(Main[[#This Row],[Tech Start Date]]&lt;1/1/1990,"",IF(Main[[#This Row],[Class]]="C",WORKDAY(Main[[#This Row],[Tech Start Date]],23),IF(Main[[#This Row],[Class]]="B", WORKDAY(Main[[#This Row],[Tech Start Date]],15),IF(Main[[#This Row],[Class]]="A",WORKDAY(Main[[#This Row],[Tech Start Date]],5),""))))</f>
        <v>40974</v>
      </c>
      <c r="P1474" s="69">
        <f>IF(Main[[#This Row],[Tech Start Date]]&lt;1/1/1990,"",IF(Main[[#This Row],[Class]]="C",WORKDAY(Main[[#This Row],[Tech Start Date]],28),IF(Main[[#This Row],[Class]]="B", WORKDAY(Main[[#This Row],[Tech Start Date]],19),IF(Main[[#This Row],[Class]]="A",WORKDAY(Main[[#This Row],[Tech Start Date]],9),""))))</f>
        <v>40980</v>
      </c>
      <c r="Q1474" s="67">
        <v>40945</v>
      </c>
      <c r="R1474" s="67">
        <v>40974</v>
      </c>
      <c r="S1474" s="65" t="s">
        <v>11</v>
      </c>
      <c r="T1474" s="70" t="s">
        <v>3974</v>
      </c>
      <c r="U1474" s="65" t="s">
        <v>29</v>
      </c>
      <c r="V1474" s="65" t="s">
        <v>1924</v>
      </c>
      <c r="W1474" s="65" t="s">
        <v>1922</v>
      </c>
      <c r="X1474" s="65" t="s">
        <v>2906</v>
      </c>
      <c r="Y1474" s="65" t="s">
        <v>3096</v>
      </c>
      <c r="Z1474" s="65" t="s">
        <v>530</v>
      </c>
      <c r="AA1474" s="65" t="s">
        <v>2906</v>
      </c>
    </row>
    <row r="1475" spans="1:27" ht="17.45" hidden="1" customHeight="1">
      <c r="A1475" s="100">
        <f>IF(priority(Main[[#This Row],[Comments]])&lt;&gt;0, priority(Main[[#This Row],[Comments]]),"")</f>
        <v>12.7</v>
      </c>
      <c r="B1475" s="77" t="s">
        <v>3217</v>
      </c>
      <c r="C1475" s="65" t="s">
        <v>137</v>
      </c>
      <c r="D1475" s="66" t="s">
        <v>3999</v>
      </c>
      <c r="E1475" s="67">
        <v>40960.923657407409</v>
      </c>
      <c r="F1475" s="67">
        <v>41008</v>
      </c>
      <c r="G1475" s="64">
        <f>IF(stdProdLT(Main[[#This Row],[Comments]])=0.1,"N/A",IF(stdProdLT(Main[[#This Row],[Comments]])=0,"",stdProdLT(Main[[#This Row],[Comments]])))</f>
        <v>84</v>
      </c>
      <c r="H1475" s="68">
        <f>IF(AND(Main[[#This Row],[In Stock Date]]&lt;&gt;"",Main[[#This Row],[Revised Due Date]]&lt;&gt;""),Main[[#This Row],[In Stock Date]]-Main[[#This Row],[Revised Due Date]],"")</f>
        <v>34</v>
      </c>
      <c r="I1475" s="65" t="s">
        <v>69</v>
      </c>
      <c r="J1475" s="65" t="s">
        <v>70</v>
      </c>
      <c r="K1475" s="65" t="s">
        <v>1923</v>
      </c>
      <c r="L1475" s="67">
        <v>40967</v>
      </c>
      <c r="M1475" s="69">
        <f>IF(Main[[#This Row],[Tech Start Date]]&lt;1/1/1990,"",IF(Main[[#This Row],[Class]]="C",WORKDAY(Main[[#This Row],[Tech Start Date]],9),IF(Main[[#This Row],[Class]]="B", WORKDAY(Main[[#This Row],[Tech Start Date]],6),IF(Main[[#This Row],[Class]]="A",WORKDAY(Main[[#This Row],[Tech Start Date]],2),""))))</f>
        <v>40969</v>
      </c>
      <c r="N1475" s="69">
        <f>IF(Main[[#This Row],[Tech Start Date]]&lt;1/1/1990,"",IF(Main[[#This Row],[Class]]="C",WORKDAY(Main[[#This Row],[Tech Start Date]],19),IF(Main[[#This Row],[Class]]="B", WORKDAY(Main[[#This Row],[Tech Start Date]],12),IF(Main[[#This Row],[Class]]="A",WORKDAY(Main[[#This Row],[Tech Start Date]],4),""))))</f>
        <v>40973</v>
      </c>
      <c r="O1475" s="69">
        <f>IF(Main[[#This Row],[Tech Start Date]]&lt;1/1/1990,"",IF(Main[[#This Row],[Class]]="C",WORKDAY(Main[[#This Row],[Tech Start Date]],23),IF(Main[[#This Row],[Class]]="B", WORKDAY(Main[[#This Row],[Tech Start Date]],15),IF(Main[[#This Row],[Class]]="A",WORKDAY(Main[[#This Row],[Tech Start Date]],5),""))))</f>
        <v>40974</v>
      </c>
      <c r="P1475" s="69">
        <f>IF(Main[[#This Row],[Tech Start Date]]&lt;1/1/1990,"",IF(Main[[#This Row],[Class]]="C",WORKDAY(Main[[#This Row],[Tech Start Date]],28),IF(Main[[#This Row],[Class]]="B", WORKDAY(Main[[#This Row],[Tech Start Date]],19),IF(Main[[#This Row],[Class]]="A",WORKDAY(Main[[#This Row],[Tech Start Date]],9),""))))</f>
        <v>40980</v>
      </c>
      <c r="Q1475" s="67">
        <v>40935</v>
      </c>
      <c r="R1475" s="67">
        <v>40974</v>
      </c>
      <c r="S1475" s="65" t="s">
        <v>11</v>
      </c>
      <c r="T1475" s="70" t="s">
        <v>3975</v>
      </c>
      <c r="U1475" s="65" t="s">
        <v>29</v>
      </c>
      <c r="V1475" s="65" t="s">
        <v>1924</v>
      </c>
      <c r="W1475" s="65" t="s">
        <v>1922</v>
      </c>
      <c r="X1475" s="65" t="s">
        <v>2906</v>
      </c>
      <c r="Y1475" s="65" t="s">
        <v>3096</v>
      </c>
      <c r="Z1475" s="65" t="s">
        <v>530</v>
      </c>
      <c r="AA1475" s="65" t="s">
        <v>2906</v>
      </c>
    </row>
    <row r="1476" spans="1:27" ht="17.45" hidden="1" customHeight="1">
      <c r="A1476" s="100" t="str">
        <f>IF(priority(Main[[#This Row],[Comments]])&lt;&gt;0, priority(Main[[#This Row],[Comments]]),"")</f>
        <v/>
      </c>
      <c r="B1476" s="77" t="s">
        <v>3935</v>
      </c>
      <c r="C1476" s="65" t="s">
        <v>2749</v>
      </c>
      <c r="D1476" s="66" t="s">
        <v>3936</v>
      </c>
      <c r="E1476" s="67">
        <v>40962.642118055555</v>
      </c>
      <c r="F1476" s="67">
        <v>41090</v>
      </c>
      <c r="G1476" s="64">
        <f>IF(stdProdLT(Main[[#This Row],[Comments]])=0.1,"N/A",IF(stdProdLT(Main[[#This Row],[Comments]])=0,"",stdProdLT(Main[[#This Row],[Comments]])))</f>
        <v>98</v>
      </c>
      <c r="H1476" s="68">
        <f>IF(AND(Main[[#This Row],[In Stock Date]]&lt;&gt;"",Main[[#This Row],[Revised Due Date]]&lt;&gt;""),Main[[#This Row],[In Stock Date]]-Main[[#This Row],[Revised Due Date]],"")</f>
        <v>94</v>
      </c>
      <c r="I1476" s="65" t="s">
        <v>2044</v>
      </c>
      <c r="J1476" s="65" t="s">
        <v>28</v>
      </c>
      <c r="K1476" s="65" t="s">
        <v>1921</v>
      </c>
      <c r="L1476" s="67">
        <v>40967</v>
      </c>
      <c r="M1476" s="69">
        <f>IF(Main[[#This Row],[Tech Start Date]]&lt;1/1/1990,"",IF(Main[[#This Row],[Class]]="C",WORKDAY(Main[[#This Row],[Tech Start Date]],9),IF(Main[[#This Row],[Class]]="B", WORKDAY(Main[[#This Row],[Tech Start Date]],6),IF(Main[[#This Row],[Class]]="A",WORKDAY(Main[[#This Row],[Tech Start Date]],2),""))))</f>
        <v>40975</v>
      </c>
      <c r="N1476" s="69">
        <f>IF(Main[[#This Row],[Tech Start Date]]&lt;1/1/1990,"",IF(Main[[#This Row],[Class]]="C",WORKDAY(Main[[#This Row],[Tech Start Date]],19),IF(Main[[#This Row],[Class]]="B", WORKDAY(Main[[#This Row],[Tech Start Date]],12),IF(Main[[#This Row],[Class]]="A",WORKDAY(Main[[#This Row],[Tech Start Date]],4),""))))</f>
        <v>40983</v>
      </c>
      <c r="O1476" s="69">
        <f>IF(Main[[#This Row],[Tech Start Date]]&lt;1/1/1990,"",IF(Main[[#This Row],[Class]]="C",WORKDAY(Main[[#This Row],[Tech Start Date]],23),IF(Main[[#This Row],[Class]]="B", WORKDAY(Main[[#This Row],[Tech Start Date]],15),IF(Main[[#This Row],[Class]]="A",WORKDAY(Main[[#This Row],[Tech Start Date]],5),""))))</f>
        <v>40988</v>
      </c>
      <c r="P1476" s="69">
        <f>IF(Main[[#This Row],[Tech Start Date]]&lt;1/1/1990,"",IF(Main[[#This Row],[Class]]="C",WORKDAY(Main[[#This Row],[Tech Start Date]],28),IF(Main[[#This Row],[Class]]="B", WORKDAY(Main[[#This Row],[Tech Start Date]],19),IF(Main[[#This Row],[Class]]="A",WORKDAY(Main[[#This Row],[Tech Start Date]],9),""))))</f>
        <v>40994</v>
      </c>
      <c r="Q1476" s="67"/>
      <c r="R1476" s="67">
        <v>40996</v>
      </c>
      <c r="S1476" s="65" t="s">
        <v>11</v>
      </c>
      <c r="T1476" s="70" t="s">
        <v>3937</v>
      </c>
      <c r="U1476" s="65" t="s">
        <v>29</v>
      </c>
      <c r="V1476" s="65" t="s">
        <v>1917</v>
      </c>
      <c r="W1476" s="65" t="s">
        <v>1919</v>
      </c>
      <c r="X1476" s="65" t="s">
        <v>652</v>
      </c>
      <c r="Y1476" s="65" t="s">
        <v>3126</v>
      </c>
      <c r="Z1476" s="65" t="s">
        <v>530</v>
      </c>
      <c r="AA1476" s="65" t="s">
        <v>652</v>
      </c>
    </row>
    <row r="1477" spans="1:27" ht="17.45" hidden="1" customHeight="1">
      <c r="A1477" s="100" t="str">
        <f>IF(priority(Main[[#This Row],[Comments]])&lt;&gt;0, priority(Main[[#This Row],[Comments]]),"")</f>
        <v/>
      </c>
      <c r="B1477" s="77" t="s">
        <v>3921</v>
      </c>
      <c r="C1477" s="65" t="s">
        <v>3922</v>
      </c>
      <c r="D1477" s="66" t="s">
        <v>3923</v>
      </c>
      <c r="E1477" s="67">
        <v>40961.04891203704</v>
      </c>
      <c r="F1477" s="67">
        <v>41105</v>
      </c>
      <c r="G1477" s="64" t="str">
        <f>IF(stdProdLT(Main[[#This Row],[Comments]])=0.1,"N/A",IF(stdProdLT(Main[[#This Row],[Comments]])=0,"",stdProdLT(Main[[#This Row],[Comments]])))</f>
        <v/>
      </c>
      <c r="H1477" s="68">
        <f>IF(AND(Main[[#This Row],[In Stock Date]]&lt;&gt;"",Main[[#This Row],[Revised Due Date]]&lt;&gt;""),Main[[#This Row],[In Stock Date]]-Main[[#This Row],[Revised Due Date]],"")</f>
        <v>117</v>
      </c>
      <c r="I1477" s="65" t="s">
        <v>44</v>
      </c>
      <c r="J1477" s="65" t="s">
        <v>28</v>
      </c>
      <c r="K1477" s="65" t="s">
        <v>1923</v>
      </c>
      <c r="L1477" s="67">
        <v>40967</v>
      </c>
      <c r="M1477" s="69">
        <f>IF(Main[[#This Row],[Tech Start Date]]&lt;1/1/1990,"",IF(Main[[#This Row],[Class]]="C",WORKDAY(Main[[#This Row],[Tech Start Date]],9),IF(Main[[#This Row],[Class]]="B", WORKDAY(Main[[#This Row],[Tech Start Date]],6),IF(Main[[#This Row],[Class]]="A",WORKDAY(Main[[#This Row],[Tech Start Date]],2),""))))</f>
        <v>40969</v>
      </c>
      <c r="N1477" s="69">
        <f>IF(Main[[#This Row],[Tech Start Date]]&lt;1/1/1990,"",IF(Main[[#This Row],[Class]]="C",WORKDAY(Main[[#This Row],[Tech Start Date]],19),IF(Main[[#This Row],[Class]]="B", WORKDAY(Main[[#This Row],[Tech Start Date]],12),IF(Main[[#This Row],[Class]]="A",WORKDAY(Main[[#This Row],[Tech Start Date]],4),""))))</f>
        <v>40973</v>
      </c>
      <c r="O1477" s="69">
        <f>IF(Main[[#This Row],[Tech Start Date]]&lt;1/1/1990,"",IF(Main[[#This Row],[Class]]="C",WORKDAY(Main[[#This Row],[Tech Start Date]],23),IF(Main[[#This Row],[Class]]="B", WORKDAY(Main[[#This Row],[Tech Start Date]],15),IF(Main[[#This Row],[Class]]="A",WORKDAY(Main[[#This Row],[Tech Start Date]],5),""))))</f>
        <v>40974</v>
      </c>
      <c r="P1477" s="69">
        <f>IF(Main[[#This Row],[Tech Start Date]]&lt;1/1/1990,"",IF(Main[[#This Row],[Class]]="C",WORKDAY(Main[[#This Row],[Tech Start Date]],28),IF(Main[[#This Row],[Class]]="B", WORKDAY(Main[[#This Row],[Tech Start Date]],19),IF(Main[[#This Row],[Class]]="A",WORKDAY(Main[[#This Row],[Tech Start Date]],9),""))))</f>
        <v>40980</v>
      </c>
      <c r="Q1477" s="67">
        <v>40969</v>
      </c>
      <c r="R1477" s="67">
        <v>40988</v>
      </c>
      <c r="S1477" s="65" t="s">
        <v>11</v>
      </c>
      <c r="T1477" s="70" t="s">
        <v>3924</v>
      </c>
      <c r="U1477" s="65" t="s">
        <v>29</v>
      </c>
      <c r="V1477" s="65" t="s">
        <v>1924</v>
      </c>
      <c r="W1477" s="65" t="s">
        <v>1920</v>
      </c>
      <c r="X1477" s="65" t="s">
        <v>2845</v>
      </c>
      <c r="Y1477" s="65" t="s">
        <v>3906</v>
      </c>
      <c r="Z1477" s="65" t="s">
        <v>530</v>
      </c>
      <c r="AA1477" s="65" t="s">
        <v>2845</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77">
    <cfRule type="expression" dxfId="66" priority="21">
      <formula>atat($T6)=1</formula>
    </cfRule>
  </conditionalFormatting>
  <conditionalFormatting sqref="M6:P1477">
    <cfRule type="colorScale" priority="15">
      <colorScale>
        <cfvo type="num" val="TODAY()"/>
        <cfvo type="num" val="TODAY()+2"/>
        <cfvo type="num" val="TODAY()+4"/>
        <color rgb="FFD36767"/>
        <color rgb="FFFFFFD1"/>
        <color rgb="FFC0E391"/>
      </colorScale>
    </cfRule>
  </conditionalFormatting>
  <conditionalFormatting sqref="C6:R1048576">
    <cfRule type="expression" dxfId="65" priority="1453">
      <formula>OR($J6="Document Control", $J6="Quality")</formula>
    </cfRule>
  </conditionalFormatting>
  <conditionalFormatting sqref="C6:U1048576">
    <cfRule type="expression" dxfId="64" priority="1638">
      <formula>OR($U6="Design Hold", $U6="Define Requirements")</formula>
    </cfRule>
  </conditionalFormatting>
  <printOptions horizontalCentered="1"/>
  <pageMargins left="0.25" right="0.05" top="0.82" bottom="0.3" header="0.12" footer="0.1"/>
  <pageSetup scale="85"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2428875</xdr:colOff>
                <xdr:row>2</xdr:row>
                <xdr:rowOff>581025</xdr:rowOff>
              </from>
              <to>
                <xdr:col>3</xdr:col>
                <xdr:colOff>2743200</xdr:colOff>
                <xdr:row>3</xdr:row>
                <xdr:rowOff>28575</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2428875</xdr:colOff>
                <xdr:row>2</xdr:row>
                <xdr:rowOff>190500</xdr:rowOff>
              </from>
              <to>
                <xdr:col>3</xdr:col>
                <xdr:colOff>2743200</xdr:colOff>
                <xdr:row>2</xdr:row>
                <xdr:rowOff>514350</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2428875</xdr:colOff>
                <xdr:row>1</xdr:row>
                <xdr:rowOff>628650</xdr:rowOff>
              </from>
              <to>
                <xdr:col>3</xdr:col>
                <xdr:colOff>2743200</xdr:colOff>
                <xdr:row>2</xdr:row>
                <xdr:rowOff>133350</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2428875</xdr:colOff>
                <xdr:row>1</xdr:row>
                <xdr:rowOff>247650</xdr:rowOff>
              </from>
              <to>
                <xdr:col>3</xdr:col>
                <xdr:colOff>2743200</xdr:colOff>
                <xdr:row>1</xdr:row>
                <xdr:rowOff>571500</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361950</xdr:colOff>
                <xdr:row>1</xdr:row>
                <xdr:rowOff>9525</xdr:rowOff>
              </from>
              <to>
                <xdr:col>2</xdr:col>
                <xdr:colOff>1543050</xdr:colOff>
                <xdr:row>1</xdr:row>
                <xdr:rowOff>257175</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114300</xdr:colOff>
                <xdr:row>2</xdr:row>
                <xdr:rowOff>704850</xdr:rowOff>
              </from>
              <to>
                <xdr:col>1</xdr:col>
                <xdr:colOff>657225</xdr:colOff>
                <xdr:row>3</xdr:row>
                <xdr:rowOff>142875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352425</xdr:rowOff>
              </from>
              <to>
                <xdr:col>1</xdr:col>
                <xdr:colOff>657225</xdr:colOff>
                <xdr:row>2</xdr:row>
                <xdr:rowOff>666750</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180975</xdr:colOff>
                <xdr:row>1</xdr:row>
                <xdr:rowOff>57150</xdr:rowOff>
              </from>
              <to>
                <xdr:col>1</xdr:col>
                <xdr:colOff>371475</xdr:colOff>
                <xdr:row>1</xdr:row>
                <xdr:rowOff>361950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304800</xdr:rowOff>
              </from>
              <to>
                <xdr:col>2</xdr:col>
                <xdr:colOff>1790700</xdr:colOff>
                <xdr:row>2</xdr:row>
                <xdr:rowOff>695325</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695325</xdr:rowOff>
              </from>
              <to>
                <xdr:col>2</xdr:col>
                <xdr:colOff>1790700</xdr:colOff>
                <xdr:row>2</xdr:row>
                <xdr:rowOff>266700</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266700</xdr:rowOff>
              </from>
              <to>
                <xdr:col>2</xdr:col>
                <xdr:colOff>1790700</xdr:colOff>
                <xdr:row>1</xdr:row>
                <xdr:rowOff>657225</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1162050</xdr:colOff>
                <xdr:row>2</xdr:row>
                <xdr:rowOff>733425</xdr:rowOff>
              </from>
              <to>
                <xdr:col>2</xdr:col>
                <xdr:colOff>1543050</xdr:colOff>
                <xdr:row>3</xdr:row>
                <xdr:rowOff>171450</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88" r:id="rId29">
            <anchor moveWithCells="1">
              <from>
                <xdr:col>2</xdr:col>
                <xdr:colOff>285750</xdr:colOff>
                <xdr:row>2</xdr:row>
                <xdr:rowOff>762000</xdr:rowOff>
              </from>
              <to>
                <xdr:col>2</xdr:col>
                <xdr:colOff>1123950</xdr:colOff>
                <xdr:row>3</xdr:row>
                <xdr:rowOff>161925</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190500</xdr:colOff>
                <xdr:row>1</xdr:row>
                <xdr:rowOff>238125</xdr:rowOff>
              </from>
              <to>
                <xdr:col>3</xdr:col>
                <xdr:colOff>2381250</xdr:colOff>
                <xdr:row>1</xdr:row>
                <xdr:rowOff>581025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190500</xdr:colOff>
                <xdr:row>1</xdr:row>
                <xdr:rowOff>619125</xdr:rowOff>
              </from>
              <to>
                <xdr:col>3</xdr:col>
                <xdr:colOff>2381250</xdr:colOff>
                <xdr:row>2</xdr:row>
                <xdr:rowOff>142875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190500</xdr:colOff>
                <xdr:row>2</xdr:row>
                <xdr:rowOff>180975</xdr:rowOff>
              </from>
              <to>
                <xdr:col>3</xdr:col>
                <xdr:colOff>2381250</xdr:colOff>
                <xdr:row>2</xdr:row>
                <xdr:rowOff>523875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190500</xdr:colOff>
                <xdr:row>2</xdr:row>
                <xdr:rowOff>571500</xdr:rowOff>
              </from>
              <to>
                <xdr:col>3</xdr:col>
                <xdr:colOff>2381250</xdr:colOff>
                <xdr:row>3</xdr:row>
                <xdr:rowOff>38100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65" id="{A1FC3F13-76EB-4633-85C9-6092B91F0CE3}">
            <x14:iconSet iconSet="3Symbols2" custom="1">
              <x14:cfvo type="percent">
                <xm:f>0</xm:f>
              </x14:cfvo>
              <x14:cfvo type="num">
                <xm:f>TODAY()</xm:f>
              </x14:cfvo>
              <x14:cfvo type="num">
                <xm:f>TODAY()+2</xm:f>
              </x14:cfvo>
              <x14:cfIcon iconSet="3Signs" iconId="0"/>
              <x14:cfIcon iconSet="3Signs" iconId="1"/>
              <x14:cfIcon iconSet="NoIcons" iconId="0"/>
            </x14:iconSet>
          </x14:cfRule>
          <xm:sqref>R6:R1477</xm:sqref>
        </x14:conditionalFormatting>
        <x14:conditionalFormatting xmlns:xm="http://schemas.microsoft.com/office/excel/2006/main">
          <x14:cfRule type="iconSet" priority="1967"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Q6:Q1477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34" t="s">
        <v>998</v>
      </c>
      <c r="C2" s="135"/>
      <c r="D2" s="135"/>
      <c r="E2" s="135"/>
      <c r="F2" s="135"/>
      <c r="G2" s="135"/>
      <c r="H2" s="135"/>
      <c r="I2" s="135"/>
      <c r="J2" s="135"/>
      <c r="K2" s="135"/>
      <c r="L2" s="135"/>
      <c r="M2" s="136"/>
      <c r="O2" s="122" t="s">
        <v>3577</v>
      </c>
      <c r="P2" s="123"/>
      <c r="Q2" s="122" t="s">
        <v>1944</v>
      </c>
      <c r="R2" s="123"/>
    </row>
    <row r="3" spans="2:18" s="7" customFormat="1" ht="19.5" customHeight="1" thickTop="1">
      <c r="B3" s="137" t="s">
        <v>982</v>
      </c>
      <c r="C3" s="23" t="s">
        <v>986</v>
      </c>
      <c r="D3" s="17" t="s">
        <v>11</v>
      </c>
      <c r="E3" s="18"/>
      <c r="F3" s="18"/>
      <c r="G3" s="18"/>
      <c r="H3" s="18"/>
      <c r="I3" s="18"/>
      <c r="J3" s="18"/>
      <c r="K3" s="18"/>
      <c r="L3" s="18"/>
      <c r="M3" s="19"/>
      <c r="N3" s="9"/>
      <c r="O3" s="124" t="s">
        <v>3976</v>
      </c>
      <c r="P3" s="124"/>
      <c r="Q3" s="124" t="s">
        <v>2658</v>
      </c>
      <c r="R3" s="124"/>
    </row>
    <row r="4" spans="2:18" s="7" customFormat="1" ht="19.5" customHeight="1">
      <c r="B4" s="138"/>
      <c r="C4" s="24" t="s">
        <v>1936</v>
      </c>
      <c r="D4" s="29" t="s">
        <v>1914</v>
      </c>
      <c r="E4" s="30"/>
      <c r="F4" s="30"/>
      <c r="G4" s="30"/>
      <c r="H4" s="30"/>
      <c r="I4" s="30"/>
      <c r="J4" s="30"/>
      <c r="K4" s="30"/>
      <c r="L4" s="30"/>
      <c r="M4" s="31"/>
      <c r="N4" s="9"/>
      <c r="O4" s="125"/>
      <c r="P4" s="125"/>
      <c r="Q4" s="125"/>
      <c r="R4" s="125"/>
    </row>
    <row r="5" spans="2:18" s="8" customFormat="1" ht="19.5" customHeight="1">
      <c r="B5" s="138"/>
      <c r="C5" s="24" t="s">
        <v>987</v>
      </c>
      <c r="D5" s="20">
        <v>1</v>
      </c>
      <c r="E5" s="21">
        <v>2</v>
      </c>
      <c r="F5" s="21">
        <v>3</v>
      </c>
      <c r="G5" s="21">
        <v>4</v>
      </c>
      <c r="H5" s="21">
        <v>5</v>
      </c>
      <c r="I5" s="21">
        <v>6</v>
      </c>
      <c r="J5" s="21">
        <v>7</v>
      </c>
      <c r="K5" s="21">
        <v>0</v>
      </c>
      <c r="L5" s="21">
        <v>0</v>
      </c>
      <c r="M5" s="22">
        <v>0</v>
      </c>
      <c r="N5" s="9"/>
      <c r="O5" s="125"/>
      <c r="P5" s="125"/>
      <c r="Q5" s="125"/>
      <c r="R5" s="125"/>
    </row>
    <row r="6" spans="2:18" ht="19.5" customHeight="1">
      <c r="B6" s="138"/>
      <c r="C6" s="24" t="s">
        <v>988</v>
      </c>
      <c r="D6" s="20" t="s">
        <v>7</v>
      </c>
      <c r="E6" s="21" t="s">
        <v>29</v>
      </c>
      <c r="F6" s="21" t="s">
        <v>534</v>
      </c>
      <c r="G6" s="21" t="s">
        <v>694</v>
      </c>
      <c r="H6" s="21"/>
      <c r="I6" s="21"/>
      <c r="J6" s="21"/>
      <c r="K6" s="21"/>
      <c r="L6" s="21"/>
      <c r="M6" s="22"/>
      <c r="O6" s="125"/>
      <c r="P6" s="125"/>
      <c r="Q6" s="125"/>
      <c r="R6" s="125"/>
    </row>
    <row r="7" spans="2:18" ht="19.5" customHeight="1" thickBot="1">
      <c r="B7" s="138"/>
      <c r="C7" s="24" t="s">
        <v>3163</v>
      </c>
      <c r="D7" s="27" t="s">
        <v>7</v>
      </c>
      <c r="E7" s="27" t="s">
        <v>29</v>
      </c>
      <c r="F7" s="27" t="s">
        <v>534</v>
      </c>
      <c r="G7" s="27" t="s">
        <v>694</v>
      </c>
      <c r="H7" s="27"/>
      <c r="I7" s="27"/>
      <c r="J7" s="27"/>
      <c r="K7" s="27"/>
      <c r="L7" s="27"/>
      <c r="M7" s="27"/>
      <c r="O7" s="125"/>
      <c r="P7" s="125"/>
      <c r="Q7" s="125"/>
      <c r="R7" s="125"/>
    </row>
    <row r="8" spans="2:18" ht="19.5" customHeight="1" thickTop="1" thickBot="1">
      <c r="B8" s="139"/>
      <c r="C8" s="25" t="s">
        <v>3164</v>
      </c>
      <c r="D8" s="28" t="s">
        <v>3215</v>
      </c>
      <c r="E8" s="28"/>
      <c r="F8" s="28"/>
      <c r="G8" s="28"/>
      <c r="H8" s="28"/>
      <c r="I8" s="28"/>
      <c r="J8" s="28"/>
      <c r="K8" s="28"/>
      <c r="L8" s="28"/>
      <c r="M8" s="28"/>
      <c r="O8" s="126" t="s">
        <v>2155</v>
      </c>
      <c r="P8" s="126"/>
      <c r="Q8" s="126" t="s">
        <v>3181</v>
      </c>
      <c r="R8" s="126"/>
    </row>
    <row r="9" spans="2:18" ht="19.5" customHeight="1" thickTop="1" thickBot="1">
      <c r="B9" s="137" t="s">
        <v>983</v>
      </c>
      <c r="C9" s="23" t="s">
        <v>989</v>
      </c>
      <c r="D9" s="17" t="s">
        <v>11</v>
      </c>
      <c r="E9" s="18"/>
      <c r="F9" s="18"/>
      <c r="G9" s="18"/>
      <c r="H9" s="18"/>
      <c r="I9" s="18"/>
      <c r="J9" s="18"/>
      <c r="K9" s="18"/>
      <c r="L9" s="18"/>
      <c r="M9" s="19"/>
      <c r="O9" s="127">
        <v>0</v>
      </c>
      <c r="P9" s="127"/>
      <c r="Q9" s="127" t="b">
        <v>1</v>
      </c>
      <c r="R9" s="127"/>
    </row>
    <row r="10" spans="2:18" s="7" customFormat="1" ht="19.5" customHeight="1" thickTop="1" thickBot="1">
      <c r="B10" s="138"/>
      <c r="C10" s="24" t="s">
        <v>1939</v>
      </c>
      <c r="D10" s="29" t="s">
        <v>1917</v>
      </c>
      <c r="E10" s="30" t="s">
        <v>1924</v>
      </c>
      <c r="F10" s="30"/>
      <c r="G10" s="30"/>
      <c r="H10" s="30"/>
      <c r="I10" s="30"/>
      <c r="J10" s="30"/>
      <c r="K10" s="30"/>
      <c r="L10" s="30"/>
      <c r="M10" s="31"/>
      <c r="N10" s="9"/>
      <c r="O10" s="126" t="s">
        <v>2264</v>
      </c>
      <c r="P10" s="126"/>
      <c r="Q10" s="126" t="s">
        <v>2265</v>
      </c>
      <c r="R10" s="126"/>
    </row>
    <row r="11" spans="2:18" ht="19.5" customHeight="1" thickTop="1" thickBot="1">
      <c r="B11" s="138"/>
      <c r="C11" s="24" t="s">
        <v>990</v>
      </c>
      <c r="D11" s="20">
        <v>1</v>
      </c>
      <c r="E11" s="21">
        <v>2</v>
      </c>
      <c r="F11" s="21">
        <v>3</v>
      </c>
      <c r="G11" s="21">
        <v>4</v>
      </c>
      <c r="H11" s="21">
        <v>5</v>
      </c>
      <c r="I11" s="21">
        <v>6</v>
      </c>
      <c r="J11" s="21">
        <v>7</v>
      </c>
      <c r="K11" s="21">
        <v>0</v>
      </c>
      <c r="L11" s="21">
        <v>0</v>
      </c>
      <c r="M11" s="22">
        <v>0</v>
      </c>
      <c r="O11" s="127" t="s">
        <v>1002</v>
      </c>
      <c r="P11" s="127"/>
      <c r="Q11" s="127" t="s">
        <v>1926</v>
      </c>
      <c r="R11" s="127"/>
    </row>
    <row r="12" spans="2:18" ht="19.5" customHeight="1" thickTop="1" thickBot="1">
      <c r="B12" s="138"/>
      <c r="C12" s="24" t="s">
        <v>991</v>
      </c>
      <c r="D12" s="20" t="s">
        <v>7</v>
      </c>
      <c r="E12" s="21" t="s">
        <v>29</v>
      </c>
      <c r="F12" s="21" t="s">
        <v>534</v>
      </c>
      <c r="G12" s="21" t="s">
        <v>694</v>
      </c>
      <c r="H12" s="21"/>
      <c r="I12" s="21"/>
      <c r="J12" s="21"/>
      <c r="K12" s="21"/>
      <c r="L12" s="21"/>
      <c r="M12" s="22"/>
      <c r="O12" s="126" t="s">
        <v>3162</v>
      </c>
      <c r="P12" s="126"/>
      <c r="Q12" s="126" t="s">
        <v>3578</v>
      </c>
      <c r="R12" s="126"/>
    </row>
    <row r="13" spans="2:18" ht="19.5" customHeight="1" thickTop="1" thickBot="1">
      <c r="B13" s="138"/>
      <c r="C13" s="24" t="s">
        <v>3165</v>
      </c>
      <c r="D13" s="27"/>
      <c r="E13" s="27"/>
      <c r="F13" s="27"/>
      <c r="G13" s="27"/>
      <c r="H13" s="27"/>
      <c r="I13" s="27"/>
      <c r="J13" s="27"/>
      <c r="K13" s="27"/>
      <c r="L13" s="27"/>
      <c r="M13" s="27"/>
      <c r="O13" s="127"/>
      <c r="P13" s="127"/>
      <c r="Q13" s="127" t="s">
        <v>3579</v>
      </c>
      <c r="R13" s="127"/>
    </row>
    <row r="14" spans="2:18" ht="19.5" customHeight="1" thickTop="1" thickBot="1">
      <c r="B14" s="139"/>
      <c r="C14" s="25" t="s">
        <v>3166</v>
      </c>
      <c r="D14" s="28"/>
      <c r="E14" s="28"/>
      <c r="F14" s="28"/>
      <c r="G14" s="28"/>
      <c r="H14" s="28"/>
      <c r="I14" s="28"/>
      <c r="J14" s="28"/>
      <c r="K14" s="28"/>
      <c r="L14" s="28"/>
      <c r="M14" s="28"/>
      <c r="O14" s="7"/>
      <c r="P14" s="7"/>
      <c r="Q14" s="7"/>
      <c r="R14" s="7"/>
    </row>
    <row r="15" spans="2:18" ht="19.5" customHeight="1" thickTop="1">
      <c r="B15" s="137" t="s">
        <v>984</v>
      </c>
      <c r="C15" s="23" t="s">
        <v>992</v>
      </c>
      <c r="D15" s="17" t="s">
        <v>11</v>
      </c>
      <c r="E15" s="18"/>
      <c r="F15" s="18"/>
      <c r="G15" s="18"/>
      <c r="H15" s="18"/>
      <c r="I15" s="18"/>
      <c r="J15" s="18"/>
      <c r="K15" s="18"/>
      <c r="L15" s="18"/>
      <c r="M15" s="19"/>
      <c r="O15" s="7"/>
      <c r="P15" s="7"/>
      <c r="Q15" s="7"/>
      <c r="R15" s="7"/>
    </row>
    <row r="16" spans="2:18" ht="19.5" customHeight="1">
      <c r="B16" s="138"/>
      <c r="C16" s="24" t="s">
        <v>1938</v>
      </c>
      <c r="D16" s="29" t="s">
        <v>1915</v>
      </c>
      <c r="E16" s="30"/>
      <c r="F16" s="30"/>
      <c r="G16" s="30"/>
      <c r="H16" s="30"/>
      <c r="I16" s="30"/>
      <c r="J16" s="30"/>
      <c r="K16" s="30"/>
      <c r="L16" s="30"/>
      <c r="M16" s="31"/>
      <c r="O16" s="7"/>
      <c r="P16" s="7"/>
      <c r="Q16" s="7"/>
      <c r="R16" s="7"/>
    </row>
    <row r="17" spans="1:24" ht="19.5" customHeight="1">
      <c r="B17" s="138"/>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38"/>
      <c r="C18" s="24" t="s">
        <v>994</v>
      </c>
      <c r="D18" s="20" t="s">
        <v>7</v>
      </c>
      <c r="E18" s="21" t="s">
        <v>29</v>
      </c>
      <c r="F18" s="21" t="s">
        <v>534</v>
      </c>
      <c r="G18" s="21" t="s">
        <v>694</v>
      </c>
      <c r="H18" s="21"/>
      <c r="I18" s="21"/>
      <c r="J18" s="21"/>
      <c r="K18" s="21"/>
      <c r="L18" s="21"/>
      <c r="M18" s="22"/>
    </row>
    <row r="19" spans="1:24" ht="19.5" customHeight="1">
      <c r="B19" s="138"/>
      <c r="C19" s="24" t="s">
        <v>3167</v>
      </c>
      <c r="D19" s="27" t="s">
        <v>7</v>
      </c>
      <c r="E19" s="27" t="s">
        <v>29</v>
      </c>
      <c r="F19" s="27" t="s">
        <v>534</v>
      </c>
      <c r="G19" s="27" t="s">
        <v>694</v>
      </c>
      <c r="H19" s="27"/>
      <c r="I19" s="27"/>
      <c r="J19" s="27"/>
      <c r="K19" s="27"/>
      <c r="L19" s="27"/>
      <c r="M19" s="27"/>
    </row>
    <row r="20" spans="1:24" ht="19.5" customHeight="1" thickBot="1">
      <c r="B20" s="139"/>
      <c r="C20" s="25" t="s">
        <v>3168</v>
      </c>
      <c r="D20" s="28"/>
      <c r="E20" s="28"/>
      <c r="F20" s="28"/>
      <c r="G20" s="28"/>
      <c r="H20" s="28"/>
      <c r="I20" s="28"/>
      <c r="J20" s="28"/>
      <c r="K20" s="28"/>
      <c r="L20" s="28"/>
      <c r="M20" s="28"/>
    </row>
    <row r="21" spans="1:24" ht="19.5" customHeight="1" thickTop="1">
      <c r="B21" s="137" t="s">
        <v>985</v>
      </c>
      <c r="C21" s="23" t="s">
        <v>995</v>
      </c>
      <c r="D21" s="17" t="s">
        <v>11</v>
      </c>
      <c r="E21" s="18"/>
      <c r="F21" s="18"/>
      <c r="G21" s="18"/>
      <c r="H21" s="18"/>
      <c r="I21" s="18"/>
      <c r="J21" s="18"/>
      <c r="K21" s="18"/>
      <c r="L21" s="18"/>
      <c r="M21" s="19"/>
    </row>
    <row r="22" spans="1:24" ht="19.5" customHeight="1">
      <c r="B22" s="138"/>
      <c r="C22" s="24" t="s">
        <v>1937</v>
      </c>
      <c r="D22" s="29" t="s">
        <v>1929</v>
      </c>
      <c r="E22" s="30"/>
      <c r="F22" s="30"/>
      <c r="G22" s="30"/>
      <c r="H22" s="30"/>
      <c r="I22" s="30"/>
      <c r="J22" s="30"/>
      <c r="K22" s="30"/>
      <c r="L22" s="30"/>
      <c r="M22" s="31"/>
    </row>
    <row r="23" spans="1:24" ht="19.5" customHeight="1">
      <c r="B23" s="138"/>
      <c r="C23" s="24" t="s">
        <v>996</v>
      </c>
      <c r="D23" s="20">
        <v>1</v>
      </c>
      <c r="E23" s="21">
        <v>2</v>
      </c>
      <c r="F23" s="21">
        <v>3</v>
      </c>
      <c r="G23" s="21">
        <v>4</v>
      </c>
      <c r="H23" s="21">
        <v>5</v>
      </c>
      <c r="I23" s="21">
        <v>6</v>
      </c>
      <c r="J23" s="21">
        <v>7</v>
      </c>
      <c r="K23" s="21">
        <v>0</v>
      </c>
      <c r="L23" s="21">
        <v>0</v>
      </c>
      <c r="M23" s="22">
        <v>0</v>
      </c>
    </row>
    <row r="24" spans="1:24" ht="19.5" customHeight="1">
      <c r="B24" s="138"/>
      <c r="C24" s="24" t="s">
        <v>997</v>
      </c>
      <c r="D24" s="20" t="s">
        <v>7</v>
      </c>
      <c r="E24" s="21" t="s">
        <v>29</v>
      </c>
      <c r="F24" s="21" t="s">
        <v>534</v>
      </c>
      <c r="G24" s="21" t="s">
        <v>694</v>
      </c>
      <c r="H24" s="21"/>
      <c r="I24" s="21"/>
      <c r="J24" s="21"/>
      <c r="K24" s="21"/>
      <c r="L24" s="21"/>
      <c r="M24" s="22"/>
    </row>
    <row r="25" spans="1:24" ht="19.5" customHeight="1">
      <c r="B25" s="138"/>
      <c r="C25" s="24" t="s">
        <v>3169</v>
      </c>
      <c r="D25" s="27"/>
      <c r="E25" s="27"/>
      <c r="F25" s="27"/>
      <c r="G25" s="27"/>
      <c r="H25" s="27"/>
      <c r="I25" s="27"/>
      <c r="J25" s="27"/>
      <c r="K25" s="27"/>
      <c r="L25" s="27"/>
      <c r="M25" s="27"/>
    </row>
    <row r="26" spans="1:24" ht="19.5" customHeight="1" thickBot="1">
      <c r="B26" s="139"/>
      <c r="C26" s="25" t="s">
        <v>3170</v>
      </c>
      <c r="D26" s="28"/>
      <c r="E26" s="28"/>
      <c r="F26" s="28"/>
      <c r="G26" s="28"/>
      <c r="H26" s="28"/>
      <c r="I26" s="28"/>
      <c r="J26" s="28"/>
      <c r="K26" s="28"/>
      <c r="L26" s="28"/>
      <c r="M26" s="28"/>
    </row>
    <row r="27" spans="1:24" ht="35.25" customHeight="1" thickTop="1" thickBot="1">
      <c r="C27" s="128" t="s">
        <v>976</v>
      </c>
      <c r="D27" s="129"/>
      <c r="E27" s="129"/>
      <c r="F27" s="130"/>
      <c r="G27" s="128" t="s">
        <v>981</v>
      </c>
      <c r="H27" s="129"/>
      <c r="I27" s="129"/>
      <c r="J27" s="129"/>
      <c r="K27" s="131" t="s">
        <v>1930</v>
      </c>
      <c r="L27" s="132"/>
      <c r="M27" s="132"/>
      <c r="N27" s="132"/>
      <c r="O27" s="133"/>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1976</v>
      </c>
      <c r="E29" s="2" t="s">
        <v>956</v>
      </c>
      <c r="F29" s="12" t="s">
        <v>2211</v>
      </c>
      <c r="G29" t="s">
        <v>3271</v>
      </c>
      <c r="H29" s="2" t="s">
        <v>11</v>
      </c>
      <c r="I29" s="2" t="s">
        <v>14</v>
      </c>
      <c r="J29" s="12" t="s">
        <v>1922</v>
      </c>
      <c r="K29" s="12" t="s">
        <v>1923</v>
      </c>
      <c r="L29" s="12">
        <v>2</v>
      </c>
      <c r="M29" s="12">
        <v>4</v>
      </c>
      <c r="N29" s="12">
        <v>5</v>
      </c>
      <c r="O29" s="12">
        <v>9</v>
      </c>
      <c r="X29" s="11"/>
    </row>
    <row r="30" spans="1:24" ht="17.25" customHeight="1">
      <c r="C30" s="2" t="s">
        <v>50</v>
      </c>
      <c r="D30" s="2" t="s">
        <v>971</v>
      </c>
      <c r="E30" s="2" t="s">
        <v>50</v>
      </c>
      <c r="F30" s="12" t="s">
        <v>2013</v>
      </c>
      <c r="G30" t="s">
        <v>2605</v>
      </c>
      <c r="H30" s="2" t="s">
        <v>17</v>
      </c>
      <c r="I30" s="2" t="s">
        <v>979</v>
      </c>
      <c r="J30" s="12" t="s">
        <v>1920</v>
      </c>
      <c r="K30" s="12" t="s">
        <v>1921</v>
      </c>
      <c r="L30" s="12">
        <v>6</v>
      </c>
      <c r="M30" s="12">
        <v>12</v>
      </c>
      <c r="N30" s="12">
        <v>15</v>
      </c>
      <c r="O30" s="12">
        <v>19</v>
      </c>
    </row>
    <row r="31" spans="1:24" ht="17.25" customHeight="1">
      <c r="C31" s="2" t="s">
        <v>968</v>
      </c>
      <c r="D31" s="2" t="s">
        <v>2051</v>
      </c>
      <c r="E31" s="2" t="s">
        <v>2624</v>
      </c>
      <c r="F31" s="12" t="s">
        <v>306</v>
      </c>
      <c r="G31" t="s">
        <v>2026</v>
      </c>
      <c r="H31" s="2" t="s">
        <v>411</v>
      </c>
      <c r="I31" s="3" t="s">
        <v>12</v>
      </c>
      <c r="J31" s="12" t="s">
        <v>1928</v>
      </c>
      <c r="K31" s="12" t="s">
        <v>1927</v>
      </c>
      <c r="L31" s="12">
        <v>9</v>
      </c>
      <c r="M31" s="12">
        <v>19</v>
      </c>
      <c r="N31" s="12">
        <v>23</v>
      </c>
      <c r="O31" s="12">
        <v>28</v>
      </c>
    </row>
    <row r="32" spans="1:24" ht="17.25" customHeight="1">
      <c r="C32" s="2" t="s">
        <v>306</v>
      </c>
      <c r="D32" s="2" t="s">
        <v>239</v>
      </c>
      <c r="E32" s="2" t="s">
        <v>306</v>
      </c>
      <c r="F32" s="12" t="s">
        <v>2206</v>
      </c>
      <c r="G32" t="s">
        <v>75</v>
      </c>
      <c r="H32" s="2" t="s">
        <v>6</v>
      </c>
      <c r="I32" s="2" t="s">
        <v>694</v>
      </c>
      <c r="J32" s="12" t="s">
        <v>1916</v>
      </c>
      <c r="K32" s="12" t="s">
        <v>1926</v>
      </c>
      <c r="L32" s="12">
        <v>15</v>
      </c>
      <c r="M32" s="12">
        <v>19</v>
      </c>
      <c r="N32" s="12">
        <v>35</v>
      </c>
      <c r="O32" s="12">
        <v>60</v>
      </c>
    </row>
    <row r="33" spans="3:14" ht="17.25" customHeight="1">
      <c r="C33" s="2" t="s">
        <v>44</v>
      </c>
      <c r="D33" s="2" t="s">
        <v>2044</v>
      </c>
      <c r="E33" s="2" t="s">
        <v>399</v>
      </c>
      <c r="F33" s="12" t="s">
        <v>399</v>
      </c>
      <c r="G33" t="s">
        <v>1978</v>
      </c>
      <c r="H33" s="3" t="s">
        <v>296</v>
      </c>
      <c r="I33" s="2" t="s">
        <v>534</v>
      </c>
      <c r="J33" s="12" t="s">
        <v>1918</v>
      </c>
      <c r="K33" s="9"/>
      <c r="L33" s="4"/>
      <c r="M33" s="4"/>
      <c r="N33" s="4"/>
    </row>
    <row r="34" spans="3:14" ht="17.25" customHeight="1">
      <c r="C34" s="2" t="s">
        <v>399</v>
      </c>
      <c r="D34" s="2" t="s">
        <v>81</v>
      </c>
      <c r="E34" s="2" t="s">
        <v>417</v>
      </c>
      <c r="F34" s="39" t="s">
        <v>946</v>
      </c>
      <c r="G34" t="s">
        <v>70</v>
      </c>
      <c r="H34" s="2" t="s">
        <v>318</v>
      </c>
      <c r="I34" s="2" t="s">
        <v>103</v>
      </c>
      <c r="J34" s="12" t="s">
        <v>1919</v>
      </c>
      <c r="K34" s="9"/>
      <c r="L34" s="4"/>
      <c r="M34" s="4"/>
      <c r="N34" s="4"/>
    </row>
    <row r="35" spans="3:14" ht="17.25" customHeight="1">
      <c r="C35" s="2" t="s">
        <v>417</v>
      </c>
      <c r="D35" s="2" t="s">
        <v>50</v>
      </c>
      <c r="E35" s="2" t="s">
        <v>2249</v>
      </c>
      <c r="F35" s="39" t="s">
        <v>102</v>
      </c>
      <c r="G35" t="s">
        <v>2212</v>
      </c>
      <c r="H35" s="2" t="s">
        <v>23</v>
      </c>
      <c r="I35" s="2" t="s">
        <v>7</v>
      </c>
      <c r="J35" s="12" t="s">
        <v>1925</v>
      </c>
      <c r="K35" s="9"/>
      <c r="L35" s="4"/>
      <c r="M35" s="4"/>
      <c r="N35" s="4"/>
    </row>
    <row r="36" spans="3:14" ht="17.25" customHeight="1">
      <c r="C36" s="2" t="s">
        <v>907</v>
      </c>
      <c r="D36" s="2" t="s">
        <v>745</v>
      </c>
      <c r="E36" s="2" t="s">
        <v>946</v>
      </c>
      <c r="F36" s="40" t="s">
        <v>2208</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2014</v>
      </c>
      <c r="G38" t="s">
        <v>52</v>
      </c>
      <c r="H38" s="5"/>
      <c r="K38" s="9"/>
      <c r="L38" s="4"/>
      <c r="M38" s="4"/>
      <c r="N38" s="4"/>
    </row>
    <row r="39" spans="3:14" ht="17.25" customHeight="1">
      <c r="C39" s="2" t="s">
        <v>708</v>
      </c>
      <c r="D39" s="2" t="s">
        <v>306</v>
      </c>
      <c r="E39" s="2" t="s">
        <v>940</v>
      </c>
      <c r="F39" s="61" t="s">
        <v>2018</v>
      </c>
      <c r="G39" t="s">
        <v>21</v>
      </c>
      <c r="K39" s="9"/>
      <c r="L39" s="4"/>
      <c r="M39" s="4"/>
      <c r="N39" s="4"/>
    </row>
    <row r="40" spans="3:14" ht="17.25" customHeight="1">
      <c r="C40" s="2" t="s">
        <v>2208</v>
      </c>
      <c r="D40" s="2" t="s">
        <v>44</v>
      </c>
      <c r="E40" s="2" t="s">
        <v>2208</v>
      </c>
      <c r="F40" s="4"/>
      <c r="G40" t="s">
        <v>28</v>
      </c>
      <c r="K40" s="9"/>
      <c r="L40" s="4"/>
      <c r="M40" s="4"/>
      <c r="N40" s="4"/>
    </row>
    <row r="41" spans="3:14" ht="17.25" customHeight="1">
      <c r="C41" s="2" t="s">
        <v>889</v>
      </c>
      <c r="D41" s="2" t="s">
        <v>2025</v>
      </c>
      <c r="E41" s="2" t="s">
        <v>889</v>
      </c>
      <c r="K41" s="9"/>
      <c r="L41" s="4"/>
      <c r="M41" s="4"/>
      <c r="N41" s="4"/>
    </row>
    <row r="42" spans="3:14" ht="17.25" customHeight="1">
      <c r="C42" s="2" t="s">
        <v>2052</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2053</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2626</v>
      </c>
      <c r="D49" s="2" t="s">
        <v>65</v>
      </c>
      <c r="H49" s="1"/>
    </row>
    <row r="50" spans="3:25" ht="17.25" customHeight="1">
      <c r="C50" s="2" t="s">
        <v>937</v>
      </c>
      <c r="D50" s="2" t="s">
        <v>2208</v>
      </c>
      <c r="H50" s="1"/>
    </row>
    <row r="51" spans="3:25" ht="17.25" customHeight="1">
      <c r="C51" s="2" t="s">
        <v>969</v>
      </c>
      <c r="D51" s="2" t="s">
        <v>2052</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3985</v>
      </c>
      <c r="H54" s="1"/>
      <c r="I54" s="1"/>
      <c r="J54" s="1"/>
      <c r="L54" s="1"/>
      <c r="M54" s="1"/>
      <c r="N54" s="1"/>
      <c r="O54" s="1"/>
      <c r="P54" s="1"/>
      <c r="Q54" s="1"/>
      <c r="R54" s="1"/>
      <c r="S54" s="1"/>
      <c r="T54" s="1"/>
      <c r="U54" s="1"/>
      <c r="V54" s="1"/>
      <c r="W54" s="1"/>
      <c r="X54" s="1"/>
      <c r="Y54" s="1"/>
    </row>
    <row r="55" spans="3:25" ht="17.25" customHeight="1">
      <c r="D55" s="2" t="s">
        <v>3542</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2043</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1940</v>
      </c>
      <c r="C1" s="36" t="s">
        <v>0</v>
      </c>
      <c r="D1" s="36" t="s">
        <v>2</v>
      </c>
      <c r="E1" s="36" t="s">
        <v>1941</v>
      </c>
      <c r="F1" s="36" t="s">
        <v>1913</v>
      </c>
      <c r="G1" s="36" t="s">
        <v>1942</v>
      </c>
      <c r="H1" s="37" t="s">
        <v>1943</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1940</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E34" sqref="E34"/>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140" t="s">
        <v>3977</v>
      </c>
      <c r="B1" s="140"/>
      <c r="C1" s="140"/>
      <c r="D1" s="140"/>
      <c r="E1" s="140"/>
      <c r="F1" s="41"/>
    </row>
    <row r="2" spans="1:8" ht="33.75" customHeight="1">
      <c r="A2" s="34" t="s">
        <v>1969</v>
      </c>
      <c r="B2" s="34" t="s">
        <v>963</v>
      </c>
      <c r="C2" s="34" t="s">
        <v>1002</v>
      </c>
      <c r="D2" s="34" t="s">
        <v>0</v>
      </c>
      <c r="E2" s="34" t="s">
        <v>1970</v>
      </c>
      <c r="F2" s="34" t="s">
        <v>1913</v>
      </c>
      <c r="G2" s="34" t="s">
        <v>1968</v>
      </c>
      <c r="H2" s="34" t="s">
        <v>1971</v>
      </c>
    </row>
    <row r="3" spans="1:8" ht="15.95" customHeight="1">
      <c r="A3" s="43"/>
      <c r="B3" s="43"/>
      <c r="C3" s="43"/>
      <c r="D3" s="47"/>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2012-02-29T23:03:18Z</cp:lastPrinted>
  <dcterms:created xsi:type="dcterms:W3CDTF">2011-06-24T10:58:18Z</dcterms:created>
  <dcterms:modified xsi:type="dcterms:W3CDTF">2012-02-29T23:37:39Z</dcterms:modified>
</cp:coreProperties>
</file>